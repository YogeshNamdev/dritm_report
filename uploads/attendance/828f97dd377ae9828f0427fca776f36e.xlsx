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oster Sep'26\"/>
    </mc:Choice>
  </mc:AlternateContent>
  <xr:revisionPtr revIDLastSave="0" documentId="13_ncr:1_{C81620DE-2F60-4FCF-B61F-E40D260DBA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th_Shift_Roster" sheetId="5" r:id="rId1"/>
    <sheet name="Morning_Shift" sheetId="1" r:id="rId2"/>
    <sheet name="Evening_Shift" sheetId="3" r:id="rId3"/>
    <sheet name="Grid" sheetId="2" state="hidden" r:id="rId4"/>
  </sheets>
  <definedNames>
    <definedName name="_xlnm._FilterDatabase" localSheetId="0" hidden="1">Both_Shift_Roster!$A$1:$BJ$131</definedName>
    <definedName name="_xlnm._FilterDatabase" localSheetId="2" hidden="1">Evening_Shift!$A$3:$BP$73</definedName>
    <definedName name="_xlnm._FilterDatabase" localSheetId="1" hidden="1">Morning_Shift!$A$3:$BQ$3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8" i="5" l="1"/>
  <c r="B119" i="5"/>
  <c r="B120" i="5"/>
  <c r="BD69" i="3"/>
  <c r="BC69" i="3"/>
  <c r="BD68" i="3"/>
  <c r="BC68" i="3"/>
  <c r="BD67" i="3"/>
  <c r="BC67" i="3"/>
  <c r="BD66" i="3"/>
  <c r="BC66" i="3"/>
  <c r="BD65" i="3"/>
  <c r="BC65" i="3"/>
  <c r="BD64" i="3"/>
  <c r="BC64" i="3"/>
  <c r="AW69" i="3"/>
  <c r="AV69" i="3"/>
  <c r="AU69" i="3"/>
  <c r="AT69" i="3"/>
  <c r="AS69" i="3"/>
  <c r="AR69" i="3"/>
  <c r="AQ69" i="3"/>
  <c r="AW68" i="3"/>
  <c r="AV68" i="3"/>
  <c r="AU68" i="3"/>
  <c r="AT68" i="3"/>
  <c r="AS68" i="3"/>
  <c r="AR68" i="3"/>
  <c r="AQ68" i="3"/>
  <c r="AW67" i="3"/>
  <c r="AV67" i="3"/>
  <c r="AU67" i="3"/>
  <c r="AT67" i="3"/>
  <c r="AS67" i="3"/>
  <c r="AR67" i="3"/>
  <c r="AQ67" i="3"/>
  <c r="AW66" i="3"/>
  <c r="AV66" i="3"/>
  <c r="AU66" i="3"/>
  <c r="AT66" i="3"/>
  <c r="AS66" i="3"/>
  <c r="AR66" i="3"/>
  <c r="AQ66" i="3"/>
  <c r="AW65" i="3"/>
  <c r="AV65" i="3"/>
  <c r="AU65" i="3"/>
  <c r="AT65" i="3"/>
  <c r="AS65" i="3"/>
  <c r="AR65" i="3"/>
  <c r="AQ65" i="3"/>
  <c r="AW64" i="3"/>
  <c r="AV64" i="3"/>
  <c r="AU64" i="3"/>
  <c r="AT64" i="3"/>
  <c r="AS64" i="3"/>
  <c r="AR64" i="3"/>
  <c r="AQ64" i="3"/>
  <c r="AK69" i="3"/>
  <c r="AJ69" i="3"/>
  <c r="AI69" i="3"/>
  <c r="AH69" i="3"/>
  <c r="AG69" i="3"/>
  <c r="AF69" i="3"/>
  <c r="AE69" i="3"/>
  <c r="AK68" i="3"/>
  <c r="AJ68" i="3"/>
  <c r="AI68" i="3"/>
  <c r="AH68" i="3"/>
  <c r="AG68" i="3"/>
  <c r="AF68" i="3"/>
  <c r="AE68" i="3"/>
  <c r="AK67" i="3"/>
  <c r="AJ67" i="3"/>
  <c r="AI67" i="3"/>
  <c r="AH67" i="3"/>
  <c r="AG67" i="3"/>
  <c r="AF67" i="3"/>
  <c r="AE67" i="3"/>
  <c r="AK66" i="3"/>
  <c r="AJ66" i="3"/>
  <c r="AI66" i="3"/>
  <c r="AH66" i="3"/>
  <c r="AG66" i="3"/>
  <c r="AF66" i="3"/>
  <c r="AE66" i="3"/>
  <c r="AK65" i="3"/>
  <c r="AJ65" i="3"/>
  <c r="AI65" i="3"/>
  <c r="AH65" i="3"/>
  <c r="AG65" i="3"/>
  <c r="AF65" i="3"/>
  <c r="AE65" i="3"/>
  <c r="AK64" i="3"/>
  <c r="AJ64" i="3"/>
  <c r="AI64" i="3"/>
  <c r="AH64" i="3"/>
  <c r="AG64" i="3"/>
  <c r="AF64" i="3"/>
  <c r="AE64" i="3"/>
  <c r="Y69" i="3"/>
  <c r="X69" i="3"/>
  <c r="W69" i="3"/>
  <c r="V69" i="3"/>
  <c r="U69" i="3"/>
  <c r="T69" i="3"/>
  <c r="S69" i="3"/>
  <c r="Y68" i="3"/>
  <c r="X68" i="3"/>
  <c r="W68" i="3"/>
  <c r="V68" i="3"/>
  <c r="U68" i="3"/>
  <c r="T68" i="3"/>
  <c r="S68" i="3"/>
  <c r="Y67" i="3"/>
  <c r="X67" i="3"/>
  <c r="W67" i="3"/>
  <c r="V67" i="3"/>
  <c r="U67" i="3"/>
  <c r="T67" i="3"/>
  <c r="S67" i="3"/>
  <c r="Y66" i="3"/>
  <c r="X66" i="3"/>
  <c r="W66" i="3"/>
  <c r="V66" i="3"/>
  <c r="U66" i="3"/>
  <c r="T66" i="3"/>
  <c r="S66" i="3"/>
  <c r="Y65" i="3"/>
  <c r="X65" i="3"/>
  <c r="W65" i="3"/>
  <c r="V65" i="3"/>
  <c r="U65" i="3"/>
  <c r="T65" i="3"/>
  <c r="S65" i="3"/>
  <c r="Y64" i="3"/>
  <c r="X64" i="3"/>
  <c r="W64" i="3"/>
  <c r="V64" i="3"/>
  <c r="U64" i="3"/>
  <c r="T64" i="3"/>
  <c r="S64" i="3"/>
  <c r="M69" i="3"/>
  <c r="L69" i="3"/>
  <c r="K69" i="3"/>
  <c r="J69" i="3"/>
  <c r="I69" i="3"/>
  <c r="H69" i="3"/>
  <c r="M68" i="3"/>
  <c r="L68" i="3"/>
  <c r="K68" i="3"/>
  <c r="J68" i="3"/>
  <c r="I68" i="3"/>
  <c r="H68" i="3"/>
  <c r="M67" i="3"/>
  <c r="L67" i="3"/>
  <c r="K67" i="3"/>
  <c r="J67" i="3"/>
  <c r="I67" i="3"/>
  <c r="H67" i="3"/>
  <c r="M66" i="3"/>
  <c r="L66" i="3"/>
  <c r="K66" i="3"/>
  <c r="J66" i="3"/>
  <c r="I66" i="3"/>
  <c r="H66" i="3"/>
  <c r="M65" i="3"/>
  <c r="L65" i="3"/>
  <c r="K65" i="3"/>
  <c r="J65" i="3"/>
  <c r="I65" i="3"/>
  <c r="H65" i="3"/>
  <c r="M64" i="3"/>
  <c r="L64" i="3"/>
  <c r="K64" i="3"/>
  <c r="J64" i="3"/>
  <c r="I64" i="3"/>
  <c r="H64" i="3"/>
  <c r="G69" i="3"/>
  <c r="G68" i="3"/>
  <c r="G67" i="3"/>
  <c r="G66" i="3"/>
  <c r="G65" i="3"/>
  <c r="G64" i="3"/>
  <c r="Z61" i="3"/>
  <c r="AA61" i="3"/>
  <c r="AB61" i="3"/>
  <c r="AC61" i="3"/>
  <c r="AD61" i="3"/>
  <c r="Z62" i="3"/>
  <c r="AA62" i="3"/>
  <c r="AB62" i="3"/>
  <c r="AC62" i="3"/>
  <c r="AD62" i="3"/>
  <c r="N61" i="3"/>
  <c r="O61" i="3"/>
  <c r="P61" i="3"/>
  <c r="Q61" i="3"/>
  <c r="R61" i="3"/>
  <c r="N62" i="3"/>
  <c r="O62" i="3"/>
  <c r="P62" i="3"/>
  <c r="Q62" i="3"/>
  <c r="R62" i="3"/>
  <c r="BF61" i="3"/>
  <c r="BG61" i="3"/>
  <c r="BH61" i="3"/>
  <c r="BI61" i="3"/>
  <c r="BJ61" i="3"/>
  <c r="BF62" i="3"/>
  <c r="BG62" i="3"/>
  <c r="BH62" i="3"/>
  <c r="BI62" i="3"/>
  <c r="BJ62" i="3"/>
  <c r="AX61" i="3"/>
  <c r="AY61" i="3"/>
  <c r="AZ61" i="3"/>
  <c r="BA61" i="3"/>
  <c r="BB61" i="3"/>
  <c r="AX62" i="3"/>
  <c r="AY62" i="3"/>
  <c r="AZ62" i="3"/>
  <c r="BA62" i="3"/>
  <c r="BB62" i="3"/>
  <c r="AL61" i="3"/>
  <c r="AM61" i="3"/>
  <c r="AN61" i="3"/>
  <c r="AO61" i="3"/>
  <c r="AP61" i="3"/>
  <c r="AL62" i="3"/>
  <c r="AM62" i="3"/>
  <c r="AN62" i="3"/>
  <c r="AO62" i="3"/>
  <c r="AP62" i="3"/>
  <c r="I70" i="3" l="1"/>
  <c r="I73" i="3" s="1"/>
  <c r="M70" i="3"/>
  <c r="M73" i="3" s="1"/>
  <c r="D118" i="5"/>
  <c r="C118" i="5"/>
  <c r="S71" i="3"/>
  <c r="S72" i="3" s="1"/>
  <c r="AR70" i="3"/>
  <c r="AR73" i="3" s="1"/>
  <c r="AQ71" i="3"/>
  <c r="AQ72" i="3" s="1"/>
  <c r="AU71" i="3"/>
  <c r="AU72" i="3" s="1"/>
  <c r="W71" i="3"/>
  <c r="W72" i="3" s="1"/>
  <c r="AG71" i="3"/>
  <c r="AG72" i="3" s="1"/>
  <c r="J70" i="3"/>
  <c r="J73" i="3" s="1"/>
  <c r="E118" i="5"/>
  <c r="G118" i="5"/>
  <c r="AH70" i="3"/>
  <c r="AH73" i="3" s="1"/>
  <c r="AK71" i="3"/>
  <c r="AK72" i="3" s="1"/>
  <c r="AV70" i="3"/>
  <c r="AV73" i="3" s="1"/>
  <c r="C120" i="5"/>
  <c r="F120" i="5"/>
  <c r="G120" i="5"/>
  <c r="M71" i="3"/>
  <c r="M72" i="3" s="1"/>
  <c r="V70" i="3"/>
  <c r="V73" i="3" s="1"/>
  <c r="X70" i="3"/>
  <c r="X73" i="3" s="1"/>
  <c r="Y71" i="3"/>
  <c r="Y72" i="3" s="1"/>
  <c r="AF70" i="3"/>
  <c r="AF73" i="3" s="1"/>
  <c r="AI71" i="3"/>
  <c r="AI72" i="3" s="1"/>
  <c r="AS71" i="3"/>
  <c r="AS72" i="3" s="1"/>
  <c r="K71" i="3"/>
  <c r="K72" i="3" s="1"/>
  <c r="BD71" i="3"/>
  <c r="BD72" i="3" s="1"/>
  <c r="G119" i="5"/>
  <c r="E119" i="5"/>
  <c r="C119" i="5"/>
  <c r="D119" i="5"/>
  <c r="F119" i="5"/>
  <c r="H71" i="3"/>
  <c r="H72" i="3" s="1"/>
  <c r="L71" i="3"/>
  <c r="L72" i="3" s="1"/>
  <c r="U70" i="3"/>
  <c r="U73" i="3" s="1"/>
  <c r="Y70" i="3"/>
  <c r="Y73" i="3" s="1"/>
  <c r="S70" i="3"/>
  <c r="S73" i="3" s="1"/>
  <c r="W70" i="3"/>
  <c r="W73" i="3" s="1"/>
  <c r="T71" i="3"/>
  <c r="T72" i="3" s="1"/>
  <c r="X71" i="3"/>
  <c r="X72" i="3" s="1"/>
  <c r="K70" i="3"/>
  <c r="K73" i="3" s="1"/>
  <c r="I71" i="3"/>
  <c r="I72" i="3" s="1"/>
  <c r="T70" i="3"/>
  <c r="T73" i="3" s="1"/>
  <c r="U71" i="3"/>
  <c r="U72" i="3" s="1"/>
  <c r="AJ70" i="3"/>
  <c r="AJ73" i="3" s="1"/>
  <c r="AE71" i="3"/>
  <c r="AE72" i="3" s="1"/>
  <c r="AT70" i="3"/>
  <c r="AT73" i="3" s="1"/>
  <c r="AW71" i="3"/>
  <c r="AW72" i="3" s="1"/>
  <c r="BD70" i="3"/>
  <c r="BD73" i="3" s="1"/>
  <c r="H70" i="3"/>
  <c r="H73" i="3" s="1"/>
  <c r="L70" i="3"/>
  <c r="L73" i="3" s="1"/>
  <c r="J71" i="3"/>
  <c r="J72" i="3" s="1"/>
  <c r="V71" i="3"/>
  <c r="V72" i="3" s="1"/>
  <c r="AG70" i="3"/>
  <c r="AG73" i="3" s="1"/>
  <c r="AK70" i="3"/>
  <c r="AK73" i="3" s="1"/>
  <c r="AE70" i="3"/>
  <c r="AE73" i="3" s="1"/>
  <c r="AI70" i="3"/>
  <c r="AI73" i="3" s="1"/>
  <c r="AF71" i="3"/>
  <c r="AF72" i="3" s="1"/>
  <c r="AJ71" i="3"/>
  <c r="AJ72" i="3" s="1"/>
  <c r="AQ70" i="3"/>
  <c r="AQ73" i="3" s="1"/>
  <c r="AT71" i="3"/>
  <c r="AT72" i="3" s="1"/>
  <c r="BC71" i="3"/>
  <c r="BC72" i="3" s="1"/>
  <c r="D120" i="5"/>
  <c r="E120" i="5"/>
  <c r="AH71" i="3"/>
  <c r="AH72" i="3" s="1"/>
  <c r="AS70" i="3"/>
  <c r="AS73" i="3" s="1"/>
  <c r="AW70" i="3"/>
  <c r="AW73" i="3" s="1"/>
  <c r="AU70" i="3"/>
  <c r="AU73" i="3" s="1"/>
  <c r="AR71" i="3"/>
  <c r="AR72" i="3" s="1"/>
  <c r="AV71" i="3"/>
  <c r="AV72" i="3" s="1"/>
  <c r="BC70" i="3"/>
  <c r="BC73" i="3" s="1"/>
  <c r="F118" i="5"/>
  <c r="AL60" i="3"/>
  <c r="AM60" i="3"/>
  <c r="AN60" i="3"/>
  <c r="AO60" i="3"/>
  <c r="AP60" i="3"/>
  <c r="AX60" i="3"/>
  <c r="AY60" i="3"/>
  <c r="AZ60" i="3"/>
  <c r="BA60" i="3"/>
  <c r="BB60" i="3"/>
  <c r="BF60" i="3"/>
  <c r="BG60" i="3"/>
  <c r="BH60" i="3"/>
  <c r="BI60" i="3"/>
  <c r="BJ60" i="3"/>
  <c r="Z60" i="3"/>
  <c r="AA60" i="3"/>
  <c r="AB60" i="3"/>
  <c r="AC60" i="3"/>
  <c r="AD60" i="3"/>
  <c r="N60" i="3"/>
  <c r="O60" i="3"/>
  <c r="P60" i="3"/>
  <c r="Q60" i="3"/>
  <c r="R60" i="3"/>
  <c r="B116" i="5" l="1"/>
  <c r="B117" i="5"/>
  <c r="B115" i="5"/>
  <c r="B112" i="5"/>
  <c r="B113" i="5"/>
  <c r="B114" i="5"/>
  <c r="B110" i="5"/>
  <c r="B111" i="5"/>
  <c r="B105" i="5"/>
  <c r="B106" i="5"/>
  <c r="B107" i="5"/>
  <c r="B108" i="5"/>
  <c r="B109" i="5"/>
  <c r="B99" i="5"/>
  <c r="B100" i="5"/>
  <c r="B101" i="5"/>
  <c r="B102" i="5"/>
  <c r="B103" i="5"/>
  <c r="B104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62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4" i="5"/>
  <c r="G61" i="5" l="1"/>
  <c r="G49" i="5"/>
  <c r="G33" i="5"/>
  <c r="G17" i="5"/>
  <c r="G5" i="5"/>
  <c r="G56" i="5"/>
  <c r="G48" i="5"/>
  <c r="G40" i="5"/>
  <c r="G36" i="5"/>
  <c r="G32" i="5"/>
  <c r="G28" i="5"/>
  <c r="G24" i="5"/>
  <c r="G20" i="5"/>
  <c r="G16" i="5"/>
  <c r="G12" i="5"/>
  <c r="G8" i="5"/>
  <c r="G53" i="5"/>
  <c r="G41" i="5"/>
  <c r="G29" i="5"/>
  <c r="G21" i="5"/>
  <c r="G13" i="5"/>
  <c r="G60" i="5"/>
  <c r="G52" i="5"/>
  <c r="G44" i="5"/>
  <c r="G59" i="5"/>
  <c r="G55" i="5"/>
  <c r="G51" i="5"/>
  <c r="G47" i="5"/>
  <c r="G43" i="5"/>
  <c r="G39" i="5"/>
  <c r="G35" i="5"/>
  <c r="G31" i="5"/>
  <c r="G27" i="5"/>
  <c r="G23" i="5"/>
  <c r="G19" i="5"/>
  <c r="G15" i="5"/>
  <c r="G11" i="5"/>
  <c r="G7" i="5"/>
  <c r="G57" i="5"/>
  <c r="G45" i="5"/>
  <c r="G37" i="5"/>
  <c r="G25" i="5"/>
  <c r="G9" i="5"/>
  <c r="G4" i="5"/>
  <c r="G58" i="5"/>
  <c r="G54" i="5"/>
  <c r="G50" i="5"/>
  <c r="G46" i="5"/>
  <c r="G42" i="5"/>
  <c r="G38" i="5"/>
  <c r="G34" i="5"/>
  <c r="G30" i="5"/>
  <c r="G26" i="5"/>
  <c r="G22" i="5"/>
  <c r="G18" i="5"/>
  <c r="G14" i="5"/>
  <c r="G10" i="5"/>
  <c r="G6" i="5"/>
  <c r="G95" i="5"/>
  <c r="G87" i="5"/>
  <c r="G79" i="5"/>
  <c r="G71" i="5"/>
  <c r="G63" i="5"/>
  <c r="G108" i="5"/>
  <c r="G112" i="5"/>
  <c r="G94" i="5"/>
  <c r="G86" i="5"/>
  <c r="G78" i="5"/>
  <c r="G70" i="5"/>
  <c r="G104" i="5"/>
  <c r="G107" i="5"/>
  <c r="G115" i="5"/>
  <c r="G97" i="5"/>
  <c r="G93" i="5"/>
  <c r="G89" i="5"/>
  <c r="G85" i="5"/>
  <c r="G81" i="5"/>
  <c r="G77" i="5"/>
  <c r="G73" i="5"/>
  <c r="G69" i="5"/>
  <c r="G65" i="5"/>
  <c r="G103" i="5"/>
  <c r="G99" i="5"/>
  <c r="G106" i="5"/>
  <c r="G114" i="5"/>
  <c r="G117" i="5"/>
  <c r="G62" i="5"/>
  <c r="G91" i="5"/>
  <c r="G83" i="5"/>
  <c r="G75" i="5"/>
  <c r="G67" i="5"/>
  <c r="G101" i="5"/>
  <c r="G111" i="5"/>
  <c r="G98" i="5"/>
  <c r="G90" i="5"/>
  <c r="G82" i="5"/>
  <c r="G74" i="5"/>
  <c r="G66" i="5"/>
  <c r="G100" i="5"/>
  <c r="G110" i="5"/>
  <c r="G96" i="5"/>
  <c r="G92" i="5"/>
  <c r="G88" i="5"/>
  <c r="G84" i="5"/>
  <c r="G80" i="5"/>
  <c r="G76" i="5"/>
  <c r="G72" i="5"/>
  <c r="G68" i="5"/>
  <c r="G64" i="5"/>
  <c r="G102" i="5"/>
  <c r="G109" i="5"/>
  <c r="G105" i="5"/>
  <c r="G113" i="5"/>
  <c r="G116" i="5"/>
  <c r="D53" i="5"/>
  <c r="D33" i="5"/>
  <c r="D25" i="5"/>
  <c r="D9" i="5"/>
  <c r="C58" i="5"/>
  <c r="E54" i="5"/>
  <c r="C50" i="5"/>
  <c r="E46" i="5"/>
  <c r="C42" i="5"/>
  <c r="E38" i="5"/>
  <c r="E34" i="5"/>
  <c r="E30" i="5"/>
  <c r="D26" i="5"/>
  <c r="E22" i="5"/>
  <c r="D18" i="5"/>
  <c r="E14" i="5"/>
  <c r="D10" i="5"/>
  <c r="C6" i="5"/>
  <c r="D61" i="5"/>
  <c r="D41" i="5"/>
  <c r="D12" i="5"/>
  <c r="D8" i="5"/>
  <c r="C59" i="5"/>
  <c r="D55" i="5"/>
  <c r="D51" i="5"/>
  <c r="C47" i="5"/>
  <c r="C43" i="5"/>
  <c r="D39" i="5"/>
  <c r="D35" i="5"/>
  <c r="C31" i="5"/>
  <c r="C27" i="5"/>
  <c r="D23" i="5"/>
  <c r="D19" i="5"/>
  <c r="C15" i="5"/>
  <c r="E11" i="5"/>
  <c r="D7" i="5"/>
  <c r="F97" i="5"/>
  <c r="F93" i="5"/>
  <c r="F89" i="5"/>
  <c r="F85" i="5"/>
  <c r="F81" i="5"/>
  <c r="F77" i="5"/>
  <c r="F73" i="5"/>
  <c r="F69" i="5"/>
  <c r="F65" i="5"/>
  <c r="F103" i="5"/>
  <c r="F99" i="5"/>
  <c r="F106" i="5"/>
  <c r="F117" i="5"/>
  <c r="E96" i="5"/>
  <c r="E92" i="5"/>
  <c r="E88" i="5"/>
  <c r="E84" i="5"/>
  <c r="E80" i="5"/>
  <c r="E76" i="5"/>
  <c r="E72" i="5"/>
  <c r="E68" i="5"/>
  <c r="E64" i="5"/>
  <c r="F102" i="5"/>
  <c r="F109" i="5"/>
  <c r="F105" i="5"/>
  <c r="F113" i="5"/>
  <c r="E116" i="5"/>
  <c r="F62" i="5"/>
  <c r="F95" i="5"/>
  <c r="F91" i="5"/>
  <c r="F87" i="5"/>
  <c r="F83" i="5"/>
  <c r="F79" i="5"/>
  <c r="F75" i="5"/>
  <c r="F71" i="5"/>
  <c r="F67" i="5"/>
  <c r="F63" i="5"/>
  <c r="F101" i="5"/>
  <c r="E108" i="5"/>
  <c r="F111" i="5"/>
  <c r="E112" i="5"/>
  <c r="F98" i="5"/>
  <c r="F94" i="5"/>
  <c r="F90" i="5"/>
  <c r="F86" i="5"/>
  <c r="F82" i="5"/>
  <c r="F78" i="5"/>
  <c r="F74" i="5"/>
  <c r="F70" i="5"/>
  <c r="F66" i="5"/>
  <c r="E104" i="5"/>
  <c r="E100" i="5"/>
  <c r="F107" i="5"/>
  <c r="F110" i="5"/>
  <c r="F115" i="5"/>
  <c r="E95" i="5"/>
  <c r="C95" i="5"/>
  <c r="D95" i="5"/>
  <c r="C79" i="5"/>
  <c r="D79" i="5"/>
  <c r="E79" i="5"/>
  <c r="C63" i="5"/>
  <c r="D63" i="5"/>
  <c r="E63" i="5"/>
  <c r="C115" i="5"/>
  <c r="D115" i="5"/>
  <c r="E115" i="5"/>
  <c r="C91" i="5"/>
  <c r="C75" i="5"/>
  <c r="D91" i="5"/>
  <c r="D75" i="5"/>
  <c r="E91" i="5"/>
  <c r="E75" i="5"/>
  <c r="C111" i="5"/>
  <c r="C87" i="5"/>
  <c r="C71" i="5"/>
  <c r="D111" i="5"/>
  <c r="D87" i="5"/>
  <c r="D71" i="5"/>
  <c r="E111" i="5"/>
  <c r="E87" i="5"/>
  <c r="E71" i="5"/>
  <c r="C107" i="5"/>
  <c r="C83" i="5"/>
  <c r="C67" i="5"/>
  <c r="D107" i="5"/>
  <c r="D83" i="5"/>
  <c r="D67" i="5"/>
  <c r="E107" i="5"/>
  <c r="E83" i="5"/>
  <c r="E67" i="5"/>
  <c r="D103" i="5"/>
  <c r="D99" i="5"/>
  <c r="C114" i="5"/>
  <c r="C110" i="5"/>
  <c r="C106" i="5"/>
  <c r="C102" i="5"/>
  <c r="C98" i="5"/>
  <c r="C94" i="5"/>
  <c r="C90" i="5"/>
  <c r="C86" i="5"/>
  <c r="C82" i="5"/>
  <c r="C78" i="5"/>
  <c r="C74" i="5"/>
  <c r="C70" i="5"/>
  <c r="C66" i="5"/>
  <c r="C62" i="5"/>
  <c r="D114" i="5"/>
  <c r="D110" i="5"/>
  <c r="D106" i="5"/>
  <c r="D102" i="5"/>
  <c r="D98" i="5"/>
  <c r="D94" i="5"/>
  <c r="D90" i="5"/>
  <c r="D86" i="5"/>
  <c r="D82" i="5"/>
  <c r="D78" i="5"/>
  <c r="D74" i="5"/>
  <c r="D70" i="5"/>
  <c r="D66" i="5"/>
  <c r="D62" i="5"/>
  <c r="E114" i="5"/>
  <c r="E110" i="5"/>
  <c r="E106" i="5"/>
  <c r="E102" i="5"/>
  <c r="E98" i="5"/>
  <c r="E94" i="5"/>
  <c r="E90" i="5"/>
  <c r="E86" i="5"/>
  <c r="E82" i="5"/>
  <c r="E78" i="5"/>
  <c r="E74" i="5"/>
  <c r="E70" i="5"/>
  <c r="E66" i="5"/>
  <c r="E62" i="5"/>
  <c r="F116" i="5"/>
  <c r="F114" i="5"/>
  <c r="F112" i="5"/>
  <c r="F108" i="5"/>
  <c r="F104" i="5"/>
  <c r="F100" i="5"/>
  <c r="F96" i="5"/>
  <c r="F92" i="5"/>
  <c r="F88" i="5"/>
  <c r="F84" i="5"/>
  <c r="F80" i="5"/>
  <c r="F76" i="5"/>
  <c r="F72" i="5"/>
  <c r="F68" i="5"/>
  <c r="F64" i="5"/>
  <c r="E103" i="5"/>
  <c r="E99" i="5"/>
  <c r="C117" i="5"/>
  <c r="C113" i="5"/>
  <c r="C109" i="5"/>
  <c r="C105" i="5"/>
  <c r="C101" i="5"/>
  <c r="C97" i="5"/>
  <c r="C93" i="5"/>
  <c r="C89" i="5"/>
  <c r="C85" i="5"/>
  <c r="C81" i="5"/>
  <c r="C77" i="5"/>
  <c r="C73" i="5"/>
  <c r="C69" i="5"/>
  <c r="C65" i="5"/>
  <c r="D117" i="5"/>
  <c r="D113" i="5"/>
  <c r="D109" i="5"/>
  <c r="D105" i="5"/>
  <c r="D101" i="5"/>
  <c r="D97" i="5"/>
  <c r="D93" i="5"/>
  <c r="D89" i="5"/>
  <c r="D85" i="5"/>
  <c r="D81" i="5"/>
  <c r="D77" i="5"/>
  <c r="D73" i="5"/>
  <c r="D69" i="5"/>
  <c r="D65" i="5"/>
  <c r="E117" i="5"/>
  <c r="E113" i="5"/>
  <c r="E109" i="5"/>
  <c r="E105" i="5"/>
  <c r="E101" i="5"/>
  <c r="E97" i="5"/>
  <c r="E93" i="5"/>
  <c r="E89" i="5"/>
  <c r="E85" i="5"/>
  <c r="E81" i="5"/>
  <c r="E77" i="5"/>
  <c r="E73" i="5"/>
  <c r="E69" i="5"/>
  <c r="E65" i="5"/>
  <c r="C103" i="5"/>
  <c r="C99" i="5"/>
  <c r="C116" i="5"/>
  <c r="C112" i="5"/>
  <c r="C108" i="5"/>
  <c r="C104" i="5"/>
  <c r="C100" i="5"/>
  <c r="C96" i="5"/>
  <c r="C92" i="5"/>
  <c r="C88" i="5"/>
  <c r="C84" i="5"/>
  <c r="C80" i="5"/>
  <c r="C76" i="5"/>
  <c r="C72" i="5"/>
  <c r="C68" i="5"/>
  <c r="C64" i="5"/>
  <c r="D116" i="5"/>
  <c r="D112" i="5"/>
  <c r="D108" i="5"/>
  <c r="D104" i="5"/>
  <c r="D100" i="5"/>
  <c r="D96" i="5"/>
  <c r="D92" i="5"/>
  <c r="D88" i="5"/>
  <c r="D84" i="5"/>
  <c r="D80" i="5"/>
  <c r="D76" i="5"/>
  <c r="D72" i="5"/>
  <c r="D68" i="5"/>
  <c r="D64" i="5"/>
  <c r="D59" i="5"/>
  <c r="D43" i="5"/>
  <c r="D27" i="5"/>
  <c r="D11" i="5"/>
  <c r="C55" i="5"/>
  <c r="C39" i="5"/>
  <c r="C23" i="5"/>
  <c r="C7" i="5"/>
  <c r="D47" i="5"/>
  <c r="D31" i="5"/>
  <c r="D15" i="5"/>
  <c r="C51" i="5"/>
  <c r="C35" i="5"/>
  <c r="C19" i="5"/>
  <c r="C11" i="5"/>
  <c r="E58" i="5"/>
  <c r="E50" i="5"/>
  <c r="E42" i="5"/>
  <c r="E26" i="5"/>
  <c r="E18" i="5"/>
  <c r="E10" i="5"/>
  <c r="F54" i="5"/>
  <c r="F46" i="5"/>
  <c r="F38" i="5"/>
  <c r="F30" i="5"/>
  <c r="F22" i="5"/>
  <c r="F14" i="5"/>
  <c r="F57" i="5"/>
  <c r="F49" i="5"/>
  <c r="F45" i="5"/>
  <c r="F37" i="5"/>
  <c r="F29" i="5"/>
  <c r="F21" i="5"/>
  <c r="F17" i="5"/>
  <c r="F13" i="5"/>
  <c r="C30" i="5"/>
  <c r="C22" i="5"/>
  <c r="C18" i="5"/>
  <c r="C10" i="5"/>
  <c r="D54" i="5"/>
  <c r="D46" i="5"/>
  <c r="D38" i="5"/>
  <c r="E61" i="5"/>
  <c r="E53" i="5"/>
  <c r="E49" i="5"/>
  <c r="E41" i="5"/>
  <c r="E33" i="5"/>
  <c r="E29" i="5"/>
  <c r="E21" i="5"/>
  <c r="E17" i="5"/>
  <c r="E13" i="5"/>
  <c r="F60" i="5"/>
  <c r="F56" i="5"/>
  <c r="F52" i="5"/>
  <c r="F48" i="5"/>
  <c r="F44" i="5"/>
  <c r="F40" i="5"/>
  <c r="F36" i="5"/>
  <c r="F32" i="5"/>
  <c r="F28" i="5"/>
  <c r="F24" i="5"/>
  <c r="F20" i="5"/>
  <c r="F16" i="5"/>
  <c r="C61" i="5"/>
  <c r="C57" i="5"/>
  <c r="C53" i="5"/>
  <c r="C49" i="5"/>
  <c r="C45" i="5"/>
  <c r="C41" i="5"/>
  <c r="C37" i="5"/>
  <c r="C33" i="5"/>
  <c r="C29" i="5"/>
  <c r="C25" i="5"/>
  <c r="C21" i="5"/>
  <c r="C17" i="5"/>
  <c r="C13" i="5"/>
  <c r="C9" i="5"/>
  <c r="D57" i="5"/>
  <c r="D49" i="5"/>
  <c r="D45" i="5"/>
  <c r="D37" i="5"/>
  <c r="D29" i="5"/>
  <c r="D21" i="5"/>
  <c r="D17" i="5"/>
  <c r="D13" i="5"/>
  <c r="E60" i="5"/>
  <c r="E56" i="5"/>
  <c r="E52" i="5"/>
  <c r="E48" i="5"/>
  <c r="E44" i="5"/>
  <c r="E40" i="5"/>
  <c r="E36" i="5"/>
  <c r="E32" i="5"/>
  <c r="E28" i="5"/>
  <c r="E24" i="5"/>
  <c r="E20" i="5"/>
  <c r="E16" i="5"/>
  <c r="E12" i="5"/>
  <c r="F58" i="5"/>
  <c r="F50" i="5"/>
  <c r="F42" i="5"/>
  <c r="F34" i="5"/>
  <c r="F26" i="5"/>
  <c r="F18" i="5"/>
  <c r="F61" i="5"/>
  <c r="F53" i="5"/>
  <c r="F41" i="5"/>
  <c r="F33" i="5"/>
  <c r="F25" i="5"/>
  <c r="C54" i="5"/>
  <c r="C46" i="5"/>
  <c r="C38" i="5"/>
  <c r="C34" i="5"/>
  <c r="C26" i="5"/>
  <c r="C14" i="5"/>
  <c r="D58" i="5"/>
  <c r="D50" i="5"/>
  <c r="D42" i="5"/>
  <c r="D34" i="5"/>
  <c r="D30" i="5"/>
  <c r="D22" i="5"/>
  <c r="D14" i="5"/>
  <c r="E57" i="5"/>
  <c r="E45" i="5"/>
  <c r="E37" i="5"/>
  <c r="E25" i="5"/>
  <c r="F59" i="5"/>
  <c r="F55" i="5"/>
  <c r="F51" i="5"/>
  <c r="F47" i="5"/>
  <c r="F43" i="5"/>
  <c r="F39" i="5"/>
  <c r="F35" i="5"/>
  <c r="F31" i="5"/>
  <c r="F27" i="5"/>
  <c r="F23" i="5"/>
  <c r="F19" i="5"/>
  <c r="F15" i="5"/>
  <c r="C60" i="5"/>
  <c r="C56" i="5"/>
  <c r="C52" i="5"/>
  <c r="C48" i="5"/>
  <c r="C44" i="5"/>
  <c r="C40" i="5"/>
  <c r="C36" i="5"/>
  <c r="C32" i="5"/>
  <c r="C28" i="5"/>
  <c r="C24" i="5"/>
  <c r="C20" i="5"/>
  <c r="C16" i="5"/>
  <c r="C12" i="5"/>
  <c r="C8" i="5"/>
  <c r="D60" i="5"/>
  <c r="D56" i="5"/>
  <c r="D52" i="5"/>
  <c r="D48" i="5"/>
  <c r="D44" i="5"/>
  <c r="D40" i="5"/>
  <c r="D36" i="5"/>
  <c r="D32" i="5"/>
  <c r="D28" i="5"/>
  <c r="D24" i="5"/>
  <c r="D20" i="5"/>
  <c r="D16" i="5"/>
  <c r="E59" i="5"/>
  <c r="E55" i="5"/>
  <c r="E51" i="5"/>
  <c r="E47" i="5"/>
  <c r="E43" i="5"/>
  <c r="E39" i="5"/>
  <c r="E35" i="5"/>
  <c r="E31" i="5"/>
  <c r="E27" i="5"/>
  <c r="E23" i="5"/>
  <c r="E19" i="5"/>
  <c r="E15" i="5"/>
  <c r="AL61" i="1" l="1"/>
  <c r="BJ60" i="1"/>
  <c r="BI60" i="1"/>
  <c r="BH60" i="1"/>
  <c r="BG60" i="1"/>
  <c r="BF60" i="1"/>
  <c r="BB60" i="1"/>
  <c r="BA60" i="1"/>
  <c r="AZ60" i="1"/>
  <c r="AY60" i="1"/>
  <c r="AX60" i="1"/>
  <c r="AP60" i="1"/>
  <c r="AO60" i="1"/>
  <c r="AN60" i="1"/>
  <c r="AM60" i="1"/>
  <c r="AL60" i="1"/>
  <c r="AD60" i="1"/>
  <c r="AC60" i="1"/>
  <c r="AB60" i="1"/>
  <c r="AA60" i="1"/>
  <c r="Z60" i="1"/>
  <c r="R60" i="1"/>
  <c r="Q60" i="1"/>
  <c r="P60" i="1"/>
  <c r="O60" i="1"/>
  <c r="N60" i="1"/>
  <c r="D5" i="5"/>
  <c r="AO37" i="1"/>
  <c r="BJ58" i="3"/>
  <c r="BI58" i="3"/>
  <c r="BH58" i="3"/>
  <c r="BG58" i="3"/>
  <c r="BF58" i="3"/>
  <c r="BB58" i="3"/>
  <c r="BA58" i="3"/>
  <c r="AZ58" i="3"/>
  <c r="AY58" i="3"/>
  <c r="AX58" i="3"/>
  <c r="AP58" i="3"/>
  <c r="AO58" i="3"/>
  <c r="AN58" i="3"/>
  <c r="AM58" i="3"/>
  <c r="AL58" i="3"/>
  <c r="AD58" i="3"/>
  <c r="AC58" i="3"/>
  <c r="AB58" i="3"/>
  <c r="AA58" i="3"/>
  <c r="Z58" i="3"/>
  <c r="R58" i="3"/>
  <c r="Q58" i="3"/>
  <c r="P58" i="3"/>
  <c r="O58" i="3"/>
  <c r="N58" i="3"/>
  <c r="F11" i="5" l="1"/>
  <c r="E7" i="5"/>
  <c r="F7" i="5"/>
  <c r="F10" i="5"/>
  <c r="E6" i="5"/>
  <c r="F6" i="5"/>
  <c r="F12" i="5"/>
  <c r="E8" i="5"/>
  <c r="F8" i="5"/>
  <c r="E9" i="5"/>
  <c r="F9" i="5"/>
  <c r="E5" i="5"/>
  <c r="F5" i="5"/>
  <c r="C5" i="5"/>
  <c r="D6" i="5"/>
  <c r="BP63" i="1"/>
  <c r="BP64" i="1"/>
  <c r="BP65" i="1"/>
  <c r="BP66" i="1"/>
  <c r="BP67" i="1"/>
  <c r="BP68" i="1"/>
  <c r="BP69" i="1"/>
  <c r="BP70" i="1"/>
  <c r="BP71" i="1"/>
  <c r="BP72" i="1"/>
  <c r="R35" i="1" l="1"/>
  <c r="N61" i="1"/>
  <c r="O61" i="1"/>
  <c r="P61" i="1"/>
  <c r="Q61" i="1"/>
  <c r="R61" i="1"/>
  <c r="Z61" i="1"/>
  <c r="AA61" i="1"/>
  <c r="AB61" i="1"/>
  <c r="AC61" i="1"/>
  <c r="AD61" i="1"/>
  <c r="AM61" i="1"/>
  <c r="AN61" i="1"/>
  <c r="AO61" i="1"/>
  <c r="AP61" i="1"/>
  <c r="AX61" i="1"/>
  <c r="AY61" i="1"/>
  <c r="AZ61" i="1"/>
  <c r="BA61" i="1"/>
  <c r="BB61" i="1"/>
  <c r="BF61" i="1"/>
  <c r="BG61" i="1"/>
  <c r="BH61" i="1"/>
  <c r="BI61" i="1"/>
  <c r="BJ61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AW68" i="1"/>
  <c r="AV68" i="1"/>
  <c r="AU68" i="1"/>
  <c r="AT68" i="1"/>
  <c r="AS68" i="1"/>
  <c r="AR68" i="1"/>
  <c r="AQ68" i="1"/>
  <c r="AW67" i="1"/>
  <c r="AV67" i="1"/>
  <c r="AU67" i="1"/>
  <c r="AT67" i="1"/>
  <c r="AS67" i="1"/>
  <c r="AR67" i="1"/>
  <c r="AQ67" i="1"/>
  <c r="AW66" i="1"/>
  <c r="AV66" i="1"/>
  <c r="AU66" i="1"/>
  <c r="AT66" i="1"/>
  <c r="AS66" i="1"/>
  <c r="AR66" i="1"/>
  <c r="AQ66" i="1"/>
  <c r="AW65" i="1"/>
  <c r="AV65" i="1"/>
  <c r="AU65" i="1"/>
  <c r="AT65" i="1"/>
  <c r="AS65" i="1"/>
  <c r="AR65" i="1"/>
  <c r="AQ65" i="1"/>
  <c r="AW64" i="1"/>
  <c r="AV64" i="1"/>
  <c r="AU64" i="1"/>
  <c r="AT64" i="1"/>
  <c r="AS64" i="1"/>
  <c r="AR64" i="1"/>
  <c r="AQ64" i="1"/>
  <c r="AW63" i="1"/>
  <c r="AV63" i="1"/>
  <c r="AU63" i="1"/>
  <c r="AT63" i="1"/>
  <c r="AS63" i="1"/>
  <c r="AR63" i="1"/>
  <c r="AQ63" i="1"/>
  <c r="AK68" i="1"/>
  <c r="AJ68" i="1"/>
  <c r="AI68" i="1"/>
  <c r="AH68" i="1"/>
  <c r="AG68" i="1"/>
  <c r="AF68" i="1"/>
  <c r="AE68" i="1"/>
  <c r="AK67" i="1"/>
  <c r="AJ67" i="1"/>
  <c r="AI67" i="1"/>
  <c r="AH67" i="1"/>
  <c r="AG67" i="1"/>
  <c r="AF67" i="1"/>
  <c r="AE67" i="1"/>
  <c r="AK66" i="1"/>
  <c r="AJ66" i="1"/>
  <c r="AI66" i="1"/>
  <c r="AH66" i="1"/>
  <c r="AG66" i="1"/>
  <c r="AF66" i="1"/>
  <c r="AE66" i="1"/>
  <c r="AK65" i="1"/>
  <c r="AJ65" i="1"/>
  <c r="AI65" i="1"/>
  <c r="AH65" i="1"/>
  <c r="AG65" i="1"/>
  <c r="AF65" i="1"/>
  <c r="AE65" i="1"/>
  <c r="AK64" i="1"/>
  <c r="AJ64" i="1"/>
  <c r="AI64" i="1"/>
  <c r="AH64" i="1"/>
  <c r="AG64" i="1"/>
  <c r="AF64" i="1"/>
  <c r="AE64" i="1"/>
  <c r="AK63" i="1"/>
  <c r="AJ63" i="1"/>
  <c r="AI63" i="1"/>
  <c r="AH63" i="1"/>
  <c r="AG63" i="1"/>
  <c r="AF63" i="1"/>
  <c r="AE63" i="1"/>
  <c r="Y68" i="1"/>
  <c r="X68" i="1"/>
  <c r="W68" i="1"/>
  <c r="V68" i="1"/>
  <c r="U68" i="1"/>
  <c r="T68" i="1"/>
  <c r="S68" i="1"/>
  <c r="Y67" i="1"/>
  <c r="X67" i="1"/>
  <c r="W67" i="1"/>
  <c r="V67" i="1"/>
  <c r="U67" i="1"/>
  <c r="T67" i="1"/>
  <c r="S67" i="1"/>
  <c r="Y66" i="1"/>
  <c r="X66" i="1"/>
  <c r="W66" i="1"/>
  <c r="V66" i="1"/>
  <c r="U66" i="1"/>
  <c r="T66" i="1"/>
  <c r="S66" i="1"/>
  <c r="Y65" i="1"/>
  <c r="X65" i="1"/>
  <c r="W65" i="1"/>
  <c r="V65" i="1"/>
  <c r="U65" i="1"/>
  <c r="T65" i="1"/>
  <c r="S65" i="1"/>
  <c r="Y64" i="1"/>
  <c r="X64" i="1"/>
  <c r="W64" i="1"/>
  <c r="V64" i="1"/>
  <c r="U64" i="1"/>
  <c r="T64" i="1"/>
  <c r="S64" i="1"/>
  <c r="Y63" i="1"/>
  <c r="X63" i="1"/>
  <c r="W63" i="1"/>
  <c r="V63" i="1"/>
  <c r="U63" i="1"/>
  <c r="T63" i="1"/>
  <c r="S63" i="1"/>
  <c r="M68" i="1"/>
  <c r="L68" i="1"/>
  <c r="K68" i="1"/>
  <c r="J68" i="1"/>
  <c r="I68" i="1"/>
  <c r="M67" i="1"/>
  <c r="L67" i="1"/>
  <c r="K67" i="1"/>
  <c r="J67" i="1"/>
  <c r="I67" i="1"/>
  <c r="M66" i="1"/>
  <c r="L66" i="1"/>
  <c r="K66" i="1"/>
  <c r="J66" i="1"/>
  <c r="I66" i="1"/>
  <c r="M65" i="1"/>
  <c r="L65" i="1"/>
  <c r="K65" i="1"/>
  <c r="J65" i="1"/>
  <c r="I65" i="1"/>
  <c r="M64" i="1"/>
  <c r="L64" i="1"/>
  <c r="K64" i="1"/>
  <c r="J64" i="1"/>
  <c r="I64" i="1"/>
  <c r="M63" i="1"/>
  <c r="L63" i="1"/>
  <c r="K63" i="1"/>
  <c r="J63" i="1"/>
  <c r="I63" i="1"/>
  <c r="H68" i="1"/>
  <c r="H67" i="1"/>
  <c r="H66" i="1"/>
  <c r="H65" i="1"/>
  <c r="H64" i="1"/>
  <c r="J70" i="1" l="1"/>
  <c r="J71" i="1" s="1"/>
  <c r="U69" i="1"/>
  <c r="U72" i="1" s="1"/>
  <c r="S69" i="1"/>
  <c r="S72" i="1" s="1"/>
  <c r="W69" i="1"/>
  <c r="W72" i="1" s="1"/>
  <c r="T70" i="1"/>
  <c r="T71" i="1" s="1"/>
  <c r="X70" i="1"/>
  <c r="X71" i="1" s="1"/>
  <c r="AE69" i="1"/>
  <c r="AE72" i="1" s="1"/>
  <c r="AH70" i="1"/>
  <c r="AH71" i="1" s="1"/>
  <c r="AW69" i="1"/>
  <c r="AW72" i="1" s="1"/>
  <c r="AQ69" i="1"/>
  <c r="AQ72" i="1" s="1"/>
  <c r="AR70" i="1"/>
  <c r="AR71" i="1" s="1"/>
  <c r="AV70" i="1"/>
  <c r="AV71" i="1" s="1"/>
  <c r="BC69" i="1"/>
  <c r="BC72" i="1" s="1"/>
  <c r="I69" i="1"/>
  <c r="I72" i="1" s="1"/>
  <c r="AU69" i="1"/>
  <c r="AU72" i="1" s="1"/>
  <c r="AS69" i="1"/>
  <c r="AS72" i="1" s="1"/>
  <c r="Y69" i="1"/>
  <c r="Y72" i="1" s="1"/>
  <c r="J69" i="1"/>
  <c r="J72" i="1" s="1"/>
  <c r="K70" i="1"/>
  <c r="K71" i="1" s="1"/>
  <c r="V69" i="1"/>
  <c r="V72" i="1" s="1"/>
  <c r="T69" i="1"/>
  <c r="T72" i="1" s="1"/>
  <c r="X69" i="1"/>
  <c r="X72" i="1" s="1"/>
  <c r="U70" i="1"/>
  <c r="U71" i="1" s="1"/>
  <c r="Y70" i="1"/>
  <c r="Y71" i="1" s="1"/>
  <c r="AF69" i="1"/>
  <c r="AF72" i="1" s="1"/>
  <c r="AJ69" i="1"/>
  <c r="AJ72" i="1" s="1"/>
  <c r="AE70" i="1"/>
  <c r="AE71" i="1" s="1"/>
  <c r="AI70" i="1"/>
  <c r="AI71" i="1" s="1"/>
  <c r="AT69" i="1"/>
  <c r="AT72" i="1" s="1"/>
  <c r="AS70" i="1"/>
  <c r="AS71" i="1" s="1"/>
  <c r="AW70" i="1"/>
  <c r="AW71" i="1" s="1"/>
  <c r="BD69" i="1"/>
  <c r="BD72" i="1" s="1"/>
  <c r="BC70" i="1"/>
  <c r="BC71" i="1" s="1"/>
  <c r="M69" i="1"/>
  <c r="M72" i="1" s="1"/>
  <c r="L70" i="1"/>
  <c r="L71" i="1" s="1"/>
  <c r="V70" i="1"/>
  <c r="V71" i="1" s="1"/>
  <c r="AG69" i="1"/>
  <c r="AG72" i="1" s="1"/>
  <c r="AK69" i="1"/>
  <c r="AK72" i="1" s="1"/>
  <c r="AI69" i="1"/>
  <c r="AI72" i="1" s="1"/>
  <c r="AF70" i="1"/>
  <c r="AF71" i="1" s="1"/>
  <c r="AJ70" i="1"/>
  <c r="AJ71" i="1" s="1"/>
  <c r="AT70" i="1"/>
  <c r="AT71" i="1" s="1"/>
  <c r="BE69" i="1"/>
  <c r="BE72" i="1" s="1"/>
  <c r="BD70" i="1"/>
  <c r="BD71" i="1" s="1"/>
  <c r="K69" i="1"/>
  <c r="K72" i="1" s="1"/>
  <c r="L69" i="1"/>
  <c r="L72" i="1" s="1"/>
  <c r="I70" i="1"/>
  <c r="I71" i="1" s="1"/>
  <c r="M70" i="1"/>
  <c r="M71" i="1" s="1"/>
  <c r="S70" i="1"/>
  <c r="S71" i="1" s="1"/>
  <c r="W70" i="1"/>
  <c r="W71" i="1" s="1"/>
  <c r="AH69" i="1"/>
  <c r="AH72" i="1" s="1"/>
  <c r="AG70" i="1"/>
  <c r="AG71" i="1" s="1"/>
  <c r="AK70" i="1"/>
  <c r="AK71" i="1" s="1"/>
  <c r="AR69" i="1"/>
  <c r="AR72" i="1" s="1"/>
  <c r="AV69" i="1"/>
  <c r="AV72" i="1" s="1"/>
  <c r="AQ70" i="1"/>
  <c r="AQ71" i="1" s="1"/>
  <c r="AU70" i="1"/>
  <c r="AU71" i="1" s="1"/>
  <c r="BE70" i="1"/>
  <c r="BE71" i="1" s="1"/>
  <c r="H63" i="1"/>
  <c r="G63" i="1"/>
  <c r="AL57" i="3"/>
  <c r="AM57" i="3"/>
  <c r="AN57" i="3"/>
  <c r="AO57" i="3"/>
  <c r="AP57" i="3"/>
  <c r="AL59" i="3"/>
  <c r="AM59" i="3"/>
  <c r="AN59" i="3"/>
  <c r="AO59" i="3"/>
  <c r="AP59" i="3"/>
  <c r="Z57" i="3"/>
  <c r="AA57" i="3"/>
  <c r="AB57" i="3"/>
  <c r="AC57" i="3"/>
  <c r="AD57" i="3"/>
  <c r="Z59" i="3"/>
  <c r="AA59" i="3"/>
  <c r="AB59" i="3"/>
  <c r="AC59" i="3"/>
  <c r="AD59" i="3"/>
  <c r="N57" i="3"/>
  <c r="O57" i="3"/>
  <c r="P57" i="3"/>
  <c r="Q57" i="3"/>
  <c r="R57" i="3"/>
  <c r="N59" i="3"/>
  <c r="O59" i="3"/>
  <c r="P59" i="3"/>
  <c r="Q59" i="3"/>
  <c r="R59" i="3"/>
  <c r="AX57" i="3"/>
  <c r="AY57" i="3"/>
  <c r="AZ57" i="3"/>
  <c r="BA57" i="3"/>
  <c r="BB57" i="3"/>
  <c r="AX59" i="3"/>
  <c r="AY59" i="3"/>
  <c r="AZ59" i="3"/>
  <c r="BA59" i="3"/>
  <c r="BB59" i="3"/>
  <c r="BF57" i="3"/>
  <c r="BG57" i="3"/>
  <c r="BH57" i="3"/>
  <c r="BI57" i="3"/>
  <c r="BJ57" i="3"/>
  <c r="BF59" i="3"/>
  <c r="BG59" i="3"/>
  <c r="BH59" i="3"/>
  <c r="BI59" i="3"/>
  <c r="BJ59" i="3"/>
  <c r="BE69" i="3"/>
  <c r="BE68" i="3"/>
  <c r="BE67" i="3"/>
  <c r="BE66" i="3"/>
  <c r="BE65" i="3"/>
  <c r="BE64" i="3"/>
  <c r="BE70" i="3" l="1"/>
  <c r="BE73" i="3" s="1"/>
  <c r="BE71" i="3"/>
  <c r="BE72" i="3" s="1"/>
  <c r="G68" i="1"/>
  <c r="G67" i="1"/>
  <c r="G66" i="1"/>
  <c r="G65" i="1"/>
  <c r="G64" i="1"/>
  <c r="N59" i="1"/>
  <c r="O59" i="1"/>
  <c r="P59" i="1"/>
  <c r="Q59" i="1"/>
  <c r="R59" i="1"/>
  <c r="AL59" i="1"/>
  <c r="AM59" i="1"/>
  <c r="AN59" i="1"/>
  <c r="AO59" i="1"/>
  <c r="AP59" i="1"/>
  <c r="AX59" i="1"/>
  <c r="AY59" i="1"/>
  <c r="AZ59" i="1"/>
  <c r="BA59" i="1"/>
  <c r="BB59" i="1"/>
  <c r="BF59" i="1"/>
  <c r="BG59" i="1"/>
  <c r="BH59" i="1"/>
  <c r="BI59" i="1"/>
  <c r="BJ59" i="1"/>
  <c r="Z59" i="1"/>
  <c r="AA59" i="1"/>
  <c r="AB59" i="1"/>
  <c r="AC59" i="1"/>
  <c r="AD59" i="1"/>
  <c r="H69" i="1" l="1"/>
  <c r="H72" i="1" s="1"/>
  <c r="H70" i="1"/>
  <c r="H71" i="1" s="1"/>
  <c r="Z55" i="3"/>
  <c r="AA55" i="3"/>
  <c r="AB55" i="3"/>
  <c r="AC55" i="3"/>
  <c r="AD55" i="3"/>
  <c r="Z56" i="3"/>
  <c r="AA56" i="3"/>
  <c r="AB56" i="3"/>
  <c r="AC56" i="3"/>
  <c r="AD56" i="3"/>
  <c r="AL55" i="3"/>
  <c r="AM55" i="3"/>
  <c r="AN55" i="3"/>
  <c r="AO55" i="3"/>
  <c r="AP55" i="3"/>
  <c r="AL56" i="3"/>
  <c r="AM56" i="3"/>
  <c r="AN56" i="3"/>
  <c r="AO56" i="3"/>
  <c r="AP56" i="3"/>
  <c r="AX55" i="3"/>
  <c r="AY55" i="3"/>
  <c r="AZ55" i="3"/>
  <c r="BA55" i="3"/>
  <c r="BB55" i="3"/>
  <c r="AX56" i="3"/>
  <c r="AY56" i="3"/>
  <c r="AZ56" i="3"/>
  <c r="BA56" i="3"/>
  <c r="BB56" i="3"/>
  <c r="BF55" i="3"/>
  <c r="BG55" i="3"/>
  <c r="BH55" i="3"/>
  <c r="BI55" i="3"/>
  <c r="BJ55" i="3"/>
  <c r="BF56" i="3"/>
  <c r="BG56" i="3"/>
  <c r="BH56" i="3"/>
  <c r="BI56" i="3"/>
  <c r="BJ56" i="3"/>
  <c r="N55" i="3"/>
  <c r="O55" i="3"/>
  <c r="P55" i="3"/>
  <c r="Q55" i="3"/>
  <c r="R55" i="3"/>
  <c r="N56" i="3"/>
  <c r="O56" i="3"/>
  <c r="P56" i="3"/>
  <c r="Q56" i="3"/>
  <c r="R56" i="3"/>
  <c r="G3" i="1"/>
  <c r="AX5" i="3" l="1"/>
  <c r="AY5" i="3"/>
  <c r="AZ5" i="3"/>
  <c r="BA5" i="3"/>
  <c r="BB5" i="3"/>
  <c r="AX6" i="3"/>
  <c r="AY6" i="3"/>
  <c r="AZ6" i="3"/>
  <c r="BA6" i="3"/>
  <c r="BB6" i="3"/>
  <c r="AX7" i="3"/>
  <c r="AY7" i="3"/>
  <c r="AZ7" i="3"/>
  <c r="BA7" i="3"/>
  <c r="BB7" i="3"/>
  <c r="AX8" i="3"/>
  <c r="AY8" i="3"/>
  <c r="AZ8" i="3"/>
  <c r="BA8" i="3"/>
  <c r="BB8" i="3"/>
  <c r="AX9" i="3"/>
  <c r="AY9" i="3"/>
  <c r="AZ9" i="3"/>
  <c r="BA9" i="3"/>
  <c r="BB9" i="3"/>
  <c r="AX10" i="3"/>
  <c r="AY10" i="3"/>
  <c r="AZ10" i="3"/>
  <c r="BA10" i="3"/>
  <c r="BB10" i="3"/>
  <c r="AX11" i="3"/>
  <c r="AY11" i="3"/>
  <c r="AZ11" i="3"/>
  <c r="BA11" i="3"/>
  <c r="BB11" i="3"/>
  <c r="AX12" i="3"/>
  <c r="AY12" i="3"/>
  <c r="AZ12" i="3"/>
  <c r="BA12" i="3"/>
  <c r="BB12" i="3"/>
  <c r="AX13" i="3"/>
  <c r="AY13" i="3"/>
  <c r="AZ13" i="3"/>
  <c r="BA13" i="3"/>
  <c r="BB13" i="3"/>
  <c r="AX14" i="3"/>
  <c r="AY14" i="3"/>
  <c r="AZ14" i="3"/>
  <c r="BA14" i="3"/>
  <c r="BB14" i="3"/>
  <c r="AX15" i="3"/>
  <c r="AY15" i="3"/>
  <c r="AZ15" i="3"/>
  <c r="BA15" i="3"/>
  <c r="BB15" i="3"/>
  <c r="AX16" i="3"/>
  <c r="AY16" i="3"/>
  <c r="AZ16" i="3"/>
  <c r="BA16" i="3"/>
  <c r="BB16" i="3"/>
  <c r="AX17" i="3"/>
  <c r="AY17" i="3"/>
  <c r="AZ17" i="3"/>
  <c r="BA17" i="3"/>
  <c r="BB17" i="3"/>
  <c r="AX18" i="3"/>
  <c r="AY18" i="3"/>
  <c r="AZ18" i="3"/>
  <c r="BA18" i="3"/>
  <c r="BB18" i="3"/>
  <c r="AX19" i="3"/>
  <c r="AY19" i="3"/>
  <c r="AZ19" i="3"/>
  <c r="BA19" i="3"/>
  <c r="BB19" i="3"/>
  <c r="AX20" i="3"/>
  <c r="AY20" i="3"/>
  <c r="AZ20" i="3"/>
  <c r="BA20" i="3"/>
  <c r="BB20" i="3"/>
  <c r="AX21" i="3"/>
  <c r="AY21" i="3"/>
  <c r="AZ21" i="3"/>
  <c r="BA21" i="3"/>
  <c r="BB21" i="3"/>
  <c r="AX22" i="3"/>
  <c r="AY22" i="3"/>
  <c r="AZ22" i="3"/>
  <c r="BA22" i="3"/>
  <c r="BB22" i="3"/>
  <c r="AX23" i="3"/>
  <c r="AY23" i="3"/>
  <c r="AZ23" i="3"/>
  <c r="BA23" i="3"/>
  <c r="BB23" i="3"/>
  <c r="AX24" i="3"/>
  <c r="AY24" i="3"/>
  <c r="AZ24" i="3"/>
  <c r="BA24" i="3"/>
  <c r="BB24" i="3"/>
  <c r="AX25" i="3"/>
  <c r="AY25" i="3"/>
  <c r="AZ25" i="3"/>
  <c r="BA25" i="3"/>
  <c r="BB25" i="3"/>
  <c r="AX26" i="3"/>
  <c r="AY26" i="3"/>
  <c r="AZ26" i="3"/>
  <c r="BA26" i="3"/>
  <c r="BB26" i="3"/>
  <c r="AX27" i="3"/>
  <c r="AY27" i="3"/>
  <c r="AZ27" i="3"/>
  <c r="BA27" i="3"/>
  <c r="BB27" i="3"/>
  <c r="AX28" i="3"/>
  <c r="AY28" i="3"/>
  <c r="AZ28" i="3"/>
  <c r="BA28" i="3"/>
  <c r="BB28" i="3"/>
  <c r="AX29" i="3"/>
  <c r="AY29" i="3"/>
  <c r="AZ29" i="3"/>
  <c r="BA29" i="3"/>
  <c r="BB29" i="3"/>
  <c r="AX30" i="3"/>
  <c r="AY30" i="3"/>
  <c r="AZ30" i="3"/>
  <c r="BA30" i="3"/>
  <c r="BB30" i="3"/>
  <c r="AX31" i="3"/>
  <c r="AY31" i="3"/>
  <c r="AZ31" i="3"/>
  <c r="BA31" i="3"/>
  <c r="BB31" i="3"/>
  <c r="AX32" i="3"/>
  <c r="AY32" i="3"/>
  <c r="AZ32" i="3"/>
  <c r="BA32" i="3"/>
  <c r="BB32" i="3"/>
  <c r="AX33" i="3"/>
  <c r="AY33" i="3"/>
  <c r="AZ33" i="3"/>
  <c r="BA33" i="3"/>
  <c r="BB33" i="3"/>
  <c r="AX34" i="3"/>
  <c r="AY34" i="3"/>
  <c r="AZ34" i="3"/>
  <c r="BA34" i="3"/>
  <c r="BB34" i="3"/>
  <c r="AX35" i="3"/>
  <c r="AY35" i="3"/>
  <c r="AZ35" i="3"/>
  <c r="BA35" i="3"/>
  <c r="BB35" i="3"/>
  <c r="AX36" i="3"/>
  <c r="AY36" i="3"/>
  <c r="AZ36" i="3"/>
  <c r="BA36" i="3"/>
  <c r="BB36" i="3"/>
  <c r="AX37" i="3"/>
  <c r="AY37" i="3"/>
  <c r="AZ37" i="3"/>
  <c r="BA37" i="3"/>
  <c r="BB37" i="3"/>
  <c r="AX38" i="3"/>
  <c r="AY38" i="3"/>
  <c r="AZ38" i="3"/>
  <c r="BA38" i="3"/>
  <c r="BB38" i="3"/>
  <c r="AX39" i="3"/>
  <c r="AY39" i="3"/>
  <c r="AZ39" i="3"/>
  <c r="BA39" i="3"/>
  <c r="BB39" i="3"/>
  <c r="AX40" i="3"/>
  <c r="AY40" i="3"/>
  <c r="AZ40" i="3"/>
  <c r="BA40" i="3"/>
  <c r="BB40" i="3"/>
  <c r="AX41" i="3"/>
  <c r="AY41" i="3"/>
  <c r="AZ41" i="3"/>
  <c r="BA41" i="3"/>
  <c r="BB41" i="3"/>
  <c r="AX42" i="3"/>
  <c r="AY42" i="3"/>
  <c r="AZ42" i="3"/>
  <c r="BA42" i="3"/>
  <c r="BB42" i="3"/>
  <c r="AX43" i="3"/>
  <c r="AY43" i="3"/>
  <c r="AZ43" i="3"/>
  <c r="BA43" i="3"/>
  <c r="BB43" i="3"/>
  <c r="AX44" i="3"/>
  <c r="AY44" i="3"/>
  <c r="AZ44" i="3"/>
  <c r="BA44" i="3"/>
  <c r="BB44" i="3"/>
  <c r="AX45" i="3"/>
  <c r="AY45" i="3"/>
  <c r="AZ45" i="3"/>
  <c r="BA45" i="3"/>
  <c r="BB45" i="3"/>
  <c r="AX46" i="3"/>
  <c r="AY46" i="3"/>
  <c r="AZ46" i="3"/>
  <c r="BA46" i="3"/>
  <c r="BB46" i="3"/>
  <c r="AX47" i="3"/>
  <c r="AY47" i="3"/>
  <c r="AZ47" i="3"/>
  <c r="BA47" i="3"/>
  <c r="BB47" i="3"/>
  <c r="AX48" i="3"/>
  <c r="AY48" i="3"/>
  <c r="AZ48" i="3"/>
  <c r="BA48" i="3"/>
  <c r="BB48" i="3"/>
  <c r="AX49" i="3"/>
  <c r="AY49" i="3"/>
  <c r="AZ49" i="3"/>
  <c r="BA49" i="3"/>
  <c r="BB49" i="3"/>
  <c r="AX50" i="3"/>
  <c r="AY50" i="3"/>
  <c r="AZ50" i="3"/>
  <c r="BA50" i="3"/>
  <c r="BB50" i="3"/>
  <c r="AX51" i="3"/>
  <c r="AY51" i="3"/>
  <c r="AZ51" i="3"/>
  <c r="BA51" i="3"/>
  <c r="BB51" i="3"/>
  <c r="AX52" i="3"/>
  <c r="AY52" i="3"/>
  <c r="AZ52" i="3"/>
  <c r="BA52" i="3"/>
  <c r="BB52" i="3"/>
  <c r="AX53" i="3"/>
  <c r="AY53" i="3"/>
  <c r="AZ53" i="3"/>
  <c r="BA53" i="3"/>
  <c r="BB53" i="3"/>
  <c r="AX54" i="3"/>
  <c r="AY54" i="3"/>
  <c r="AZ54" i="3"/>
  <c r="BA54" i="3"/>
  <c r="BB54" i="3"/>
  <c r="AL5" i="3"/>
  <c r="AM5" i="3"/>
  <c r="AN5" i="3"/>
  <c r="AO5" i="3"/>
  <c r="AP5" i="3"/>
  <c r="AL6" i="3"/>
  <c r="AM6" i="3"/>
  <c r="AN6" i="3"/>
  <c r="AO6" i="3"/>
  <c r="AP6" i="3"/>
  <c r="AL7" i="3"/>
  <c r="AM7" i="3"/>
  <c r="AN7" i="3"/>
  <c r="AO7" i="3"/>
  <c r="AP7" i="3"/>
  <c r="AL8" i="3"/>
  <c r="AM8" i="3"/>
  <c r="AN8" i="3"/>
  <c r="AO8" i="3"/>
  <c r="AP8" i="3"/>
  <c r="AL9" i="3"/>
  <c r="AM9" i="3"/>
  <c r="AN9" i="3"/>
  <c r="AO9" i="3"/>
  <c r="AP9" i="3"/>
  <c r="AL10" i="3"/>
  <c r="AM10" i="3"/>
  <c r="AN10" i="3"/>
  <c r="AO10" i="3"/>
  <c r="AP10" i="3"/>
  <c r="AL11" i="3"/>
  <c r="AM11" i="3"/>
  <c r="AN11" i="3"/>
  <c r="AO11" i="3"/>
  <c r="AP11" i="3"/>
  <c r="AL12" i="3"/>
  <c r="AM12" i="3"/>
  <c r="AN12" i="3"/>
  <c r="AO12" i="3"/>
  <c r="AP12" i="3"/>
  <c r="AL13" i="3"/>
  <c r="AM13" i="3"/>
  <c r="AN13" i="3"/>
  <c r="AO13" i="3"/>
  <c r="AP13" i="3"/>
  <c r="AL14" i="3"/>
  <c r="AM14" i="3"/>
  <c r="AN14" i="3"/>
  <c r="AO14" i="3"/>
  <c r="AP14" i="3"/>
  <c r="AL15" i="3"/>
  <c r="AM15" i="3"/>
  <c r="AN15" i="3"/>
  <c r="AO15" i="3"/>
  <c r="AP15" i="3"/>
  <c r="AL16" i="3"/>
  <c r="AM16" i="3"/>
  <c r="AN16" i="3"/>
  <c r="AO16" i="3"/>
  <c r="AP16" i="3"/>
  <c r="AL17" i="3"/>
  <c r="AM17" i="3"/>
  <c r="AN17" i="3"/>
  <c r="AO17" i="3"/>
  <c r="AP17" i="3"/>
  <c r="AL18" i="3"/>
  <c r="AM18" i="3"/>
  <c r="AN18" i="3"/>
  <c r="AO18" i="3"/>
  <c r="AP18" i="3"/>
  <c r="AL19" i="3"/>
  <c r="AM19" i="3"/>
  <c r="AN19" i="3"/>
  <c r="AO19" i="3"/>
  <c r="AP19" i="3"/>
  <c r="AL20" i="3"/>
  <c r="AM20" i="3"/>
  <c r="AN20" i="3"/>
  <c r="AO20" i="3"/>
  <c r="AP20" i="3"/>
  <c r="AL21" i="3"/>
  <c r="AM21" i="3"/>
  <c r="AN21" i="3"/>
  <c r="AO21" i="3"/>
  <c r="AP21" i="3"/>
  <c r="AL22" i="3"/>
  <c r="AM22" i="3"/>
  <c r="AN22" i="3"/>
  <c r="AO22" i="3"/>
  <c r="AP22" i="3"/>
  <c r="AL23" i="3"/>
  <c r="AM23" i="3"/>
  <c r="AN23" i="3"/>
  <c r="AO23" i="3"/>
  <c r="AP23" i="3"/>
  <c r="AL24" i="3"/>
  <c r="AM24" i="3"/>
  <c r="AN24" i="3"/>
  <c r="AO24" i="3"/>
  <c r="AP24" i="3"/>
  <c r="AL25" i="3"/>
  <c r="AM25" i="3"/>
  <c r="AN25" i="3"/>
  <c r="AO25" i="3"/>
  <c r="AP25" i="3"/>
  <c r="AL26" i="3"/>
  <c r="AM26" i="3"/>
  <c r="AN26" i="3"/>
  <c r="AO26" i="3"/>
  <c r="AP26" i="3"/>
  <c r="AL27" i="3"/>
  <c r="AM27" i="3"/>
  <c r="AN27" i="3"/>
  <c r="AO27" i="3"/>
  <c r="AP27" i="3"/>
  <c r="AL28" i="3"/>
  <c r="AM28" i="3"/>
  <c r="AN28" i="3"/>
  <c r="AO28" i="3"/>
  <c r="AP28" i="3"/>
  <c r="AL29" i="3"/>
  <c r="AM29" i="3"/>
  <c r="AN29" i="3"/>
  <c r="AO29" i="3"/>
  <c r="AP29" i="3"/>
  <c r="AL30" i="3"/>
  <c r="AM30" i="3"/>
  <c r="AN30" i="3"/>
  <c r="AO30" i="3"/>
  <c r="AP30" i="3"/>
  <c r="AL31" i="3"/>
  <c r="AM31" i="3"/>
  <c r="AN31" i="3"/>
  <c r="AO31" i="3"/>
  <c r="AP31" i="3"/>
  <c r="AL32" i="3"/>
  <c r="AM32" i="3"/>
  <c r="AN32" i="3"/>
  <c r="AO32" i="3"/>
  <c r="AP32" i="3"/>
  <c r="AL33" i="3"/>
  <c r="AM33" i="3"/>
  <c r="AN33" i="3"/>
  <c r="AO33" i="3"/>
  <c r="AP33" i="3"/>
  <c r="AL34" i="3"/>
  <c r="AM34" i="3"/>
  <c r="AN34" i="3"/>
  <c r="AO34" i="3"/>
  <c r="AP34" i="3"/>
  <c r="AL35" i="3"/>
  <c r="AM35" i="3"/>
  <c r="AN35" i="3"/>
  <c r="AO35" i="3"/>
  <c r="AP35" i="3"/>
  <c r="AL36" i="3"/>
  <c r="AM36" i="3"/>
  <c r="AN36" i="3"/>
  <c r="AO36" i="3"/>
  <c r="AP36" i="3"/>
  <c r="AL37" i="3"/>
  <c r="AM37" i="3"/>
  <c r="AN37" i="3"/>
  <c r="AO37" i="3"/>
  <c r="AP37" i="3"/>
  <c r="AL38" i="3"/>
  <c r="AM38" i="3"/>
  <c r="AN38" i="3"/>
  <c r="AO38" i="3"/>
  <c r="AP38" i="3"/>
  <c r="AL39" i="3"/>
  <c r="AM39" i="3"/>
  <c r="AN39" i="3"/>
  <c r="AO39" i="3"/>
  <c r="AP39" i="3"/>
  <c r="AL40" i="3"/>
  <c r="AM40" i="3"/>
  <c r="AN40" i="3"/>
  <c r="AO40" i="3"/>
  <c r="AP40" i="3"/>
  <c r="AL41" i="3"/>
  <c r="AM41" i="3"/>
  <c r="AN41" i="3"/>
  <c r="AO41" i="3"/>
  <c r="AP41" i="3"/>
  <c r="AL42" i="3"/>
  <c r="AM42" i="3"/>
  <c r="AN42" i="3"/>
  <c r="AO42" i="3"/>
  <c r="AP42" i="3"/>
  <c r="AL43" i="3"/>
  <c r="AM43" i="3"/>
  <c r="AN43" i="3"/>
  <c r="AO43" i="3"/>
  <c r="AP43" i="3"/>
  <c r="AL44" i="3"/>
  <c r="AM44" i="3"/>
  <c r="AN44" i="3"/>
  <c r="AO44" i="3"/>
  <c r="AP44" i="3"/>
  <c r="AL45" i="3"/>
  <c r="AM45" i="3"/>
  <c r="AN45" i="3"/>
  <c r="AO45" i="3"/>
  <c r="AP45" i="3"/>
  <c r="AL46" i="3"/>
  <c r="AM46" i="3"/>
  <c r="AN46" i="3"/>
  <c r="AO46" i="3"/>
  <c r="AP46" i="3"/>
  <c r="AL47" i="3"/>
  <c r="AM47" i="3"/>
  <c r="AN47" i="3"/>
  <c r="AO47" i="3"/>
  <c r="AP47" i="3"/>
  <c r="AL48" i="3"/>
  <c r="AM48" i="3"/>
  <c r="AN48" i="3"/>
  <c r="AO48" i="3"/>
  <c r="AP48" i="3"/>
  <c r="AL49" i="3"/>
  <c r="AM49" i="3"/>
  <c r="AN49" i="3"/>
  <c r="AO49" i="3"/>
  <c r="AP49" i="3"/>
  <c r="AL50" i="3"/>
  <c r="AM50" i="3"/>
  <c r="AN50" i="3"/>
  <c r="AO50" i="3"/>
  <c r="AP50" i="3"/>
  <c r="AL51" i="3"/>
  <c r="AM51" i="3"/>
  <c r="AN51" i="3"/>
  <c r="AO51" i="3"/>
  <c r="AP51" i="3"/>
  <c r="AL52" i="3"/>
  <c r="AM52" i="3"/>
  <c r="AN52" i="3"/>
  <c r="AO52" i="3"/>
  <c r="AP52" i="3"/>
  <c r="AL53" i="3"/>
  <c r="AM53" i="3"/>
  <c r="AN53" i="3"/>
  <c r="AO53" i="3"/>
  <c r="AP53" i="3"/>
  <c r="AL54" i="3"/>
  <c r="AM54" i="3"/>
  <c r="AN54" i="3"/>
  <c r="AO54" i="3"/>
  <c r="AP54" i="3"/>
  <c r="Z5" i="3"/>
  <c r="AA5" i="3"/>
  <c r="AB5" i="3"/>
  <c r="AC5" i="3"/>
  <c r="AD5" i="3"/>
  <c r="Z6" i="3"/>
  <c r="AA6" i="3"/>
  <c r="AB6" i="3"/>
  <c r="AC6" i="3"/>
  <c r="AD6" i="3"/>
  <c r="Z7" i="3"/>
  <c r="AA7" i="3"/>
  <c r="AB7" i="3"/>
  <c r="AC7" i="3"/>
  <c r="AD7" i="3"/>
  <c r="Z8" i="3"/>
  <c r="AA8" i="3"/>
  <c r="AB8" i="3"/>
  <c r="AC8" i="3"/>
  <c r="AD8" i="3"/>
  <c r="Z9" i="3"/>
  <c r="AA9" i="3"/>
  <c r="AB9" i="3"/>
  <c r="AC9" i="3"/>
  <c r="AD9" i="3"/>
  <c r="Z10" i="3"/>
  <c r="AA10" i="3"/>
  <c r="AB10" i="3"/>
  <c r="AC10" i="3"/>
  <c r="AD10" i="3"/>
  <c r="Z11" i="3"/>
  <c r="AA11" i="3"/>
  <c r="AB11" i="3"/>
  <c r="AC11" i="3"/>
  <c r="AD11" i="3"/>
  <c r="Z12" i="3"/>
  <c r="AA12" i="3"/>
  <c r="AB12" i="3"/>
  <c r="AC12" i="3"/>
  <c r="AD12" i="3"/>
  <c r="Z13" i="3"/>
  <c r="AA13" i="3"/>
  <c r="AB13" i="3"/>
  <c r="AC13" i="3"/>
  <c r="AD13" i="3"/>
  <c r="Z14" i="3"/>
  <c r="AA14" i="3"/>
  <c r="AB14" i="3"/>
  <c r="AC14" i="3"/>
  <c r="AD14" i="3"/>
  <c r="Z15" i="3"/>
  <c r="AA15" i="3"/>
  <c r="AB15" i="3"/>
  <c r="AC15" i="3"/>
  <c r="AD15" i="3"/>
  <c r="Z16" i="3"/>
  <c r="AA16" i="3"/>
  <c r="AB16" i="3"/>
  <c r="AC16" i="3"/>
  <c r="AD16" i="3"/>
  <c r="Z17" i="3"/>
  <c r="AA17" i="3"/>
  <c r="AB17" i="3"/>
  <c r="AC17" i="3"/>
  <c r="AD17" i="3"/>
  <c r="Z18" i="3"/>
  <c r="AA18" i="3"/>
  <c r="AB18" i="3"/>
  <c r="AC18" i="3"/>
  <c r="AD18" i="3"/>
  <c r="Z19" i="3"/>
  <c r="AA19" i="3"/>
  <c r="AB19" i="3"/>
  <c r="AC19" i="3"/>
  <c r="AD19" i="3"/>
  <c r="Z20" i="3"/>
  <c r="AA20" i="3"/>
  <c r="AB20" i="3"/>
  <c r="AC20" i="3"/>
  <c r="AD20" i="3"/>
  <c r="Z21" i="3"/>
  <c r="AA21" i="3"/>
  <c r="AB21" i="3"/>
  <c r="AC21" i="3"/>
  <c r="AD21" i="3"/>
  <c r="Z22" i="3"/>
  <c r="AA22" i="3"/>
  <c r="AB22" i="3"/>
  <c r="AC22" i="3"/>
  <c r="AD22" i="3"/>
  <c r="Z23" i="3"/>
  <c r="AA23" i="3"/>
  <c r="AB23" i="3"/>
  <c r="AC23" i="3"/>
  <c r="AD23" i="3"/>
  <c r="Z24" i="3"/>
  <c r="AA24" i="3"/>
  <c r="AB24" i="3"/>
  <c r="AC24" i="3"/>
  <c r="AD24" i="3"/>
  <c r="Z25" i="3"/>
  <c r="AA25" i="3"/>
  <c r="AB25" i="3"/>
  <c r="AC25" i="3"/>
  <c r="AD25" i="3"/>
  <c r="Z26" i="3"/>
  <c r="AA26" i="3"/>
  <c r="AB26" i="3"/>
  <c r="AC26" i="3"/>
  <c r="AD26" i="3"/>
  <c r="Z27" i="3"/>
  <c r="AA27" i="3"/>
  <c r="AB27" i="3"/>
  <c r="AC27" i="3"/>
  <c r="AD27" i="3"/>
  <c r="Z28" i="3"/>
  <c r="AA28" i="3"/>
  <c r="AB28" i="3"/>
  <c r="AC28" i="3"/>
  <c r="AD28" i="3"/>
  <c r="Z29" i="3"/>
  <c r="AA29" i="3"/>
  <c r="AB29" i="3"/>
  <c r="AC29" i="3"/>
  <c r="AD29" i="3"/>
  <c r="Z30" i="3"/>
  <c r="AA30" i="3"/>
  <c r="AB30" i="3"/>
  <c r="AC30" i="3"/>
  <c r="AD30" i="3"/>
  <c r="Z31" i="3"/>
  <c r="AA31" i="3"/>
  <c r="AB31" i="3"/>
  <c r="AC31" i="3"/>
  <c r="AD31" i="3"/>
  <c r="Z32" i="3"/>
  <c r="AA32" i="3"/>
  <c r="AB32" i="3"/>
  <c r="AC32" i="3"/>
  <c r="AD32" i="3"/>
  <c r="Z33" i="3"/>
  <c r="AA33" i="3"/>
  <c r="AB33" i="3"/>
  <c r="AC33" i="3"/>
  <c r="AD33" i="3"/>
  <c r="Z34" i="3"/>
  <c r="AA34" i="3"/>
  <c r="AB34" i="3"/>
  <c r="AC34" i="3"/>
  <c r="AD34" i="3"/>
  <c r="Z35" i="3"/>
  <c r="AA35" i="3"/>
  <c r="AB35" i="3"/>
  <c r="AC35" i="3"/>
  <c r="AD35" i="3"/>
  <c r="Z36" i="3"/>
  <c r="AA36" i="3"/>
  <c r="AB36" i="3"/>
  <c r="AC36" i="3"/>
  <c r="AD36" i="3"/>
  <c r="Z37" i="3"/>
  <c r="AA37" i="3"/>
  <c r="AB37" i="3"/>
  <c r="AC37" i="3"/>
  <c r="AD37" i="3"/>
  <c r="Z38" i="3"/>
  <c r="AA38" i="3"/>
  <c r="AB38" i="3"/>
  <c r="AC38" i="3"/>
  <c r="AD38" i="3"/>
  <c r="Z39" i="3"/>
  <c r="AA39" i="3"/>
  <c r="AB39" i="3"/>
  <c r="AC39" i="3"/>
  <c r="AD39" i="3"/>
  <c r="Z40" i="3"/>
  <c r="AA40" i="3"/>
  <c r="AB40" i="3"/>
  <c r="AC40" i="3"/>
  <c r="AD40" i="3"/>
  <c r="Z41" i="3"/>
  <c r="AA41" i="3"/>
  <c r="AB41" i="3"/>
  <c r="AC41" i="3"/>
  <c r="AD41" i="3"/>
  <c r="Z42" i="3"/>
  <c r="AA42" i="3"/>
  <c r="AB42" i="3"/>
  <c r="AC42" i="3"/>
  <c r="AD42" i="3"/>
  <c r="Z43" i="3"/>
  <c r="AA43" i="3"/>
  <c r="AB43" i="3"/>
  <c r="AC43" i="3"/>
  <c r="AD43" i="3"/>
  <c r="Z44" i="3"/>
  <c r="AA44" i="3"/>
  <c r="AB44" i="3"/>
  <c r="AC44" i="3"/>
  <c r="AD44" i="3"/>
  <c r="Z45" i="3"/>
  <c r="AA45" i="3"/>
  <c r="AB45" i="3"/>
  <c r="AC45" i="3"/>
  <c r="AD45" i="3"/>
  <c r="Z46" i="3"/>
  <c r="AA46" i="3"/>
  <c r="AB46" i="3"/>
  <c r="AC46" i="3"/>
  <c r="AD46" i="3"/>
  <c r="Z47" i="3"/>
  <c r="AA47" i="3"/>
  <c r="AB47" i="3"/>
  <c r="AC47" i="3"/>
  <c r="AD47" i="3"/>
  <c r="Z48" i="3"/>
  <c r="AA48" i="3"/>
  <c r="AB48" i="3"/>
  <c r="AC48" i="3"/>
  <c r="AD48" i="3"/>
  <c r="Z49" i="3"/>
  <c r="AA49" i="3"/>
  <c r="AB49" i="3"/>
  <c r="AC49" i="3"/>
  <c r="AD49" i="3"/>
  <c r="Z50" i="3"/>
  <c r="AA50" i="3"/>
  <c r="AB50" i="3"/>
  <c r="AC50" i="3"/>
  <c r="AD50" i="3"/>
  <c r="Z51" i="3"/>
  <c r="AA51" i="3"/>
  <c r="AB51" i="3"/>
  <c r="AC51" i="3"/>
  <c r="AD51" i="3"/>
  <c r="Z52" i="3"/>
  <c r="AA52" i="3"/>
  <c r="AB52" i="3"/>
  <c r="AC52" i="3"/>
  <c r="AD52" i="3"/>
  <c r="Z53" i="3"/>
  <c r="AA53" i="3"/>
  <c r="AB53" i="3"/>
  <c r="AC53" i="3"/>
  <c r="AD53" i="3"/>
  <c r="Z54" i="3"/>
  <c r="AA54" i="3"/>
  <c r="AB54" i="3"/>
  <c r="AC54" i="3"/>
  <c r="AD54" i="3"/>
  <c r="N5" i="3"/>
  <c r="O5" i="3"/>
  <c r="P5" i="3"/>
  <c r="Q5" i="3"/>
  <c r="R5" i="3"/>
  <c r="N6" i="3"/>
  <c r="O6" i="3"/>
  <c r="P6" i="3"/>
  <c r="Q6" i="3"/>
  <c r="R6" i="3"/>
  <c r="N7" i="3"/>
  <c r="O7" i="3"/>
  <c r="P7" i="3"/>
  <c r="Q7" i="3"/>
  <c r="R7" i="3"/>
  <c r="N8" i="3"/>
  <c r="O8" i="3"/>
  <c r="P8" i="3"/>
  <c r="Q8" i="3"/>
  <c r="R8" i="3"/>
  <c r="N9" i="3"/>
  <c r="O9" i="3"/>
  <c r="P9" i="3"/>
  <c r="Q9" i="3"/>
  <c r="R9" i="3"/>
  <c r="N10" i="3"/>
  <c r="O10" i="3"/>
  <c r="P10" i="3"/>
  <c r="Q10" i="3"/>
  <c r="R10" i="3"/>
  <c r="N11" i="3"/>
  <c r="O11" i="3"/>
  <c r="P11" i="3"/>
  <c r="Q11" i="3"/>
  <c r="R11" i="3"/>
  <c r="N12" i="3"/>
  <c r="O12" i="3"/>
  <c r="P12" i="3"/>
  <c r="Q12" i="3"/>
  <c r="R12" i="3"/>
  <c r="N13" i="3"/>
  <c r="O13" i="3"/>
  <c r="P13" i="3"/>
  <c r="Q13" i="3"/>
  <c r="R13" i="3"/>
  <c r="N14" i="3"/>
  <c r="O14" i="3"/>
  <c r="P14" i="3"/>
  <c r="Q14" i="3"/>
  <c r="R14" i="3"/>
  <c r="N15" i="3"/>
  <c r="O15" i="3"/>
  <c r="P15" i="3"/>
  <c r="Q15" i="3"/>
  <c r="R15" i="3"/>
  <c r="N16" i="3"/>
  <c r="O16" i="3"/>
  <c r="P16" i="3"/>
  <c r="Q16" i="3"/>
  <c r="R16" i="3"/>
  <c r="N17" i="3"/>
  <c r="O17" i="3"/>
  <c r="P17" i="3"/>
  <c r="Q17" i="3"/>
  <c r="R17" i="3"/>
  <c r="N18" i="3"/>
  <c r="O18" i="3"/>
  <c r="P18" i="3"/>
  <c r="Q18" i="3"/>
  <c r="R18" i="3"/>
  <c r="N19" i="3"/>
  <c r="O19" i="3"/>
  <c r="P19" i="3"/>
  <c r="Q19" i="3"/>
  <c r="R19" i="3"/>
  <c r="N20" i="3"/>
  <c r="O20" i="3"/>
  <c r="P20" i="3"/>
  <c r="Q20" i="3"/>
  <c r="R20" i="3"/>
  <c r="N21" i="3"/>
  <c r="O21" i="3"/>
  <c r="P21" i="3"/>
  <c r="Q21" i="3"/>
  <c r="R21" i="3"/>
  <c r="N22" i="3"/>
  <c r="O22" i="3"/>
  <c r="P22" i="3"/>
  <c r="Q22" i="3"/>
  <c r="R22" i="3"/>
  <c r="N23" i="3"/>
  <c r="O23" i="3"/>
  <c r="P23" i="3"/>
  <c r="Q23" i="3"/>
  <c r="R23" i="3"/>
  <c r="N24" i="3"/>
  <c r="O24" i="3"/>
  <c r="P24" i="3"/>
  <c r="Q24" i="3"/>
  <c r="R24" i="3"/>
  <c r="N25" i="3"/>
  <c r="O25" i="3"/>
  <c r="P25" i="3"/>
  <c r="Q25" i="3"/>
  <c r="R25" i="3"/>
  <c r="N26" i="3"/>
  <c r="O26" i="3"/>
  <c r="P26" i="3"/>
  <c r="Q26" i="3"/>
  <c r="R26" i="3"/>
  <c r="N27" i="3"/>
  <c r="O27" i="3"/>
  <c r="P27" i="3"/>
  <c r="Q27" i="3"/>
  <c r="R27" i="3"/>
  <c r="N28" i="3"/>
  <c r="O28" i="3"/>
  <c r="P28" i="3"/>
  <c r="Q28" i="3"/>
  <c r="R28" i="3"/>
  <c r="N29" i="3"/>
  <c r="O29" i="3"/>
  <c r="P29" i="3"/>
  <c r="Q29" i="3"/>
  <c r="R29" i="3"/>
  <c r="N30" i="3"/>
  <c r="O30" i="3"/>
  <c r="P30" i="3"/>
  <c r="Q30" i="3"/>
  <c r="R30" i="3"/>
  <c r="N31" i="3"/>
  <c r="O31" i="3"/>
  <c r="P31" i="3"/>
  <c r="Q31" i="3"/>
  <c r="R31" i="3"/>
  <c r="N32" i="3"/>
  <c r="O32" i="3"/>
  <c r="P32" i="3"/>
  <c r="Q32" i="3"/>
  <c r="R32" i="3"/>
  <c r="N33" i="3"/>
  <c r="O33" i="3"/>
  <c r="P33" i="3"/>
  <c r="Q33" i="3"/>
  <c r="R33" i="3"/>
  <c r="N34" i="3"/>
  <c r="O34" i="3"/>
  <c r="P34" i="3"/>
  <c r="Q34" i="3"/>
  <c r="R34" i="3"/>
  <c r="N35" i="3"/>
  <c r="O35" i="3"/>
  <c r="P35" i="3"/>
  <c r="Q35" i="3"/>
  <c r="R35" i="3"/>
  <c r="N36" i="3"/>
  <c r="O36" i="3"/>
  <c r="P36" i="3"/>
  <c r="Q36" i="3"/>
  <c r="R36" i="3"/>
  <c r="N37" i="3"/>
  <c r="O37" i="3"/>
  <c r="P37" i="3"/>
  <c r="Q37" i="3"/>
  <c r="R37" i="3"/>
  <c r="N38" i="3"/>
  <c r="O38" i="3"/>
  <c r="P38" i="3"/>
  <c r="Q38" i="3"/>
  <c r="R38" i="3"/>
  <c r="N39" i="3"/>
  <c r="O39" i="3"/>
  <c r="P39" i="3"/>
  <c r="Q39" i="3"/>
  <c r="R39" i="3"/>
  <c r="N40" i="3"/>
  <c r="O40" i="3"/>
  <c r="P40" i="3"/>
  <c r="Q40" i="3"/>
  <c r="R40" i="3"/>
  <c r="N41" i="3"/>
  <c r="O41" i="3"/>
  <c r="P41" i="3"/>
  <c r="Q41" i="3"/>
  <c r="R41" i="3"/>
  <c r="N42" i="3"/>
  <c r="O42" i="3"/>
  <c r="P42" i="3"/>
  <c r="Q42" i="3"/>
  <c r="R42" i="3"/>
  <c r="N43" i="3"/>
  <c r="O43" i="3"/>
  <c r="P43" i="3"/>
  <c r="Q43" i="3"/>
  <c r="R43" i="3"/>
  <c r="N44" i="3"/>
  <c r="O44" i="3"/>
  <c r="P44" i="3"/>
  <c r="Q44" i="3"/>
  <c r="R44" i="3"/>
  <c r="N45" i="3"/>
  <c r="O45" i="3"/>
  <c r="P45" i="3"/>
  <c r="Q45" i="3"/>
  <c r="R45" i="3"/>
  <c r="N46" i="3"/>
  <c r="O46" i="3"/>
  <c r="P46" i="3"/>
  <c r="Q46" i="3"/>
  <c r="R46" i="3"/>
  <c r="N47" i="3"/>
  <c r="O47" i="3"/>
  <c r="P47" i="3"/>
  <c r="Q47" i="3"/>
  <c r="R47" i="3"/>
  <c r="N48" i="3"/>
  <c r="O48" i="3"/>
  <c r="P48" i="3"/>
  <c r="Q48" i="3"/>
  <c r="R48" i="3"/>
  <c r="N49" i="3"/>
  <c r="O49" i="3"/>
  <c r="P49" i="3"/>
  <c r="Q49" i="3"/>
  <c r="R49" i="3"/>
  <c r="N50" i="3"/>
  <c r="O50" i="3"/>
  <c r="P50" i="3"/>
  <c r="Q50" i="3"/>
  <c r="R50" i="3"/>
  <c r="N51" i="3"/>
  <c r="O51" i="3"/>
  <c r="P51" i="3"/>
  <c r="Q51" i="3"/>
  <c r="R51" i="3"/>
  <c r="N52" i="3"/>
  <c r="O52" i="3"/>
  <c r="P52" i="3"/>
  <c r="Q52" i="3"/>
  <c r="R52" i="3"/>
  <c r="N53" i="3"/>
  <c r="O53" i="3"/>
  <c r="P53" i="3"/>
  <c r="Q53" i="3"/>
  <c r="R53" i="3"/>
  <c r="N54" i="3"/>
  <c r="O54" i="3"/>
  <c r="P54" i="3"/>
  <c r="Q54" i="3"/>
  <c r="R54" i="3"/>
  <c r="BF5" i="3"/>
  <c r="BG5" i="3"/>
  <c r="BH5" i="3"/>
  <c r="BI5" i="3"/>
  <c r="BJ5" i="3"/>
  <c r="BF6" i="3"/>
  <c r="BG6" i="3"/>
  <c r="BH6" i="3"/>
  <c r="BI6" i="3"/>
  <c r="BJ6" i="3"/>
  <c r="BF7" i="3"/>
  <c r="BG7" i="3"/>
  <c r="BH7" i="3"/>
  <c r="BI7" i="3"/>
  <c r="BJ7" i="3"/>
  <c r="BF8" i="3"/>
  <c r="BG8" i="3"/>
  <c r="BH8" i="3"/>
  <c r="BI8" i="3"/>
  <c r="BJ8" i="3"/>
  <c r="BF9" i="3"/>
  <c r="BG9" i="3"/>
  <c r="BH9" i="3"/>
  <c r="BI9" i="3"/>
  <c r="BJ9" i="3"/>
  <c r="BF10" i="3"/>
  <c r="BG10" i="3"/>
  <c r="BH10" i="3"/>
  <c r="BI10" i="3"/>
  <c r="BJ10" i="3"/>
  <c r="BF11" i="3"/>
  <c r="BG11" i="3"/>
  <c r="BH11" i="3"/>
  <c r="BI11" i="3"/>
  <c r="BJ11" i="3"/>
  <c r="BF12" i="3"/>
  <c r="BG12" i="3"/>
  <c r="BH12" i="3"/>
  <c r="BI12" i="3"/>
  <c r="BJ12" i="3"/>
  <c r="BF13" i="3"/>
  <c r="BG13" i="3"/>
  <c r="BH13" i="3"/>
  <c r="BI13" i="3"/>
  <c r="BJ13" i="3"/>
  <c r="BF14" i="3"/>
  <c r="BG14" i="3"/>
  <c r="BH14" i="3"/>
  <c r="BI14" i="3"/>
  <c r="BJ14" i="3"/>
  <c r="BF15" i="3"/>
  <c r="BG15" i="3"/>
  <c r="BH15" i="3"/>
  <c r="BI15" i="3"/>
  <c r="BJ15" i="3"/>
  <c r="BF16" i="3"/>
  <c r="BG16" i="3"/>
  <c r="BH16" i="3"/>
  <c r="BI16" i="3"/>
  <c r="BJ16" i="3"/>
  <c r="BF17" i="3"/>
  <c r="BG17" i="3"/>
  <c r="BH17" i="3"/>
  <c r="BI17" i="3"/>
  <c r="BJ17" i="3"/>
  <c r="BF18" i="3"/>
  <c r="BG18" i="3"/>
  <c r="BH18" i="3"/>
  <c r="BI18" i="3"/>
  <c r="BJ18" i="3"/>
  <c r="BF19" i="3"/>
  <c r="BG19" i="3"/>
  <c r="BH19" i="3"/>
  <c r="BI19" i="3"/>
  <c r="BJ19" i="3"/>
  <c r="BF20" i="3"/>
  <c r="BG20" i="3"/>
  <c r="BH20" i="3"/>
  <c r="BI20" i="3"/>
  <c r="BJ20" i="3"/>
  <c r="BF21" i="3"/>
  <c r="BG21" i="3"/>
  <c r="BH21" i="3"/>
  <c r="BI21" i="3"/>
  <c r="BJ21" i="3"/>
  <c r="BF22" i="3"/>
  <c r="BG22" i="3"/>
  <c r="BH22" i="3"/>
  <c r="BI22" i="3"/>
  <c r="BJ22" i="3"/>
  <c r="BF23" i="3"/>
  <c r="BG23" i="3"/>
  <c r="BH23" i="3"/>
  <c r="BI23" i="3"/>
  <c r="BJ23" i="3"/>
  <c r="BF24" i="3"/>
  <c r="BG24" i="3"/>
  <c r="BH24" i="3"/>
  <c r="BI24" i="3"/>
  <c r="BJ24" i="3"/>
  <c r="BF25" i="3"/>
  <c r="BG25" i="3"/>
  <c r="BH25" i="3"/>
  <c r="BI25" i="3"/>
  <c r="BJ25" i="3"/>
  <c r="BF26" i="3"/>
  <c r="BG26" i="3"/>
  <c r="BH26" i="3"/>
  <c r="BI26" i="3"/>
  <c r="BJ26" i="3"/>
  <c r="BF27" i="3"/>
  <c r="BG27" i="3"/>
  <c r="BH27" i="3"/>
  <c r="BI27" i="3"/>
  <c r="BJ27" i="3"/>
  <c r="BF28" i="3"/>
  <c r="BG28" i="3"/>
  <c r="BH28" i="3"/>
  <c r="BI28" i="3"/>
  <c r="BJ28" i="3"/>
  <c r="BF29" i="3"/>
  <c r="BG29" i="3"/>
  <c r="BH29" i="3"/>
  <c r="BI29" i="3"/>
  <c r="BJ29" i="3"/>
  <c r="BF30" i="3"/>
  <c r="BG30" i="3"/>
  <c r="BH30" i="3"/>
  <c r="BI30" i="3"/>
  <c r="BJ30" i="3"/>
  <c r="BF31" i="3"/>
  <c r="BG31" i="3"/>
  <c r="BH31" i="3"/>
  <c r="BI31" i="3"/>
  <c r="BJ31" i="3"/>
  <c r="BF32" i="3"/>
  <c r="BG32" i="3"/>
  <c r="BH32" i="3"/>
  <c r="BI32" i="3"/>
  <c r="BJ32" i="3"/>
  <c r="BF33" i="3"/>
  <c r="BG33" i="3"/>
  <c r="BH33" i="3"/>
  <c r="BI33" i="3"/>
  <c r="BJ33" i="3"/>
  <c r="BF34" i="3"/>
  <c r="BG34" i="3"/>
  <c r="BH34" i="3"/>
  <c r="BI34" i="3"/>
  <c r="BJ34" i="3"/>
  <c r="BF35" i="3"/>
  <c r="BG35" i="3"/>
  <c r="BH35" i="3"/>
  <c r="BI35" i="3"/>
  <c r="BJ35" i="3"/>
  <c r="BF36" i="3"/>
  <c r="BG36" i="3"/>
  <c r="BH36" i="3"/>
  <c r="BI36" i="3"/>
  <c r="BJ36" i="3"/>
  <c r="BF37" i="3"/>
  <c r="BG37" i="3"/>
  <c r="BH37" i="3"/>
  <c r="BI37" i="3"/>
  <c r="BJ37" i="3"/>
  <c r="BF38" i="3"/>
  <c r="BG38" i="3"/>
  <c r="BH38" i="3"/>
  <c r="BI38" i="3"/>
  <c r="BJ38" i="3"/>
  <c r="BF39" i="3"/>
  <c r="BG39" i="3"/>
  <c r="BH39" i="3"/>
  <c r="BI39" i="3"/>
  <c r="BJ39" i="3"/>
  <c r="BF40" i="3"/>
  <c r="BG40" i="3"/>
  <c r="BH40" i="3"/>
  <c r="BI40" i="3"/>
  <c r="BJ40" i="3"/>
  <c r="BF41" i="3"/>
  <c r="BG41" i="3"/>
  <c r="BH41" i="3"/>
  <c r="BI41" i="3"/>
  <c r="BJ41" i="3"/>
  <c r="BF42" i="3"/>
  <c r="BG42" i="3"/>
  <c r="BH42" i="3"/>
  <c r="BI42" i="3"/>
  <c r="BJ42" i="3"/>
  <c r="BF43" i="3"/>
  <c r="BG43" i="3"/>
  <c r="BH43" i="3"/>
  <c r="BI43" i="3"/>
  <c r="BJ43" i="3"/>
  <c r="BF44" i="3"/>
  <c r="BG44" i="3"/>
  <c r="BH44" i="3"/>
  <c r="BI44" i="3"/>
  <c r="BJ44" i="3"/>
  <c r="BF45" i="3"/>
  <c r="BG45" i="3"/>
  <c r="BH45" i="3"/>
  <c r="BI45" i="3"/>
  <c r="BJ45" i="3"/>
  <c r="BF46" i="3"/>
  <c r="BG46" i="3"/>
  <c r="BH46" i="3"/>
  <c r="BI46" i="3"/>
  <c r="BJ46" i="3"/>
  <c r="BF47" i="3"/>
  <c r="BG47" i="3"/>
  <c r="BH47" i="3"/>
  <c r="BI47" i="3"/>
  <c r="BJ47" i="3"/>
  <c r="BF48" i="3"/>
  <c r="BG48" i="3"/>
  <c r="BH48" i="3"/>
  <c r="BI48" i="3"/>
  <c r="BJ48" i="3"/>
  <c r="BF49" i="3"/>
  <c r="BG49" i="3"/>
  <c r="BH49" i="3"/>
  <c r="BI49" i="3"/>
  <c r="BJ49" i="3"/>
  <c r="BF50" i="3"/>
  <c r="BG50" i="3"/>
  <c r="BH50" i="3"/>
  <c r="BI50" i="3"/>
  <c r="BJ50" i="3"/>
  <c r="BF51" i="3"/>
  <c r="BG51" i="3"/>
  <c r="BH51" i="3"/>
  <c r="BI51" i="3"/>
  <c r="BJ51" i="3"/>
  <c r="BF52" i="3"/>
  <c r="BG52" i="3"/>
  <c r="BH52" i="3"/>
  <c r="BI52" i="3"/>
  <c r="BJ52" i="3"/>
  <c r="BF53" i="3"/>
  <c r="BG53" i="3"/>
  <c r="BH53" i="3"/>
  <c r="BI53" i="3"/>
  <c r="BJ53" i="3"/>
  <c r="BF54" i="3"/>
  <c r="BG54" i="3"/>
  <c r="BH54" i="3"/>
  <c r="BI54" i="3"/>
  <c r="BJ54" i="3"/>
  <c r="BH4" i="3" l="1"/>
  <c r="BH63" i="3" s="1"/>
  <c r="AZ4" i="3"/>
  <c r="AZ63" i="3" s="1"/>
  <c r="AN4" i="3"/>
  <c r="AN63" i="3" s="1"/>
  <c r="AB4" i="3"/>
  <c r="AB63" i="3" s="1"/>
  <c r="P4" i="3"/>
  <c r="P63" i="3" s="1"/>
  <c r="BH27" i="1"/>
  <c r="BH47" i="1"/>
  <c r="BH33" i="1"/>
  <c r="BH28" i="1"/>
  <c r="BH45" i="1"/>
  <c r="BH15" i="1"/>
  <c r="BH11" i="1"/>
  <c r="BH56" i="1"/>
  <c r="BH23" i="1"/>
  <c r="BH34" i="1"/>
  <c r="BH58" i="1"/>
  <c r="BH36" i="1"/>
  <c r="BH43" i="1"/>
  <c r="BH13" i="1"/>
  <c r="BH49" i="1"/>
  <c r="BH42" i="1"/>
  <c r="BH53" i="1"/>
  <c r="BH26" i="1"/>
  <c r="BH50" i="1"/>
  <c r="BH30" i="1"/>
  <c r="BH14" i="1"/>
  <c r="BH4" i="1"/>
  <c r="BH29" i="1"/>
  <c r="BH57" i="1"/>
  <c r="BH18" i="1"/>
  <c r="BH35" i="1"/>
  <c r="BH31" i="1"/>
  <c r="BH10" i="1"/>
  <c r="BH16" i="1"/>
  <c r="BH19" i="1"/>
  <c r="BH51" i="1"/>
  <c r="BH9" i="1"/>
  <c r="BH37" i="1"/>
  <c r="BH25" i="1"/>
  <c r="BH38" i="1"/>
  <c r="BH24" i="1"/>
  <c r="BH7" i="1"/>
  <c r="BH52" i="1"/>
  <c r="BH22" i="1"/>
  <c r="BH55" i="1"/>
  <c r="BH32" i="1"/>
  <c r="BH54" i="1"/>
  <c r="BH44" i="1"/>
  <c r="BH48" i="1"/>
  <c r="BH20" i="1"/>
  <c r="BH39" i="1"/>
  <c r="BH41" i="1"/>
  <c r="BH12" i="1"/>
  <c r="BH46" i="1"/>
  <c r="BH21" i="1"/>
  <c r="BH40" i="1"/>
  <c r="BH17" i="1"/>
  <c r="BH5" i="1"/>
  <c r="BH6" i="1"/>
  <c r="BH8" i="1"/>
  <c r="AZ27" i="1"/>
  <c r="AZ47" i="1"/>
  <c r="AZ33" i="1"/>
  <c r="AZ28" i="1"/>
  <c r="AZ45" i="1"/>
  <c r="AZ15" i="1"/>
  <c r="AZ11" i="1"/>
  <c r="AZ56" i="1"/>
  <c r="AZ23" i="1"/>
  <c r="AZ34" i="1"/>
  <c r="AZ58" i="1"/>
  <c r="AZ36" i="1"/>
  <c r="AZ43" i="1"/>
  <c r="AZ13" i="1"/>
  <c r="AZ49" i="1"/>
  <c r="AZ42" i="1"/>
  <c r="AZ53" i="1"/>
  <c r="AZ26" i="1"/>
  <c r="AZ50" i="1"/>
  <c r="AZ30" i="1"/>
  <c r="AZ14" i="1"/>
  <c r="AZ4" i="1"/>
  <c r="AZ29" i="1"/>
  <c r="AZ57" i="1"/>
  <c r="AZ18" i="1"/>
  <c r="AZ35" i="1"/>
  <c r="AZ31" i="1"/>
  <c r="AZ10" i="1"/>
  <c r="AZ16" i="1"/>
  <c r="AZ19" i="1"/>
  <c r="AZ51" i="1"/>
  <c r="AZ9" i="1"/>
  <c r="AZ37" i="1"/>
  <c r="AZ25" i="1"/>
  <c r="AZ38" i="1"/>
  <c r="AZ24" i="1"/>
  <c r="AZ7" i="1"/>
  <c r="AZ52" i="1"/>
  <c r="AZ22" i="1"/>
  <c r="AZ55" i="1"/>
  <c r="AZ32" i="1"/>
  <c r="AZ54" i="1"/>
  <c r="AZ44" i="1"/>
  <c r="AZ48" i="1"/>
  <c r="AZ20" i="1"/>
  <c r="AZ39" i="1"/>
  <c r="AZ41" i="1"/>
  <c r="AZ12" i="1"/>
  <c r="AZ46" i="1"/>
  <c r="AZ21" i="1"/>
  <c r="AZ40" i="1"/>
  <c r="AZ17" i="1"/>
  <c r="AZ5" i="1"/>
  <c r="AZ6" i="1"/>
  <c r="AZ8" i="1"/>
  <c r="AN27" i="1"/>
  <c r="AN47" i="1"/>
  <c r="AN33" i="1"/>
  <c r="AN28" i="1"/>
  <c r="AN45" i="1"/>
  <c r="AN15" i="1"/>
  <c r="AN11" i="1"/>
  <c r="AN56" i="1"/>
  <c r="AN23" i="1"/>
  <c r="AN34" i="1"/>
  <c r="AN58" i="1"/>
  <c r="AN36" i="1"/>
  <c r="AN43" i="1"/>
  <c r="AN13" i="1"/>
  <c r="AN49" i="1"/>
  <c r="AN42" i="1"/>
  <c r="AN53" i="1"/>
  <c r="AN26" i="1"/>
  <c r="AN50" i="1"/>
  <c r="AN30" i="1"/>
  <c r="AN14" i="1"/>
  <c r="AN4" i="1"/>
  <c r="AN29" i="1"/>
  <c r="AN57" i="1"/>
  <c r="AN18" i="1"/>
  <c r="AN35" i="1"/>
  <c r="AN31" i="1"/>
  <c r="AN10" i="1"/>
  <c r="AN16" i="1"/>
  <c r="AN19" i="1"/>
  <c r="AN51" i="1"/>
  <c r="AN9" i="1"/>
  <c r="AN37" i="1"/>
  <c r="AN25" i="1"/>
  <c r="AN38" i="1"/>
  <c r="AN24" i="1"/>
  <c r="AN7" i="1"/>
  <c r="AN52" i="1"/>
  <c r="AN22" i="1"/>
  <c r="AN55" i="1"/>
  <c r="AN32" i="1"/>
  <c r="AN54" i="1"/>
  <c r="AN44" i="1"/>
  <c r="AN48" i="1"/>
  <c r="AN20" i="1"/>
  <c r="AN39" i="1"/>
  <c r="AN41" i="1"/>
  <c r="AN12" i="1"/>
  <c r="AN46" i="1"/>
  <c r="AN21" i="1"/>
  <c r="AN40" i="1"/>
  <c r="AN17" i="1"/>
  <c r="AN5" i="1"/>
  <c r="AN6" i="1"/>
  <c r="AN8" i="1"/>
  <c r="AB27" i="1"/>
  <c r="AB47" i="1"/>
  <c r="AB33" i="1"/>
  <c r="AB28" i="1"/>
  <c r="AB45" i="1"/>
  <c r="AB15" i="1"/>
  <c r="AB11" i="1"/>
  <c r="AB56" i="1"/>
  <c r="AB23" i="1"/>
  <c r="AB34" i="1"/>
  <c r="AB58" i="1"/>
  <c r="AB36" i="1"/>
  <c r="AB43" i="1"/>
  <c r="AB13" i="1"/>
  <c r="AB49" i="1"/>
  <c r="AB42" i="1"/>
  <c r="AB53" i="1"/>
  <c r="AB26" i="1"/>
  <c r="AB50" i="1"/>
  <c r="AB30" i="1"/>
  <c r="AB14" i="1"/>
  <c r="AB4" i="1"/>
  <c r="AB29" i="1"/>
  <c r="AB57" i="1"/>
  <c r="AB18" i="1"/>
  <c r="AB35" i="1"/>
  <c r="AB31" i="1"/>
  <c r="AB10" i="1"/>
  <c r="AB16" i="1"/>
  <c r="AB19" i="1"/>
  <c r="AB51" i="1"/>
  <c r="AB9" i="1"/>
  <c r="AB37" i="1"/>
  <c r="AB25" i="1"/>
  <c r="AB38" i="1"/>
  <c r="AB24" i="1"/>
  <c r="AB7" i="1"/>
  <c r="AB52" i="1"/>
  <c r="AB22" i="1"/>
  <c r="AB55" i="1"/>
  <c r="AB32" i="1"/>
  <c r="AB54" i="1"/>
  <c r="AB44" i="1"/>
  <c r="AB48" i="1"/>
  <c r="AB20" i="1"/>
  <c r="AB39" i="1"/>
  <c r="AB41" i="1"/>
  <c r="AB12" i="1"/>
  <c r="AB46" i="1"/>
  <c r="AB21" i="1"/>
  <c r="AB40" i="1"/>
  <c r="AB17" i="1"/>
  <c r="AB5" i="1"/>
  <c r="AB6" i="1"/>
  <c r="AB8" i="1"/>
  <c r="P27" i="1"/>
  <c r="P47" i="1"/>
  <c r="P33" i="1"/>
  <c r="P28" i="1"/>
  <c r="P45" i="1"/>
  <c r="P15" i="1"/>
  <c r="P11" i="1"/>
  <c r="P56" i="1"/>
  <c r="P23" i="1"/>
  <c r="P34" i="1"/>
  <c r="P58" i="1"/>
  <c r="P36" i="1"/>
  <c r="P43" i="1"/>
  <c r="P13" i="1"/>
  <c r="P49" i="1"/>
  <c r="P42" i="1"/>
  <c r="P53" i="1"/>
  <c r="P26" i="1"/>
  <c r="P50" i="1"/>
  <c r="P30" i="1"/>
  <c r="P14" i="1"/>
  <c r="P4" i="1"/>
  <c r="P29" i="1"/>
  <c r="P57" i="1"/>
  <c r="P18" i="1"/>
  <c r="P35" i="1"/>
  <c r="P31" i="1"/>
  <c r="P10" i="1"/>
  <c r="P16" i="1"/>
  <c r="P19" i="1"/>
  <c r="P51" i="1"/>
  <c r="P9" i="1"/>
  <c r="P37" i="1"/>
  <c r="P25" i="1"/>
  <c r="P38" i="1"/>
  <c r="P24" i="1"/>
  <c r="P7" i="1"/>
  <c r="P52" i="1"/>
  <c r="P22" i="1"/>
  <c r="P55" i="1"/>
  <c r="P32" i="1"/>
  <c r="P54" i="1"/>
  <c r="P44" i="1"/>
  <c r="P48" i="1"/>
  <c r="P20" i="1"/>
  <c r="P39" i="1"/>
  <c r="P41" i="1"/>
  <c r="P12" i="1"/>
  <c r="P46" i="1"/>
  <c r="P21" i="1"/>
  <c r="P40" i="1"/>
  <c r="P17" i="1"/>
  <c r="P5" i="1"/>
  <c r="P6" i="1"/>
  <c r="P8" i="1"/>
  <c r="AB62" i="1" l="1"/>
  <c r="P62" i="1"/>
  <c r="BH62" i="1"/>
  <c r="AZ62" i="1"/>
  <c r="AN62" i="1"/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G3" i="5"/>
  <c r="H2" i="5"/>
  <c r="G1" i="5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I2" i="5" l="1"/>
  <c r="H1" i="5"/>
  <c r="H3" i="5"/>
  <c r="F4" i="5"/>
  <c r="D4" i="5"/>
  <c r="E4" i="5"/>
  <c r="C4" i="5"/>
  <c r="G122" i="5" l="1"/>
  <c r="J2" i="5"/>
  <c r="I1" i="5"/>
  <c r="I3" i="5"/>
  <c r="K2" i="5" l="1"/>
  <c r="K1" i="5" s="1"/>
  <c r="J1" i="5"/>
  <c r="J3" i="5"/>
  <c r="K3" i="5" l="1"/>
  <c r="L2" i="5"/>
  <c r="L1" i="5" s="1"/>
  <c r="M2" i="5" l="1"/>
  <c r="M3" i="5" s="1"/>
  <c r="L3" i="5"/>
  <c r="M1" i="5" l="1"/>
  <c r="S2" i="5"/>
  <c r="S1" i="5" s="1"/>
  <c r="T2" i="5" l="1"/>
  <c r="T1" i="5" s="1"/>
  <c r="S3" i="5"/>
  <c r="T3" i="5" l="1"/>
  <c r="U2" i="5"/>
  <c r="V2" i="5" s="1"/>
  <c r="U3" i="5" l="1"/>
  <c r="U1" i="5"/>
  <c r="V3" i="5"/>
  <c r="W2" i="5"/>
  <c r="V1" i="5"/>
  <c r="W3" i="5" l="1"/>
  <c r="W1" i="5"/>
  <c r="X2" i="5"/>
  <c r="X1" i="5" l="1"/>
  <c r="Y2" i="5"/>
  <c r="X3" i="5"/>
  <c r="AE2" i="5" l="1"/>
  <c r="Y3" i="5"/>
  <c r="Y1" i="5"/>
  <c r="AE3" i="5" l="1"/>
  <c r="AF2" i="5"/>
  <c r="AE1" i="5"/>
  <c r="AF3" i="5" l="1"/>
  <c r="AF1" i="5"/>
  <c r="AG2" i="5"/>
  <c r="AG1" i="5" l="1"/>
  <c r="AH2" i="5"/>
  <c r="AG3" i="5"/>
  <c r="AI2" i="5" l="1"/>
  <c r="AH3" i="5"/>
  <c r="AH1" i="5"/>
  <c r="AI3" i="5" l="1"/>
  <c r="AJ2" i="5"/>
  <c r="AI1" i="5"/>
  <c r="AJ3" i="5" l="1"/>
  <c r="AJ1" i="5"/>
  <c r="AK2" i="5"/>
  <c r="AK1" i="5" l="1"/>
  <c r="AQ2" i="5"/>
  <c r="AK3" i="5"/>
  <c r="AR2" i="5" l="1"/>
  <c r="AQ3" i="5"/>
  <c r="AQ1" i="5"/>
  <c r="AR3" i="5" l="1"/>
  <c r="AS2" i="5"/>
  <c r="AR1" i="5"/>
  <c r="AS3" i="5" l="1"/>
  <c r="AS1" i="5"/>
  <c r="AT2" i="5"/>
  <c r="AT1" i="5" l="1"/>
  <c r="AU2" i="5"/>
  <c r="AT3" i="5"/>
  <c r="AV2" i="5" l="1"/>
  <c r="AU3" i="5"/>
  <c r="AU1" i="5"/>
  <c r="AV3" i="5" l="1"/>
  <c r="AW2" i="5"/>
  <c r="AV1" i="5"/>
  <c r="AW3" i="5" l="1"/>
  <c r="AW1" i="5"/>
  <c r="BC2" i="5"/>
  <c r="BC1" i="5" l="1"/>
  <c r="BD2" i="5"/>
  <c r="BC3" i="5"/>
  <c r="BE2" i="5" l="1"/>
  <c r="BD3" i="5"/>
  <c r="BD1" i="5"/>
  <c r="BE3" i="5" l="1"/>
  <c r="BE1" i="5"/>
  <c r="BJ4" i="3" l="1"/>
  <c r="BJ63" i="3" s="1"/>
  <c r="BI4" i="3"/>
  <c r="BI63" i="3" s="1"/>
  <c r="BG4" i="3"/>
  <c r="BG63" i="3" s="1"/>
  <c r="BF4" i="3"/>
  <c r="BF63" i="3" s="1"/>
  <c r="BB4" i="3"/>
  <c r="BB63" i="3" s="1"/>
  <c r="BA4" i="3"/>
  <c r="BA63" i="3" s="1"/>
  <c r="AY4" i="3"/>
  <c r="AY63" i="3" s="1"/>
  <c r="AX4" i="3"/>
  <c r="AX63" i="3" s="1"/>
  <c r="AP4" i="3"/>
  <c r="AP63" i="3" s="1"/>
  <c r="AO4" i="3"/>
  <c r="AO63" i="3" s="1"/>
  <c r="AM4" i="3"/>
  <c r="AM63" i="3" s="1"/>
  <c r="AL4" i="3"/>
  <c r="AL63" i="3" s="1"/>
  <c r="AD4" i="3"/>
  <c r="AD63" i="3" s="1"/>
  <c r="AC4" i="3"/>
  <c r="AC63" i="3" s="1"/>
  <c r="AA4" i="3"/>
  <c r="AA63" i="3" s="1"/>
  <c r="Z4" i="3"/>
  <c r="Z63" i="3" s="1"/>
  <c r="R4" i="3"/>
  <c r="R63" i="3" s="1"/>
  <c r="Q4" i="3"/>
  <c r="Q63" i="3" s="1"/>
  <c r="O4" i="3"/>
  <c r="O63" i="3" s="1"/>
  <c r="N4" i="3"/>
  <c r="N63" i="3" s="1"/>
  <c r="G3" i="3"/>
  <c r="H2" i="3"/>
  <c r="G1" i="3"/>
  <c r="BF27" i="1"/>
  <c r="BG27" i="1"/>
  <c r="BI27" i="1"/>
  <c r="BJ27" i="1"/>
  <c r="BF47" i="1"/>
  <c r="BG47" i="1"/>
  <c r="BI47" i="1"/>
  <c r="BJ47" i="1"/>
  <c r="BF33" i="1"/>
  <c r="BG33" i="1"/>
  <c r="BI33" i="1"/>
  <c r="BJ33" i="1"/>
  <c r="BF28" i="1"/>
  <c r="BG28" i="1"/>
  <c r="BI28" i="1"/>
  <c r="BJ28" i="1"/>
  <c r="BF45" i="1"/>
  <c r="BG45" i="1"/>
  <c r="BI45" i="1"/>
  <c r="BJ45" i="1"/>
  <c r="BF15" i="1"/>
  <c r="BG15" i="1"/>
  <c r="BI15" i="1"/>
  <c r="BJ15" i="1"/>
  <c r="BF11" i="1"/>
  <c r="BG11" i="1"/>
  <c r="BI11" i="1"/>
  <c r="BJ11" i="1"/>
  <c r="BF56" i="1"/>
  <c r="BG56" i="1"/>
  <c r="BI56" i="1"/>
  <c r="BJ56" i="1"/>
  <c r="BF23" i="1"/>
  <c r="BG23" i="1"/>
  <c r="BI23" i="1"/>
  <c r="BJ23" i="1"/>
  <c r="BF34" i="1"/>
  <c r="BG34" i="1"/>
  <c r="BI34" i="1"/>
  <c r="BJ34" i="1"/>
  <c r="BF58" i="1"/>
  <c r="BG58" i="1"/>
  <c r="BI58" i="1"/>
  <c r="BJ58" i="1"/>
  <c r="BF36" i="1"/>
  <c r="BG36" i="1"/>
  <c r="BI36" i="1"/>
  <c r="BJ36" i="1"/>
  <c r="BF43" i="1"/>
  <c r="BG43" i="1"/>
  <c r="BI43" i="1"/>
  <c r="BJ43" i="1"/>
  <c r="BF13" i="1"/>
  <c r="BG13" i="1"/>
  <c r="BI13" i="1"/>
  <c r="BJ13" i="1"/>
  <c r="BF49" i="1"/>
  <c r="BG49" i="1"/>
  <c r="BI49" i="1"/>
  <c r="BJ49" i="1"/>
  <c r="BF42" i="1"/>
  <c r="BG42" i="1"/>
  <c r="BI42" i="1"/>
  <c r="BJ42" i="1"/>
  <c r="BF53" i="1"/>
  <c r="BG53" i="1"/>
  <c r="BI53" i="1"/>
  <c r="BJ53" i="1"/>
  <c r="BF26" i="1"/>
  <c r="BG26" i="1"/>
  <c r="BI26" i="1"/>
  <c r="BJ26" i="1"/>
  <c r="BF50" i="1"/>
  <c r="BG50" i="1"/>
  <c r="BI50" i="1"/>
  <c r="BJ50" i="1"/>
  <c r="BF30" i="1"/>
  <c r="BG30" i="1"/>
  <c r="BI30" i="1"/>
  <c r="BJ30" i="1"/>
  <c r="BF14" i="1"/>
  <c r="BG14" i="1"/>
  <c r="BI14" i="1"/>
  <c r="BJ14" i="1"/>
  <c r="BF4" i="1"/>
  <c r="BG4" i="1"/>
  <c r="BI4" i="1"/>
  <c r="BJ4" i="1"/>
  <c r="BF29" i="1"/>
  <c r="BG29" i="1"/>
  <c r="BI29" i="1"/>
  <c r="BJ29" i="1"/>
  <c r="BF57" i="1"/>
  <c r="BG57" i="1"/>
  <c r="BI57" i="1"/>
  <c r="BJ57" i="1"/>
  <c r="BF18" i="1"/>
  <c r="BG18" i="1"/>
  <c r="BI18" i="1"/>
  <c r="BJ18" i="1"/>
  <c r="BF35" i="1"/>
  <c r="BG35" i="1"/>
  <c r="BI35" i="1"/>
  <c r="BJ35" i="1"/>
  <c r="BF31" i="1"/>
  <c r="BG31" i="1"/>
  <c r="BI31" i="1"/>
  <c r="BJ31" i="1"/>
  <c r="BF10" i="1"/>
  <c r="BG10" i="1"/>
  <c r="BI10" i="1"/>
  <c r="BJ10" i="1"/>
  <c r="BF16" i="1"/>
  <c r="BG16" i="1"/>
  <c r="BI16" i="1"/>
  <c r="BJ16" i="1"/>
  <c r="BF19" i="1"/>
  <c r="BG19" i="1"/>
  <c r="BI19" i="1"/>
  <c r="BJ19" i="1"/>
  <c r="BF51" i="1"/>
  <c r="BG51" i="1"/>
  <c r="BI51" i="1"/>
  <c r="BJ51" i="1"/>
  <c r="BF9" i="1"/>
  <c r="BG9" i="1"/>
  <c r="BI9" i="1"/>
  <c r="BJ9" i="1"/>
  <c r="BF37" i="1"/>
  <c r="BG37" i="1"/>
  <c r="BI37" i="1"/>
  <c r="BJ37" i="1"/>
  <c r="BF25" i="1"/>
  <c r="BG25" i="1"/>
  <c r="BI25" i="1"/>
  <c r="BJ25" i="1"/>
  <c r="BF38" i="1"/>
  <c r="BG38" i="1"/>
  <c r="BI38" i="1"/>
  <c r="BJ38" i="1"/>
  <c r="BF24" i="1"/>
  <c r="BG24" i="1"/>
  <c r="BI24" i="1"/>
  <c r="BJ24" i="1"/>
  <c r="BF7" i="1"/>
  <c r="BG7" i="1"/>
  <c r="BI7" i="1"/>
  <c r="BJ7" i="1"/>
  <c r="BF52" i="1"/>
  <c r="BG52" i="1"/>
  <c r="BI52" i="1"/>
  <c r="BJ52" i="1"/>
  <c r="BF22" i="1"/>
  <c r="BG22" i="1"/>
  <c r="BI22" i="1"/>
  <c r="BJ22" i="1"/>
  <c r="BF55" i="1"/>
  <c r="BG55" i="1"/>
  <c r="BI55" i="1"/>
  <c r="BJ55" i="1"/>
  <c r="BF32" i="1"/>
  <c r="BG32" i="1"/>
  <c r="BI32" i="1"/>
  <c r="BJ32" i="1"/>
  <c r="BF54" i="1"/>
  <c r="BG54" i="1"/>
  <c r="BI54" i="1"/>
  <c r="BJ54" i="1"/>
  <c r="BF44" i="1"/>
  <c r="BG44" i="1"/>
  <c r="BI44" i="1"/>
  <c r="BJ44" i="1"/>
  <c r="BF48" i="1"/>
  <c r="BG48" i="1"/>
  <c r="BI48" i="1"/>
  <c r="BJ48" i="1"/>
  <c r="BF20" i="1"/>
  <c r="BG20" i="1"/>
  <c r="BI20" i="1"/>
  <c r="BJ20" i="1"/>
  <c r="BF39" i="1"/>
  <c r="BG39" i="1"/>
  <c r="BI39" i="1"/>
  <c r="BJ39" i="1"/>
  <c r="BF41" i="1"/>
  <c r="BG41" i="1"/>
  <c r="BI41" i="1"/>
  <c r="BJ41" i="1"/>
  <c r="BF12" i="1"/>
  <c r="BG12" i="1"/>
  <c r="BI12" i="1"/>
  <c r="BJ12" i="1"/>
  <c r="BF46" i="1"/>
  <c r="BG46" i="1"/>
  <c r="BI46" i="1"/>
  <c r="BJ46" i="1"/>
  <c r="BF21" i="1"/>
  <c r="BG21" i="1"/>
  <c r="BI21" i="1"/>
  <c r="BJ21" i="1"/>
  <c r="BF40" i="1"/>
  <c r="BG40" i="1"/>
  <c r="BI40" i="1"/>
  <c r="BJ40" i="1"/>
  <c r="BF17" i="1"/>
  <c r="BG17" i="1"/>
  <c r="BI17" i="1"/>
  <c r="BJ17" i="1"/>
  <c r="BF5" i="1"/>
  <c r="BG5" i="1"/>
  <c r="BI5" i="1"/>
  <c r="BJ5" i="1"/>
  <c r="BF6" i="1"/>
  <c r="BG6" i="1"/>
  <c r="BI6" i="1"/>
  <c r="BJ6" i="1"/>
  <c r="BJ8" i="1"/>
  <c r="BI8" i="1"/>
  <c r="BG8" i="1"/>
  <c r="BF8" i="1"/>
  <c r="AX27" i="1"/>
  <c r="AY27" i="1"/>
  <c r="BA27" i="1"/>
  <c r="BB27" i="1"/>
  <c r="AX47" i="1"/>
  <c r="AY47" i="1"/>
  <c r="BA47" i="1"/>
  <c r="BB47" i="1"/>
  <c r="AX33" i="1"/>
  <c r="AY33" i="1"/>
  <c r="BA33" i="1"/>
  <c r="BB33" i="1"/>
  <c r="AX28" i="1"/>
  <c r="AY28" i="1"/>
  <c r="BA28" i="1"/>
  <c r="BB28" i="1"/>
  <c r="AX45" i="1"/>
  <c r="AY45" i="1"/>
  <c r="BA45" i="1"/>
  <c r="BB45" i="1"/>
  <c r="AX15" i="1"/>
  <c r="AY15" i="1"/>
  <c r="BA15" i="1"/>
  <c r="BB15" i="1"/>
  <c r="AX11" i="1"/>
  <c r="AY11" i="1"/>
  <c r="BA11" i="1"/>
  <c r="BB11" i="1"/>
  <c r="AX56" i="1"/>
  <c r="AY56" i="1"/>
  <c r="BA56" i="1"/>
  <c r="BB56" i="1"/>
  <c r="AX23" i="1"/>
  <c r="AY23" i="1"/>
  <c r="BA23" i="1"/>
  <c r="BB23" i="1"/>
  <c r="AX34" i="1"/>
  <c r="AY34" i="1"/>
  <c r="BA34" i="1"/>
  <c r="BB34" i="1"/>
  <c r="AX58" i="1"/>
  <c r="AY58" i="1"/>
  <c r="BA58" i="1"/>
  <c r="BB58" i="1"/>
  <c r="AX36" i="1"/>
  <c r="AY36" i="1"/>
  <c r="BA36" i="1"/>
  <c r="BB36" i="1"/>
  <c r="AX43" i="1"/>
  <c r="AY43" i="1"/>
  <c r="BA43" i="1"/>
  <c r="BB43" i="1"/>
  <c r="AX13" i="1"/>
  <c r="AY13" i="1"/>
  <c r="BA13" i="1"/>
  <c r="BB13" i="1"/>
  <c r="AX49" i="1"/>
  <c r="AY49" i="1"/>
  <c r="BA49" i="1"/>
  <c r="BB49" i="1"/>
  <c r="AX42" i="1"/>
  <c r="AY42" i="1"/>
  <c r="BA42" i="1"/>
  <c r="BB42" i="1"/>
  <c r="AX53" i="1"/>
  <c r="AY53" i="1"/>
  <c r="BA53" i="1"/>
  <c r="BB53" i="1"/>
  <c r="AX26" i="1"/>
  <c r="AY26" i="1"/>
  <c r="BA26" i="1"/>
  <c r="BB26" i="1"/>
  <c r="AX50" i="1"/>
  <c r="AY50" i="1"/>
  <c r="BA50" i="1"/>
  <c r="BB50" i="1"/>
  <c r="AX30" i="1"/>
  <c r="AY30" i="1"/>
  <c r="BA30" i="1"/>
  <c r="BB30" i="1"/>
  <c r="AX14" i="1"/>
  <c r="AY14" i="1"/>
  <c r="BA14" i="1"/>
  <c r="BB14" i="1"/>
  <c r="AX4" i="1"/>
  <c r="AY4" i="1"/>
  <c r="BA4" i="1"/>
  <c r="BB4" i="1"/>
  <c r="AX29" i="1"/>
  <c r="AY29" i="1"/>
  <c r="BA29" i="1"/>
  <c r="BB29" i="1"/>
  <c r="AX57" i="1"/>
  <c r="AY57" i="1"/>
  <c r="BA57" i="1"/>
  <c r="BB57" i="1"/>
  <c r="AX18" i="1"/>
  <c r="AY18" i="1"/>
  <c r="BA18" i="1"/>
  <c r="BB18" i="1"/>
  <c r="AX35" i="1"/>
  <c r="AY35" i="1"/>
  <c r="BA35" i="1"/>
  <c r="BB35" i="1"/>
  <c r="AX31" i="1"/>
  <c r="AY31" i="1"/>
  <c r="BA31" i="1"/>
  <c r="BB31" i="1"/>
  <c r="AX10" i="1"/>
  <c r="AY10" i="1"/>
  <c r="BA10" i="1"/>
  <c r="BB10" i="1"/>
  <c r="AX16" i="1"/>
  <c r="AY16" i="1"/>
  <c r="BA16" i="1"/>
  <c r="BB16" i="1"/>
  <c r="AX19" i="1"/>
  <c r="AY19" i="1"/>
  <c r="BA19" i="1"/>
  <c r="BB19" i="1"/>
  <c r="AX51" i="1"/>
  <c r="AY51" i="1"/>
  <c r="BA51" i="1"/>
  <c r="BB51" i="1"/>
  <c r="AX9" i="1"/>
  <c r="AY9" i="1"/>
  <c r="BA9" i="1"/>
  <c r="BB9" i="1"/>
  <c r="AX37" i="1"/>
  <c r="AY37" i="1"/>
  <c r="BA37" i="1"/>
  <c r="BB37" i="1"/>
  <c r="AX25" i="1"/>
  <c r="AY25" i="1"/>
  <c r="BA25" i="1"/>
  <c r="BB25" i="1"/>
  <c r="AX38" i="1"/>
  <c r="AY38" i="1"/>
  <c r="BA38" i="1"/>
  <c r="BB38" i="1"/>
  <c r="AX24" i="1"/>
  <c r="AY24" i="1"/>
  <c r="BA24" i="1"/>
  <c r="BB24" i="1"/>
  <c r="AX7" i="1"/>
  <c r="AY7" i="1"/>
  <c r="BA7" i="1"/>
  <c r="BB7" i="1"/>
  <c r="AX52" i="1"/>
  <c r="AY52" i="1"/>
  <c r="BA52" i="1"/>
  <c r="BB52" i="1"/>
  <c r="AX22" i="1"/>
  <c r="AY22" i="1"/>
  <c r="BA22" i="1"/>
  <c r="BB22" i="1"/>
  <c r="AX55" i="1"/>
  <c r="AY55" i="1"/>
  <c r="BA55" i="1"/>
  <c r="BB55" i="1"/>
  <c r="AX32" i="1"/>
  <c r="AY32" i="1"/>
  <c r="BA32" i="1"/>
  <c r="BB32" i="1"/>
  <c r="AX54" i="1"/>
  <c r="AY54" i="1"/>
  <c r="BA54" i="1"/>
  <c r="BB54" i="1"/>
  <c r="AX44" i="1"/>
  <c r="AY44" i="1"/>
  <c r="BA44" i="1"/>
  <c r="BB44" i="1"/>
  <c r="AX48" i="1"/>
  <c r="AY48" i="1"/>
  <c r="BA48" i="1"/>
  <c r="BB48" i="1"/>
  <c r="AX20" i="1"/>
  <c r="AY20" i="1"/>
  <c r="BA20" i="1"/>
  <c r="BB20" i="1"/>
  <c r="AX39" i="1"/>
  <c r="AY39" i="1"/>
  <c r="BA39" i="1"/>
  <c r="BB39" i="1"/>
  <c r="AX41" i="1"/>
  <c r="AY41" i="1"/>
  <c r="BA41" i="1"/>
  <c r="BB41" i="1"/>
  <c r="AX12" i="1"/>
  <c r="AY12" i="1"/>
  <c r="BA12" i="1"/>
  <c r="BB12" i="1"/>
  <c r="AX46" i="1"/>
  <c r="AY46" i="1"/>
  <c r="BA46" i="1"/>
  <c r="BB46" i="1"/>
  <c r="AX21" i="1"/>
  <c r="AY21" i="1"/>
  <c r="BA21" i="1"/>
  <c r="BB21" i="1"/>
  <c r="AX40" i="1"/>
  <c r="AY40" i="1"/>
  <c r="BA40" i="1"/>
  <c r="BB40" i="1"/>
  <c r="AX17" i="1"/>
  <c r="AY17" i="1"/>
  <c r="BA17" i="1"/>
  <c r="BB17" i="1"/>
  <c r="AX5" i="1"/>
  <c r="AY5" i="1"/>
  <c r="BA5" i="1"/>
  <c r="BB5" i="1"/>
  <c r="AX6" i="1"/>
  <c r="AY6" i="1"/>
  <c r="BA6" i="1"/>
  <c r="BB6" i="1"/>
  <c r="BB8" i="1"/>
  <c r="BA8" i="1"/>
  <c r="AY8" i="1"/>
  <c r="AX8" i="1"/>
  <c r="AL27" i="1"/>
  <c r="AM27" i="1"/>
  <c r="AO27" i="1"/>
  <c r="AP27" i="1"/>
  <c r="AL47" i="1"/>
  <c r="AM47" i="1"/>
  <c r="AO47" i="1"/>
  <c r="AP47" i="1"/>
  <c r="AL33" i="1"/>
  <c r="AM33" i="1"/>
  <c r="AO33" i="1"/>
  <c r="AP33" i="1"/>
  <c r="AL28" i="1"/>
  <c r="AM28" i="1"/>
  <c r="AO28" i="1"/>
  <c r="AP28" i="1"/>
  <c r="AL45" i="1"/>
  <c r="AM45" i="1"/>
  <c r="AO45" i="1"/>
  <c r="AP45" i="1"/>
  <c r="AL15" i="1"/>
  <c r="AM15" i="1"/>
  <c r="AO15" i="1"/>
  <c r="AP15" i="1"/>
  <c r="AL11" i="1"/>
  <c r="AM11" i="1"/>
  <c r="AO11" i="1"/>
  <c r="AP11" i="1"/>
  <c r="AL56" i="1"/>
  <c r="AM56" i="1"/>
  <c r="AO56" i="1"/>
  <c r="AP56" i="1"/>
  <c r="AL23" i="1"/>
  <c r="AM23" i="1"/>
  <c r="AO23" i="1"/>
  <c r="AP23" i="1"/>
  <c r="AL34" i="1"/>
  <c r="AM34" i="1"/>
  <c r="AO34" i="1"/>
  <c r="AP34" i="1"/>
  <c r="AL58" i="1"/>
  <c r="AM58" i="1"/>
  <c r="AO58" i="1"/>
  <c r="AP58" i="1"/>
  <c r="AL36" i="1"/>
  <c r="AM36" i="1"/>
  <c r="AO36" i="1"/>
  <c r="AP36" i="1"/>
  <c r="AL43" i="1"/>
  <c r="AM43" i="1"/>
  <c r="AO43" i="1"/>
  <c r="AP43" i="1"/>
  <c r="AL13" i="1"/>
  <c r="AM13" i="1"/>
  <c r="AO13" i="1"/>
  <c r="AP13" i="1"/>
  <c r="AL49" i="1"/>
  <c r="AM49" i="1"/>
  <c r="AO49" i="1"/>
  <c r="AP49" i="1"/>
  <c r="AL42" i="1"/>
  <c r="AM42" i="1"/>
  <c r="AO42" i="1"/>
  <c r="AP42" i="1"/>
  <c r="AL53" i="1"/>
  <c r="AM53" i="1"/>
  <c r="AO53" i="1"/>
  <c r="AP53" i="1"/>
  <c r="AL26" i="1"/>
  <c r="AM26" i="1"/>
  <c r="AO26" i="1"/>
  <c r="AP26" i="1"/>
  <c r="AL50" i="1"/>
  <c r="AM50" i="1"/>
  <c r="AO50" i="1"/>
  <c r="AP50" i="1"/>
  <c r="AL30" i="1"/>
  <c r="AM30" i="1"/>
  <c r="AO30" i="1"/>
  <c r="AP30" i="1"/>
  <c r="AL14" i="1"/>
  <c r="AM14" i="1"/>
  <c r="AO14" i="1"/>
  <c r="AP14" i="1"/>
  <c r="AL4" i="1"/>
  <c r="AM4" i="1"/>
  <c r="AO4" i="1"/>
  <c r="AP4" i="1"/>
  <c r="AL29" i="1"/>
  <c r="AM29" i="1"/>
  <c r="AO29" i="1"/>
  <c r="AP29" i="1"/>
  <c r="AL57" i="1"/>
  <c r="AM57" i="1"/>
  <c r="AO57" i="1"/>
  <c r="AP57" i="1"/>
  <c r="AL18" i="1"/>
  <c r="AM18" i="1"/>
  <c r="AO18" i="1"/>
  <c r="AP18" i="1"/>
  <c r="AL35" i="1"/>
  <c r="AM35" i="1"/>
  <c r="AO35" i="1"/>
  <c r="AP35" i="1"/>
  <c r="AL31" i="1"/>
  <c r="AM31" i="1"/>
  <c r="AO31" i="1"/>
  <c r="AP31" i="1"/>
  <c r="AL10" i="1"/>
  <c r="AM10" i="1"/>
  <c r="AO10" i="1"/>
  <c r="AP10" i="1"/>
  <c r="AL16" i="1"/>
  <c r="AM16" i="1"/>
  <c r="AO16" i="1"/>
  <c r="AP16" i="1"/>
  <c r="AL19" i="1"/>
  <c r="AM19" i="1"/>
  <c r="AO19" i="1"/>
  <c r="AP19" i="1"/>
  <c r="AL51" i="1"/>
  <c r="AM51" i="1"/>
  <c r="AO51" i="1"/>
  <c r="AP51" i="1"/>
  <c r="AL9" i="1"/>
  <c r="AM9" i="1"/>
  <c r="AO9" i="1"/>
  <c r="AP9" i="1"/>
  <c r="AL37" i="1"/>
  <c r="AM37" i="1"/>
  <c r="AP37" i="1"/>
  <c r="AL25" i="1"/>
  <c r="AM25" i="1"/>
  <c r="AO25" i="1"/>
  <c r="AP25" i="1"/>
  <c r="AL38" i="1"/>
  <c r="AM38" i="1"/>
  <c r="AO38" i="1"/>
  <c r="AP38" i="1"/>
  <c r="AL24" i="1"/>
  <c r="AM24" i="1"/>
  <c r="AO24" i="1"/>
  <c r="AP24" i="1"/>
  <c r="AL7" i="1"/>
  <c r="AM7" i="1"/>
  <c r="AO7" i="1"/>
  <c r="AP7" i="1"/>
  <c r="AL52" i="1"/>
  <c r="AM52" i="1"/>
  <c r="AO52" i="1"/>
  <c r="AP52" i="1"/>
  <c r="AL22" i="1"/>
  <c r="AM22" i="1"/>
  <c r="AO22" i="1"/>
  <c r="AP22" i="1"/>
  <c r="AL55" i="1"/>
  <c r="AM55" i="1"/>
  <c r="AO55" i="1"/>
  <c r="AP55" i="1"/>
  <c r="AL32" i="1"/>
  <c r="AM32" i="1"/>
  <c r="AO32" i="1"/>
  <c r="AP32" i="1"/>
  <c r="AL54" i="1"/>
  <c r="AM54" i="1"/>
  <c r="AO54" i="1"/>
  <c r="AP54" i="1"/>
  <c r="AL44" i="1"/>
  <c r="AM44" i="1"/>
  <c r="AO44" i="1"/>
  <c r="AP44" i="1"/>
  <c r="AL48" i="1"/>
  <c r="AM48" i="1"/>
  <c r="AO48" i="1"/>
  <c r="AP48" i="1"/>
  <c r="AL20" i="1"/>
  <c r="AM20" i="1"/>
  <c r="AO20" i="1"/>
  <c r="AP20" i="1"/>
  <c r="AL39" i="1"/>
  <c r="AM39" i="1"/>
  <c r="AO39" i="1"/>
  <c r="AP39" i="1"/>
  <c r="AL41" i="1"/>
  <c r="AM41" i="1"/>
  <c r="AO41" i="1"/>
  <c r="AP41" i="1"/>
  <c r="AL12" i="1"/>
  <c r="AM12" i="1"/>
  <c r="AO12" i="1"/>
  <c r="AP12" i="1"/>
  <c r="AL46" i="1"/>
  <c r="AM46" i="1"/>
  <c r="AO46" i="1"/>
  <c r="AP46" i="1"/>
  <c r="AL21" i="1"/>
  <c r="AM21" i="1"/>
  <c r="AO21" i="1"/>
  <c r="AP21" i="1"/>
  <c r="AL40" i="1"/>
  <c r="AM40" i="1"/>
  <c r="AO40" i="1"/>
  <c r="AP40" i="1"/>
  <c r="AL17" i="1"/>
  <c r="AM17" i="1"/>
  <c r="AO17" i="1"/>
  <c r="AP17" i="1"/>
  <c r="AL5" i="1"/>
  <c r="AM5" i="1"/>
  <c r="AO5" i="1"/>
  <c r="AP5" i="1"/>
  <c r="AL6" i="1"/>
  <c r="AM6" i="1"/>
  <c r="AO6" i="1"/>
  <c r="AP6" i="1"/>
  <c r="AP8" i="1"/>
  <c r="AO8" i="1"/>
  <c r="AM8" i="1"/>
  <c r="AL8" i="1"/>
  <c r="Z27" i="1"/>
  <c r="AA27" i="1"/>
  <c r="AC27" i="1"/>
  <c r="AD27" i="1"/>
  <c r="Z47" i="1"/>
  <c r="AA47" i="1"/>
  <c r="AC47" i="1"/>
  <c r="AD47" i="1"/>
  <c r="Z33" i="1"/>
  <c r="AA33" i="1"/>
  <c r="AC33" i="1"/>
  <c r="AD33" i="1"/>
  <c r="Z28" i="1"/>
  <c r="AA28" i="1"/>
  <c r="AC28" i="1"/>
  <c r="AD28" i="1"/>
  <c r="Z45" i="1"/>
  <c r="AA45" i="1"/>
  <c r="AC45" i="1"/>
  <c r="AD45" i="1"/>
  <c r="Z15" i="1"/>
  <c r="AA15" i="1"/>
  <c r="AC15" i="1"/>
  <c r="AD15" i="1"/>
  <c r="Z11" i="1"/>
  <c r="AA11" i="1"/>
  <c r="AC11" i="1"/>
  <c r="AD11" i="1"/>
  <c r="Z56" i="1"/>
  <c r="AA56" i="1"/>
  <c r="AC56" i="1"/>
  <c r="AD56" i="1"/>
  <c r="Z23" i="1"/>
  <c r="AA23" i="1"/>
  <c r="AC23" i="1"/>
  <c r="AD23" i="1"/>
  <c r="Z34" i="1"/>
  <c r="AA34" i="1"/>
  <c r="AC34" i="1"/>
  <c r="AD34" i="1"/>
  <c r="Z58" i="1"/>
  <c r="AA58" i="1"/>
  <c r="AC58" i="1"/>
  <c r="AD58" i="1"/>
  <c r="Z36" i="1"/>
  <c r="AA36" i="1"/>
  <c r="AC36" i="1"/>
  <c r="AD36" i="1"/>
  <c r="Z43" i="1"/>
  <c r="AA43" i="1"/>
  <c r="AC43" i="1"/>
  <c r="AD43" i="1"/>
  <c r="Z13" i="1"/>
  <c r="AA13" i="1"/>
  <c r="AC13" i="1"/>
  <c r="AD13" i="1"/>
  <c r="Z49" i="1"/>
  <c r="AA49" i="1"/>
  <c r="AC49" i="1"/>
  <c r="AD49" i="1"/>
  <c r="Z42" i="1"/>
  <c r="AA42" i="1"/>
  <c r="AC42" i="1"/>
  <c r="AD42" i="1"/>
  <c r="Z53" i="1"/>
  <c r="AA53" i="1"/>
  <c r="AC53" i="1"/>
  <c r="AD53" i="1"/>
  <c r="Z26" i="1"/>
  <c r="AA26" i="1"/>
  <c r="AC26" i="1"/>
  <c r="AD26" i="1"/>
  <c r="Z50" i="1"/>
  <c r="AA50" i="1"/>
  <c r="AC50" i="1"/>
  <c r="AD50" i="1"/>
  <c r="Z30" i="1"/>
  <c r="AA30" i="1"/>
  <c r="AC30" i="1"/>
  <c r="AD30" i="1"/>
  <c r="Z14" i="1"/>
  <c r="AA14" i="1"/>
  <c r="AC14" i="1"/>
  <c r="AD14" i="1"/>
  <c r="Z4" i="1"/>
  <c r="AA4" i="1"/>
  <c r="AC4" i="1"/>
  <c r="AD4" i="1"/>
  <c r="Z29" i="1"/>
  <c r="AA29" i="1"/>
  <c r="AC29" i="1"/>
  <c r="AD29" i="1"/>
  <c r="Z57" i="1"/>
  <c r="AA57" i="1"/>
  <c r="AC57" i="1"/>
  <c r="AD57" i="1"/>
  <c r="Z18" i="1"/>
  <c r="AA18" i="1"/>
  <c r="AC18" i="1"/>
  <c r="AD18" i="1"/>
  <c r="Z35" i="1"/>
  <c r="AA35" i="1"/>
  <c r="AC35" i="1"/>
  <c r="AD35" i="1"/>
  <c r="Z31" i="1"/>
  <c r="AA31" i="1"/>
  <c r="AC31" i="1"/>
  <c r="AD31" i="1"/>
  <c r="Z10" i="1"/>
  <c r="AA10" i="1"/>
  <c r="AC10" i="1"/>
  <c r="AD10" i="1"/>
  <c r="Z16" i="1"/>
  <c r="AA16" i="1"/>
  <c r="AC16" i="1"/>
  <c r="AD16" i="1"/>
  <c r="Z19" i="1"/>
  <c r="AA19" i="1"/>
  <c r="AC19" i="1"/>
  <c r="AD19" i="1"/>
  <c r="Z51" i="1"/>
  <c r="AA51" i="1"/>
  <c r="AC51" i="1"/>
  <c r="AD51" i="1"/>
  <c r="Z9" i="1"/>
  <c r="AA9" i="1"/>
  <c r="AC9" i="1"/>
  <c r="AD9" i="1"/>
  <c r="Z37" i="1"/>
  <c r="AA37" i="1"/>
  <c r="AC37" i="1"/>
  <c r="AD37" i="1"/>
  <c r="Z25" i="1"/>
  <c r="AA25" i="1"/>
  <c r="AC25" i="1"/>
  <c r="AD25" i="1"/>
  <c r="Z38" i="1"/>
  <c r="AA38" i="1"/>
  <c r="AC38" i="1"/>
  <c r="AD38" i="1"/>
  <c r="Z24" i="1"/>
  <c r="AA24" i="1"/>
  <c r="AC24" i="1"/>
  <c r="AD24" i="1"/>
  <c r="Z7" i="1"/>
  <c r="AA7" i="1"/>
  <c r="AC7" i="1"/>
  <c r="AD7" i="1"/>
  <c r="Z52" i="1"/>
  <c r="AA52" i="1"/>
  <c r="AC52" i="1"/>
  <c r="AD52" i="1"/>
  <c r="Z22" i="1"/>
  <c r="AA22" i="1"/>
  <c r="AC22" i="1"/>
  <c r="AD22" i="1"/>
  <c r="Z55" i="1"/>
  <c r="AA55" i="1"/>
  <c r="AC55" i="1"/>
  <c r="AD55" i="1"/>
  <c r="Z32" i="1"/>
  <c r="AA32" i="1"/>
  <c r="AC32" i="1"/>
  <c r="AD32" i="1"/>
  <c r="Z54" i="1"/>
  <c r="AA54" i="1"/>
  <c r="AC54" i="1"/>
  <c r="AD54" i="1"/>
  <c r="Z44" i="1"/>
  <c r="AA44" i="1"/>
  <c r="AC44" i="1"/>
  <c r="AD44" i="1"/>
  <c r="Z48" i="1"/>
  <c r="AA48" i="1"/>
  <c r="AC48" i="1"/>
  <c r="AD48" i="1"/>
  <c r="Z20" i="1"/>
  <c r="AA20" i="1"/>
  <c r="AC20" i="1"/>
  <c r="AD20" i="1"/>
  <c r="Z39" i="1"/>
  <c r="AA39" i="1"/>
  <c r="AC39" i="1"/>
  <c r="AD39" i="1"/>
  <c r="Z41" i="1"/>
  <c r="AA41" i="1"/>
  <c r="AC41" i="1"/>
  <c r="AD41" i="1"/>
  <c r="Z12" i="1"/>
  <c r="AA12" i="1"/>
  <c r="AC12" i="1"/>
  <c r="AD12" i="1"/>
  <c r="Z46" i="1"/>
  <c r="AA46" i="1"/>
  <c r="AC46" i="1"/>
  <c r="AD46" i="1"/>
  <c r="Z21" i="1"/>
  <c r="AA21" i="1"/>
  <c r="AC21" i="1"/>
  <c r="AD21" i="1"/>
  <c r="Z40" i="1"/>
  <c r="AA40" i="1"/>
  <c r="AC40" i="1"/>
  <c r="AD40" i="1"/>
  <c r="Z17" i="1"/>
  <c r="AA17" i="1"/>
  <c r="AC17" i="1"/>
  <c r="AD17" i="1"/>
  <c r="Z5" i="1"/>
  <c r="AA5" i="1"/>
  <c r="AC5" i="1"/>
  <c r="AD5" i="1"/>
  <c r="Z6" i="1"/>
  <c r="AA6" i="1"/>
  <c r="AC6" i="1"/>
  <c r="AD6" i="1"/>
  <c r="AD8" i="1"/>
  <c r="AC8" i="1"/>
  <c r="AA8" i="1"/>
  <c r="Z8" i="1"/>
  <c r="AC62" i="1" l="1"/>
  <c r="Z62" i="1"/>
  <c r="AL62" i="1"/>
  <c r="AX62" i="1"/>
  <c r="BF62" i="1"/>
  <c r="AO62" i="1"/>
  <c r="BA62" i="1"/>
  <c r="AD62" i="1"/>
  <c r="AP62" i="1"/>
  <c r="BB62" i="1"/>
  <c r="BJ62" i="1"/>
  <c r="BI62" i="1"/>
  <c r="AA62" i="1"/>
  <c r="AM62" i="1"/>
  <c r="AY62" i="1"/>
  <c r="BG62" i="1"/>
  <c r="G70" i="3"/>
  <c r="G73" i="3" s="1"/>
  <c r="G71" i="3"/>
  <c r="G72" i="3" s="1"/>
  <c r="H3" i="3"/>
  <c r="H1" i="3"/>
  <c r="I2" i="3"/>
  <c r="I1" i="3" l="1"/>
  <c r="J2" i="3"/>
  <c r="I3" i="3"/>
  <c r="K2" i="3" l="1"/>
  <c r="J3" i="3"/>
  <c r="J1" i="3"/>
  <c r="G1" i="1"/>
  <c r="K1" i="3" l="1"/>
  <c r="L2" i="3"/>
  <c r="K3" i="3"/>
  <c r="L3" i="3" l="1"/>
  <c r="M2" i="3"/>
  <c r="L1" i="3"/>
  <c r="R6" i="1"/>
  <c r="Q6" i="1"/>
  <c r="O6" i="1"/>
  <c r="N6" i="1"/>
  <c r="R5" i="1"/>
  <c r="Q5" i="1"/>
  <c r="O5" i="1"/>
  <c r="N5" i="1"/>
  <c r="R17" i="1"/>
  <c r="Q17" i="1"/>
  <c r="O17" i="1"/>
  <c r="N17" i="1"/>
  <c r="R40" i="1"/>
  <c r="Q40" i="1"/>
  <c r="O40" i="1"/>
  <c r="N40" i="1"/>
  <c r="R21" i="1"/>
  <c r="Q21" i="1"/>
  <c r="O21" i="1"/>
  <c r="N21" i="1"/>
  <c r="R46" i="1"/>
  <c r="Q46" i="1"/>
  <c r="O46" i="1"/>
  <c r="N46" i="1"/>
  <c r="R12" i="1"/>
  <c r="Q12" i="1"/>
  <c r="O12" i="1"/>
  <c r="N12" i="1"/>
  <c r="R41" i="1"/>
  <c r="Q41" i="1"/>
  <c r="O41" i="1"/>
  <c r="N41" i="1"/>
  <c r="R39" i="1"/>
  <c r="Q39" i="1"/>
  <c r="O39" i="1"/>
  <c r="N39" i="1"/>
  <c r="R20" i="1"/>
  <c r="Q20" i="1"/>
  <c r="O20" i="1"/>
  <c r="N20" i="1"/>
  <c r="R48" i="1"/>
  <c r="Q48" i="1"/>
  <c r="O48" i="1"/>
  <c r="N48" i="1"/>
  <c r="R44" i="1"/>
  <c r="Q44" i="1"/>
  <c r="O44" i="1"/>
  <c r="N44" i="1"/>
  <c r="R54" i="1"/>
  <c r="Q54" i="1"/>
  <c r="O54" i="1"/>
  <c r="N54" i="1"/>
  <c r="R32" i="1"/>
  <c r="Q32" i="1"/>
  <c r="O32" i="1"/>
  <c r="N32" i="1"/>
  <c r="R55" i="1"/>
  <c r="Q55" i="1"/>
  <c r="O55" i="1"/>
  <c r="N55" i="1"/>
  <c r="R22" i="1"/>
  <c r="Q22" i="1"/>
  <c r="O22" i="1"/>
  <c r="N22" i="1"/>
  <c r="R52" i="1"/>
  <c r="Q52" i="1"/>
  <c r="O52" i="1"/>
  <c r="N52" i="1"/>
  <c r="R7" i="1"/>
  <c r="Q7" i="1"/>
  <c r="O7" i="1"/>
  <c r="N7" i="1"/>
  <c r="R24" i="1"/>
  <c r="Q24" i="1"/>
  <c r="O24" i="1"/>
  <c r="N24" i="1"/>
  <c r="R38" i="1"/>
  <c r="Q38" i="1"/>
  <c r="O38" i="1"/>
  <c r="N38" i="1"/>
  <c r="R25" i="1"/>
  <c r="Q25" i="1"/>
  <c r="O25" i="1"/>
  <c r="N25" i="1"/>
  <c r="R37" i="1"/>
  <c r="Q37" i="1"/>
  <c r="O37" i="1"/>
  <c r="N37" i="1"/>
  <c r="R9" i="1"/>
  <c r="Q9" i="1"/>
  <c r="O9" i="1"/>
  <c r="N9" i="1"/>
  <c r="R51" i="1"/>
  <c r="Q51" i="1"/>
  <c r="O51" i="1"/>
  <c r="N51" i="1"/>
  <c r="R19" i="1"/>
  <c r="Q19" i="1"/>
  <c r="O19" i="1"/>
  <c r="N19" i="1"/>
  <c r="R16" i="1"/>
  <c r="Q16" i="1"/>
  <c r="O16" i="1"/>
  <c r="N16" i="1"/>
  <c r="R10" i="1"/>
  <c r="Q10" i="1"/>
  <c r="O10" i="1"/>
  <c r="N10" i="1"/>
  <c r="R31" i="1"/>
  <c r="Q31" i="1"/>
  <c r="O31" i="1"/>
  <c r="N31" i="1"/>
  <c r="Q35" i="1"/>
  <c r="O35" i="1"/>
  <c r="N35" i="1"/>
  <c r="R18" i="1"/>
  <c r="Q18" i="1"/>
  <c r="O18" i="1"/>
  <c r="N18" i="1"/>
  <c r="R57" i="1"/>
  <c r="Q57" i="1"/>
  <c r="O57" i="1"/>
  <c r="N57" i="1"/>
  <c r="R29" i="1"/>
  <c r="Q29" i="1"/>
  <c r="O29" i="1"/>
  <c r="N29" i="1"/>
  <c r="R4" i="1"/>
  <c r="Q4" i="1"/>
  <c r="O4" i="1"/>
  <c r="N4" i="1"/>
  <c r="R14" i="1"/>
  <c r="Q14" i="1"/>
  <c r="O14" i="1"/>
  <c r="N14" i="1"/>
  <c r="R30" i="1"/>
  <c r="Q30" i="1"/>
  <c r="O30" i="1"/>
  <c r="N30" i="1"/>
  <c r="R50" i="1"/>
  <c r="Q50" i="1"/>
  <c r="O50" i="1"/>
  <c r="N50" i="1"/>
  <c r="R26" i="1"/>
  <c r="Q26" i="1"/>
  <c r="O26" i="1"/>
  <c r="N26" i="1"/>
  <c r="R53" i="1"/>
  <c r="Q53" i="1"/>
  <c r="O53" i="1"/>
  <c r="N53" i="1"/>
  <c r="R42" i="1"/>
  <c r="Q42" i="1"/>
  <c r="O42" i="1"/>
  <c r="N42" i="1"/>
  <c r="R49" i="1"/>
  <c r="Q49" i="1"/>
  <c r="O49" i="1"/>
  <c r="N49" i="1"/>
  <c r="R13" i="1"/>
  <c r="Q13" i="1"/>
  <c r="O13" i="1"/>
  <c r="N13" i="1"/>
  <c r="R43" i="1"/>
  <c r="Q43" i="1"/>
  <c r="O43" i="1"/>
  <c r="N43" i="1"/>
  <c r="R36" i="1"/>
  <c r="Q36" i="1"/>
  <c r="O36" i="1"/>
  <c r="N36" i="1"/>
  <c r="R58" i="1"/>
  <c r="Q58" i="1"/>
  <c r="O58" i="1"/>
  <c r="N58" i="1"/>
  <c r="R34" i="1"/>
  <c r="Q34" i="1"/>
  <c r="O34" i="1"/>
  <c r="N34" i="1"/>
  <c r="R23" i="1"/>
  <c r="Q23" i="1"/>
  <c r="O23" i="1"/>
  <c r="N23" i="1"/>
  <c r="R56" i="1"/>
  <c r="Q56" i="1"/>
  <c r="O56" i="1"/>
  <c r="N56" i="1"/>
  <c r="R11" i="1"/>
  <c r="Q11" i="1"/>
  <c r="O11" i="1"/>
  <c r="N11" i="1"/>
  <c r="R15" i="1"/>
  <c r="Q15" i="1"/>
  <c r="O15" i="1"/>
  <c r="N15" i="1"/>
  <c r="R45" i="1"/>
  <c r="Q45" i="1"/>
  <c r="O45" i="1"/>
  <c r="N45" i="1"/>
  <c r="R28" i="1"/>
  <c r="Q28" i="1"/>
  <c r="O28" i="1"/>
  <c r="N28" i="1"/>
  <c r="R33" i="1"/>
  <c r="Q33" i="1"/>
  <c r="O33" i="1"/>
  <c r="N33" i="1"/>
  <c r="R47" i="1"/>
  <c r="Q47" i="1"/>
  <c r="O47" i="1"/>
  <c r="N47" i="1"/>
  <c r="R27" i="1"/>
  <c r="Q27" i="1"/>
  <c r="O27" i="1"/>
  <c r="N27" i="1"/>
  <c r="R8" i="1"/>
  <c r="Q8" i="1"/>
  <c r="O8" i="1"/>
  <c r="N8" i="1"/>
  <c r="H2" i="1"/>
  <c r="H120" i="5" l="1"/>
  <c r="H118" i="5"/>
  <c r="H119" i="5"/>
  <c r="H5" i="5"/>
  <c r="H28" i="5"/>
  <c r="H49" i="5"/>
  <c r="H48" i="5"/>
  <c r="H36" i="5"/>
  <c r="H33" i="5"/>
  <c r="H17" i="5"/>
  <c r="H40" i="5"/>
  <c r="H16" i="5"/>
  <c r="H29" i="5"/>
  <c r="H13" i="5"/>
  <c r="H52" i="5"/>
  <c r="H51" i="5"/>
  <c r="H24" i="5"/>
  <c r="H21" i="5"/>
  <c r="H59" i="5"/>
  <c r="H32" i="5"/>
  <c r="H60" i="5"/>
  <c r="H61" i="5"/>
  <c r="H8" i="5"/>
  <c r="H53" i="5"/>
  <c r="H41" i="5"/>
  <c r="H44" i="5"/>
  <c r="H55" i="5"/>
  <c r="H27" i="5"/>
  <c r="H19" i="5"/>
  <c r="H37" i="5"/>
  <c r="H46" i="5"/>
  <c r="H43" i="5"/>
  <c r="H31" i="5"/>
  <c r="H23" i="5"/>
  <c r="H15" i="5"/>
  <c r="H25" i="5"/>
  <c r="H4" i="5"/>
  <c r="H58" i="5"/>
  <c r="H56" i="5"/>
  <c r="H20" i="5"/>
  <c r="H39" i="5"/>
  <c r="H7" i="5"/>
  <c r="H45" i="5"/>
  <c r="H54" i="5"/>
  <c r="H50" i="5"/>
  <c r="H12" i="5"/>
  <c r="H22" i="5"/>
  <c r="H10" i="5"/>
  <c r="H47" i="5"/>
  <c r="H35" i="5"/>
  <c r="H11" i="5"/>
  <c r="H30" i="5"/>
  <c r="H108" i="5"/>
  <c r="H42" i="5"/>
  <c r="H26" i="5"/>
  <c r="H6" i="5"/>
  <c r="H95" i="5"/>
  <c r="H87" i="5"/>
  <c r="H71" i="5"/>
  <c r="H63" i="5"/>
  <c r="H57" i="5"/>
  <c r="H78" i="5"/>
  <c r="H107" i="5"/>
  <c r="H93" i="5"/>
  <c r="H85" i="5"/>
  <c r="H103" i="5"/>
  <c r="H14" i="5"/>
  <c r="H86" i="5"/>
  <c r="H70" i="5"/>
  <c r="H97" i="5"/>
  <c r="H77" i="5"/>
  <c r="H73" i="5"/>
  <c r="H69" i="5"/>
  <c r="H9" i="5"/>
  <c r="H34" i="5"/>
  <c r="H115" i="5"/>
  <c r="H89" i="5"/>
  <c r="H81" i="5"/>
  <c r="H65" i="5"/>
  <c r="H99" i="5"/>
  <c r="H38" i="5"/>
  <c r="H62" i="5"/>
  <c r="H75" i="5"/>
  <c r="H88" i="5"/>
  <c r="H84" i="5"/>
  <c r="H102" i="5"/>
  <c r="H105" i="5"/>
  <c r="H18" i="5"/>
  <c r="H79" i="5"/>
  <c r="H114" i="5"/>
  <c r="H67" i="5"/>
  <c r="H96" i="5"/>
  <c r="H80" i="5"/>
  <c r="H64" i="5"/>
  <c r="H109" i="5"/>
  <c r="H113" i="5"/>
  <c r="H112" i="5"/>
  <c r="H94" i="5"/>
  <c r="H106" i="5"/>
  <c r="H83" i="5"/>
  <c r="H111" i="5"/>
  <c r="H90" i="5"/>
  <c r="H82" i="5"/>
  <c r="H74" i="5"/>
  <c r="H66" i="5"/>
  <c r="H100" i="5"/>
  <c r="H92" i="5"/>
  <c r="H72" i="5"/>
  <c r="H104" i="5"/>
  <c r="H117" i="5"/>
  <c r="H91" i="5"/>
  <c r="H101" i="5"/>
  <c r="H110" i="5"/>
  <c r="H98" i="5"/>
  <c r="H76" i="5"/>
  <c r="H68" i="5"/>
  <c r="H116" i="5"/>
  <c r="H3" i="1"/>
  <c r="N62" i="1"/>
  <c r="O62" i="1"/>
  <c r="R62" i="1"/>
  <c r="Q62" i="1"/>
  <c r="H1" i="1"/>
  <c r="M1" i="3"/>
  <c r="M3" i="3"/>
  <c r="S2" i="3"/>
  <c r="I2" i="1"/>
  <c r="I74" i="5" l="1"/>
  <c r="I98" i="5"/>
  <c r="I91" i="5"/>
  <c r="I117" i="5"/>
  <c r="I102" i="5"/>
  <c r="I32" i="5"/>
  <c r="I33" i="5"/>
  <c r="I17" i="5"/>
  <c r="I29" i="5"/>
  <c r="I47" i="5"/>
  <c r="I53" i="5"/>
  <c r="I41" i="5"/>
  <c r="I9" i="5"/>
  <c r="I50" i="5"/>
  <c r="I13" i="5"/>
  <c r="I44" i="5"/>
  <c r="I31" i="5"/>
  <c r="I19" i="5"/>
  <c r="I37" i="5"/>
  <c r="I118" i="5"/>
  <c r="I49" i="5"/>
  <c r="I40" i="5"/>
  <c r="I56" i="5"/>
  <c r="I12" i="5"/>
  <c r="I51" i="5"/>
  <c r="I16" i="5"/>
  <c r="I21" i="5"/>
  <c r="I39" i="5"/>
  <c r="I45" i="5"/>
  <c r="I54" i="5"/>
  <c r="I35" i="5"/>
  <c r="I15" i="5"/>
  <c r="I120" i="5"/>
  <c r="I119" i="5"/>
  <c r="I5" i="5"/>
  <c r="I28" i="5"/>
  <c r="I61" i="5"/>
  <c r="I43" i="5"/>
  <c r="I55" i="5"/>
  <c r="I23" i="5"/>
  <c r="I24" i="5"/>
  <c r="I57" i="5"/>
  <c r="I60" i="5"/>
  <c r="I7" i="5"/>
  <c r="I71" i="5"/>
  <c r="I38" i="5"/>
  <c r="I59" i="5"/>
  <c r="I11" i="5"/>
  <c r="I4" i="5"/>
  <c r="I27" i="5"/>
  <c r="I87" i="5"/>
  <c r="I8" i="5"/>
  <c r="I48" i="5"/>
  <c r="I25" i="5"/>
  <c r="I18" i="5"/>
  <c r="I46" i="5"/>
  <c r="I112" i="5"/>
  <c r="I94" i="5"/>
  <c r="I36" i="5"/>
  <c r="I20" i="5"/>
  <c r="I52" i="5"/>
  <c r="I58" i="5"/>
  <c r="I30" i="5"/>
  <c r="I63" i="5"/>
  <c r="I10" i="5"/>
  <c r="I103" i="5"/>
  <c r="I42" i="5"/>
  <c r="I85" i="5"/>
  <c r="I75" i="5"/>
  <c r="I116" i="5"/>
  <c r="I26" i="5"/>
  <c r="I84" i="5"/>
  <c r="I79" i="5"/>
  <c r="I115" i="5"/>
  <c r="I65" i="5"/>
  <c r="I92" i="5"/>
  <c r="I72" i="5"/>
  <c r="I109" i="5"/>
  <c r="I105" i="5"/>
  <c r="I66" i="5"/>
  <c r="I100" i="5"/>
  <c r="I80" i="5"/>
  <c r="I76" i="5"/>
  <c r="I34" i="5"/>
  <c r="I114" i="5"/>
  <c r="I22" i="5"/>
  <c r="I14" i="5"/>
  <c r="I73" i="5"/>
  <c r="I97" i="5"/>
  <c r="I113" i="5"/>
  <c r="I62" i="5"/>
  <c r="I101" i="5"/>
  <c r="I110" i="5"/>
  <c r="I68" i="5"/>
  <c r="I104" i="5"/>
  <c r="I6" i="5"/>
  <c r="I95" i="5"/>
  <c r="I108" i="5"/>
  <c r="I70" i="5"/>
  <c r="I89" i="5"/>
  <c r="I69" i="5"/>
  <c r="I99" i="5"/>
  <c r="I86" i="5"/>
  <c r="I78" i="5"/>
  <c r="I81" i="5"/>
  <c r="I106" i="5"/>
  <c r="I77" i="5"/>
  <c r="I67" i="5"/>
  <c r="I107" i="5"/>
  <c r="I83" i="5"/>
  <c r="I111" i="5"/>
  <c r="I88" i="5"/>
  <c r="I93" i="5"/>
  <c r="I96" i="5"/>
  <c r="I90" i="5"/>
  <c r="I64" i="5"/>
  <c r="I82" i="5"/>
  <c r="I1" i="1"/>
  <c r="I3" i="1"/>
  <c r="G70" i="1"/>
  <c r="G71" i="1" s="1"/>
  <c r="G69" i="1"/>
  <c r="G72" i="1" s="1"/>
  <c r="J2" i="1"/>
  <c r="T2" i="3"/>
  <c r="T1" i="3" s="1"/>
  <c r="S3" i="3"/>
  <c r="S1" i="3"/>
  <c r="J49" i="5" l="1"/>
  <c r="J36" i="5"/>
  <c r="J28" i="5"/>
  <c r="J33" i="5"/>
  <c r="J47" i="5"/>
  <c r="J8" i="5"/>
  <c r="J24" i="5"/>
  <c r="J23" i="5"/>
  <c r="J48" i="5"/>
  <c r="J35" i="5"/>
  <c r="J38" i="5"/>
  <c r="J17" i="5"/>
  <c r="J34" i="5"/>
  <c r="J79" i="5"/>
  <c r="J116" i="5"/>
  <c r="J68" i="5"/>
  <c r="J44" i="5"/>
  <c r="J16" i="5"/>
  <c r="J51" i="5"/>
  <c r="J60" i="5"/>
  <c r="J21" i="5"/>
  <c r="J37" i="5"/>
  <c r="J43" i="5"/>
  <c r="J27" i="5"/>
  <c r="J5" i="5"/>
  <c r="J54" i="5"/>
  <c r="J45" i="5"/>
  <c r="J4" i="5"/>
  <c r="J87" i="5"/>
  <c r="J105" i="5"/>
  <c r="J82" i="5"/>
  <c r="J20" i="5"/>
  <c r="J41" i="5"/>
  <c r="J32" i="5"/>
  <c r="J40" i="5"/>
  <c r="J13" i="5"/>
  <c r="J55" i="5"/>
  <c r="J57" i="5"/>
  <c r="J9" i="5"/>
  <c r="J12" i="5"/>
  <c r="J61" i="5"/>
  <c r="J53" i="5"/>
  <c r="J50" i="5"/>
  <c r="J25" i="5"/>
  <c r="J22" i="5"/>
  <c r="J112" i="5"/>
  <c r="J118" i="5"/>
  <c r="J29" i="5"/>
  <c r="J119" i="5"/>
  <c r="J42" i="5"/>
  <c r="J59" i="5"/>
  <c r="J58" i="5"/>
  <c r="J15" i="5"/>
  <c r="J10" i="5"/>
  <c r="J63" i="5"/>
  <c r="J108" i="5"/>
  <c r="J39" i="5"/>
  <c r="J107" i="5"/>
  <c r="J85" i="5"/>
  <c r="J98" i="5"/>
  <c r="J96" i="5"/>
  <c r="J93" i="5"/>
  <c r="J7" i="5"/>
  <c r="J46" i="5"/>
  <c r="J104" i="5"/>
  <c r="J70" i="5"/>
  <c r="J77" i="5"/>
  <c r="J84" i="5"/>
  <c r="J86" i="5"/>
  <c r="J18" i="5"/>
  <c r="J115" i="5"/>
  <c r="J103" i="5"/>
  <c r="J91" i="5"/>
  <c r="J26" i="5"/>
  <c r="J56" i="5"/>
  <c r="J31" i="5"/>
  <c r="J14" i="5"/>
  <c r="J71" i="5"/>
  <c r="J99" i="5"/>
  <c r="J19" i="5"/>
  <c r="J113" i="5"/>
  <c r="J64" i="5"/>
  <c r="J101" i="5"/>
  <c r="J95" i="5"/>
  <c r="J52" i="5"/>
  <c r="J120" i="5"/>
  <c r="J6" i="5"/>
  <c r="J30" i="5"/>
  <c r="J89" i="5"/>
  <c r="J94" i="5"/>
  <c r="J114" i="5"/>
  <c r="J97" i="5"/>
  <c r="J73" i="5"/>
  <c r="J78" i="5"/>
  <c r="J92" i="5"/>
  <c r="J80" i="5"/>
  <c r="J111" i="5"/>
  <c r="J75" i="5"/>
  <c r="J90" i="5"/>
  <c r="J110" i="5"/>
  <c r="J62" i="5"/>
  <c r="J102" i="5"/>
  <c r="J81" i="5"/>
  <c r="J11" i="5"/>
  <c r="J106" i="5"/>
  <c r="J100" i="5"/>
  <c r="J88" i="5"/>
  <c r="J83" i="5"/>
  <c r="J76" i="5"/>
  <c r="J74" i="5"/>
  <c r="J69" i="5"/>
  <c r="J65" i="5"/>
  <c r="J72" i="5"/>
  <c r="J67" i="5"/>
  <c r="J66" i="5"/>
  <c r="J117" i="5"/>
  <c r="J109" i="5"/>
  <c r="J3" i="1"/>
  <c r="J1" i="1"/>
  <c r="K2" i="1"/>
  <c r="U2" i="3"/>
  <c r="T3" i="3"/>
  <c r="K13" i="5" l="1"/>
  <c r="K16" i="5"/>
  <c r="K49" i="5"/>
  <c r="K34" i="5"/>
  <c r="K17" i="5"/>
  <c r="K15" i="5"/>
  <c r="K28" i="5"/>
  <c r="K120" i="5"/>
  <c r="K30" i="5"/>
  <c r="K4" i="5"/>
  <c r="K50" i="5"/>
  <c r="K6" i="5"/>
  <c r="K114" i="5"/>
  <c r="K85" i="5"/>
  <c r="K24" i="5"/>
  <c r="K81" i="5"/>
  <c r="K80" i="5"/>
  <c r="K27" i="5"/>
  <c r="K5" i="5"/>
  <c r="K118" i="5"/>
  <c r="K39" i="5"/>
  <c r="K46" i="5"/>
  <c r="K42" i="5"/>
  <c r="K22" i="5"/>
  <c r="K11" i="5"/>
  <c r="K52" i="5"/>
  <c r="K56" i="5"/>
  <c r="K25" i="5"/>
  <c r="K91" i="5"/>
  <c r="K66" i="5"/>
  <c r="K117" i="5"/>
  <c r="K53" i="5"/>
  <c r="K68" i="5"/>
  <c r="K93" i="5"/>
  <c r="K95" i="5"/>
  <c r="K99" i="5"/>
  <c r="K104" i="5"/>
  <c r="K54" i="5"/>
  <c r="K65" i="5"/>
  <c r="K12" i="5"/>
  <c r="K119" i="5"/>
  <c r="K44" i="5"/>
  <c r="K26" i="5"/>
  <c r="K58" i="5"/>
  <c r="K57" i="5"/>
  <c r="K23" i="5"/>
  <c r="K35" i="5"/>
  <c r="K29" i="5"/>
  <c r="K21" i="5"/>
  <c r="K32" i="5"/>
  <c r="K60" i="5"/>
  <c r="K7" i="5"/>
  <c r="K59" i="5"/>
  <c r="K43" i="5"/>
  <c r="K45" i="5"/>
  <c r="K55" i="5"/>
  <c r="K64" i="5"/>
  <c r="K94" i="5"/>
  <c r="K89" i="5"/>
  <c r="K96" i="5"/>
  <c r="K18" i="5"/>
  <c r="K69" i="5"/>
  <c r="K102" i="5"/>
  <c r="K48" i="5"/>
  <c r="K87" i="5"/>
  <c r="K100" i="5"/>
  <c r="K90" i="5"/>
  <c r="K113" i="5"/>
  <c r="K14" i="5"/>
  <c r="K101" i="5"/>
  <c r="K72" i="5"/>
  <c r="K105" i="5"/>
  <c r="K20" i="5"/>
  <c r="K36" i="5"/>
  <c r="K9" i="5"/>
  <c r="K108" i="5"/>
  <c r="K41" i="5"/>
  <c r="K31" i="5"/>
  <c r="K51" i="5"/>
  <c r="K19" i="5"/>
  <c r="K61" i="5"/>
  <c r="K8" i="5"/>
  <c r="K47" i="5"/>
  <c r="K40" i="5"/>
  <c r="K33" i="5"/>
  <c r="K98" i="5"/>
  <c r="K63" i="5"/>
  <c r="K115" i="5"/>
  <c r="K106" i="5"/>
  <c r="K37" i="5"/>
  <c r="K70" i="5"/>
  <c r="K88" i="5"/>
  <c r="K83" i="5"/>
  <c r="K111" i="5"/>
  <c r="K112" i="5"/>
  <c r="K78" i="5"/>
  <c r="K76" i="5"/>
  <c r="K103" i="5"/>
  <c r="K116" i="5"/>
  <c r="K38" i="5"/>
  <c r="K86" i="5"/>
  <c r="K79" i="5"/>
  <c r="K77" i="5"/>
  <c r="K10" i="5"/>
  <c r="K67" i="5"/>
  <c r="K74" i="5"/>
  <c r="K62" i="5"/>
  <c r="K71" i="5"/>
  <c r="K97" i="5"/>
  <c r="K82" i="5"/>
  <c r="K73" i="5"/>
  <c r="K110" i="5"/>
  <c r="K92" i="5"/>
  <c r="K109" i="5"/>
  <c r="K107" i="5"/>
  <c r="K75" i="5"/>
  <c r="K84" i="5"/>
  <c r="K3" i="1"/>
  <c r="L2" i="1"/>
  <c r="L74" i="5" s="1"/>
  <c r="K1" i="1"/>
  <c r="U3" i="3"/>
  <c r="V2" i="3"/>
  <c r="V3" i="3" s="1"/>
  <c r="U1" i="3"/>
  <c r="L103" i="5" l="1"/>
  <c r="L102" i="5"/>
  <c r="L113" i="5"/>
  <c r="L66" i="5"/>
  <c r="L34" i="5"/>
  <c r="L76" i="5"/>
  <c r="L31" i="5"/>
  <c r="L115" i="5"/>
  <c r="L68" i="5"/>
  <c r="L49" i="5"/>
  <c r="L17" i="5"/>
  <c r="L118" i="5"/>
  <c r="L57" i="5"/>
  <c r="L81" i="5"/>
  <c r="L44" i="5"/>
  <c r="L58" i="5"/>
  <c r="L16" i="5"/>
  <c r="L107" i="5"/>
  <c r="L8" i="5"/>
  <c r="L43" i="5"/>
  <c r="L24" i="5"/>
  <c r="L30" i="5"/>
  <c r="L73" i="5"/>
  <c r="L89" i="5"/>
  <c r="L67" i="5"/>
  <c r="L96" i="5"/>
  <c r="L54" i="5"/>
  <c r="L47" i="5"/>
  <c r="L60" i="5"/>
  <c r="L14" i="5"/>
  <c r="L101" i="5"/>
  <c r="L38" i="5"/>
  <c r="L77" i="5"/>
  <c r="L18" i="5"/>
  <c r="L22" i="5"/>
  <c r="L7" i="5"/>
  <c r="L56" i="5"/>
  <c r="L90" i="5"/>
  <c r="L78" i="5"/>
  <c r="L4" i="5"/>
  <c r="L100" i="5"/>
  <c r="L112" i="5"/>
  <c r="L48" i="5"/>
  <c r="L71" i="5"/>
  <c r="L15" i="5"/>
  <c r="L13" i="5"/>
  <c r="L97" i="5"/>
  <c r="L79" i="5"/>
  <c r="L65" i="5"/>
  <c r="L93" i="5"/>
  <c r="L114" i="5"/>
  <c r="L51" i="5"/>
  <c r="L27" i="5"/>
  <c r="L19" i="5"/>
  <c r="L41" i="5"/>
  <c r="L45" i="5"/>
  <c r="L5" i="5"/>
  <c r="L26" i="5"/>
  <c r="L10" i="5"/>
  <c r="L98" i="5"/>
  <c r="L28" i="5"/>
  <c r="L59" i="5"/>
  <c r="L61" i="5"/>
  <c r="L6" i="5"/>
  <c r="L52" i="5"/>
  <c r="L40" i="5"/>
  <c r="L33" i="5"/>
  <c r="L117" i="5"/>
  <c r="L69" i="5"/>
  <c r="L88" i="5"/>
  <c r="L104" i="5"/>
  <c r="L21" i="5"/>
  <c r="L72" i="5"/>
  <c r="L50" i="5"/>
  <c r="L37" i="5"/>
  <c r="L55" i="5"/>
  <c r="L70" i="5"/>
  <c r="L86" i="5"/>
  <c r="L39" i="5"/>
  <c r="L35" i="5"/>
  <c r="L20" i="5"/>
  <c r="L116" i="5"/>
  <c r="L91" i="5"/>
  <c r="L25" i="5"/>
  <c r="L85" i="5"/>
  <c r="L46" i="5"/>
  <c r="L92" i="5"/>
  <c r="L84" i="5"/>
  <c r="L105" i="5"/>
  <c r="L32" i="5"/>
  <c r="L36" i="5"/>
  <c r="L63" i="5"/>
  <c r="L95" i="5"/>
  <c r="L106" i="5"/>
  <c r="L111" i="5"/>
  <c r="L94" i="5"/>
  <c r="L11" i="5"/>
  <c r="L109" i="5"/>
  <c r="L53" i="5"/>
  <c r="L119" i="5"/>
  <c r="L12" i="5"/>
  <c r="L23" i="5"/>
  <c r="L9" i="5"/>
  <c r="L62" i="5"/>
  <c r="L29" i="5"/>
  <c r="L87" i="5"/>
  <c r="L42" i="5"/>
  <c r="L110" i="5"/>
  <c r="L120" i="5"/>
  <c r="L99" i="5"/>
  <c r="L82" i="5"/>
  <c r="L108" i="5"/>
  <c r="L80" i="5"/>
  <c r="L75" i="5"/>
  <c r="L64" i="5"/>
  <c r="L83" i="5"/>
  <c r="L3" i="1"/>
  <c r="M2" i="1"/>
  <c r="M76" i="5" s="1"/>
  <c r="L1" i="1"/>
  <c r="V1" i="3"/>
  <c r="W2" i="3"/>
  <c r="M64" i="5" l="1"/>
  <c r="M6" i="5"/>
  <c r="M110" i="5"/>
  <c r="M42" i="5"/>
  <c r="M111" i="5"/>
  <c r="M78" i="5"/>
  <c r="M3" i="1"/>
  <c r="S2" i="1"/>
  <c r="M1" i="1"/>
  <c r="X2" i="3"/>
  <c r="W3" i="3"/>
  <c r="W1" i="3"/>
  <c r="X1" i="3" l="1"/>
  <c r="X3" i="3"/>
  <c r="S1" i="1"/>
  <c r="S3" i="1"/>
  <c r="T2" i="1"/>
  <c r="Y2" i="3"/>
  <c r="T1" i="1" l="1"/>
  <c r="T3" i="1"/>
  <c r="U2" i="1"/>
  <c r="U3" i="1" s="1"/>
  <c r="Y3" i="3"/>
  <c r="AE2" i="3"/>
  <c r="V2" i="1" l="1"/>
  <c r="U1" i="1"/>
  <c r="AE1" i="3"/>
  <c r="AF2" i="3"/>
  <c r="AE3" i="3"/>
  <c r="W2" i="1" l="1"/>
  <c r="V3" i="1"/>
  <c r="V1" i="1"/>
  <c r="AG2" i="3"/>
  <c r="AF3" i="3"/>
  <c r="AF1" i="3"/>
  <c r="W1" i="1" l="1"/>
  <c r="W3" i="1"/>
  <c r="X2" i="1"/>
  <c r="AG1" i="3"/>
  <c r="AH2" i="3"/>
  <c r="AG3" i="3"/>
  <c r="X1" i="1" l="1"/>
  <c r="X3" i="1"/>
  <c r="Y2" i="1"/>
  <c r="AH3" i="3"/>
  <c r="AI2" i="3"/>
  <c r="AH1" i="3"/>
  <c r="Y3" i="1" l="1"/>
  <c r="AE2" i="1"/>
  <c r="Y1" i="1"/>
  <c r="AI1" i="3"/>
  <c r="AJ2" i="3"/>
  <c r="AJ1" i="3" s="1"/>
  <c r="AI3" i="3"/>
  <c r="AE3" i="1" l="1"/>
  <c r="AF2" i="1"/>
  <c r="AE1" i="1"/>
  <c r="AK2" i="3"/>
  <c r="AJ3" i="3"/>
  <c r="AF3" i="1" l="1"/>
  <c r="AF1" i="1"/>
  <c r="AG2" i="1"/>
  <c r="AK1" i="3"/>
  <c r="AQ2" i="3"/>
  <c r="AK3" i="3"/>
  <c r="AG3" i="1" l="1"/>
  <c r="AH2" i="1"/>
  <c r="AG1" i="1"/>
  <c r="AQ3" i="3"/>
  <c r="AR2" i="3"/>
  <c r="AQ1" i="3"/>
  <c r="AR3" i="3" l="1"/>
  <c r="AS2" i="3"/>
  <c r="AH3" i="1"/>
  <c r="AH1" i="1"/>
  <c r="AI2" i="1"/>
  <c r="AR1" i="3"/>
  <c r="AI3" i="1" l="1"/>
  <c r="AJ2" i="1"/>
  <c r="AI1" i="1"/>
  <c r="AT2" i="3"/>
  <c r="AS3" i="3"/>
  <c r="AS1" i="3"/>
  <c r="AJ3" i="1" l="1"/>
  <c r="AK2" i="1"/>
  <c r="AJ1" i="1"/>
  <c r="AT1" i="3"/>
  <c r="AU2" i="3"/>
  <c r="AT3" i="3"/>
  <c r="AK3" i="1" l="1"/>
  <c r="AQ2" i="1"/>
  <c r="AK1" i="1"/>
  <c r="AU3" i="3"/>
  <c r="AV2" i="3"/>
  <c r="AU1" i="3"/>
  <c r="AQ3" i="1" l="1"/>
  <c r="AR2" i="1"/>
  <c r="AQ1" i="1"/>
  <c r="AV1" i="3"/>
  <c r="AW2" i="3"/>
  <c r="AV3" i="3"/>
  <c r="AR3" i="1" l="1"/>
  <c r="AR1" i="1"/>
  <c r="AS2" i="1"/>
  <c r="BC2" i="3"/>
  <c r="AW3" i="3"/>
  <c r="AW1" i="3"/>
  <c r="AS3" i="1" l="1"/>
  <c r="AS1" i="1"/>
  <c r="AT2" i="1"/>
  <c r="BC1" i="3"/>
  <c r="BD2" i="3"/>
  <c r="BC3" i="3"/>
  <c r="AT3" i="1" l="1"/>
  <c r="AU2" i="1"/>
  <c r="AT1" i="1"/>
  <c r="BD3" i="3"/>
  <c r="BE2" i="3"/>
  <c r="BD1" i="3"/>
  <c r="AU3" i="1" l="1"/>
  <c r="AV2" i="1"/>
  <c r="AW2" i="1" s="1"/>
  <c r="AU1" i="1"/>
  <c r="BE1" i="3"/>
  <c r="BE3" i="3"/>
  <c r="BK61" i="3" l="1"/>
  <c r="BK62" i="3"/>
  <c r="BO62" i="3"/>
  <c r="BL61" i="3"/>
  <c r="BL62" i="3"/>
  <c r="BO61" i="3"/>
  <c r="BM61" i="3"/>
  <c r="BN62" i="3"/>
  <c r="BM62" i="3"/>
  <c r="BN61" i="3"/>
  <c r="BL60" i="3"/>
  <c r="BM60" i="3"/>
  <c r="BK60" i="3"/>
  <c r="BO60" i="3"/>
  <c r="BN60" i="3"/>
  <c r="BO58" i="3"/>
  <c r="BK58" i="3"/>
  <c r="BM58" i="3"/>
  <c r="BL58" i="3"/>
  <c r="BN58" i="3"/>
  <c r="BK56" i="3"/>
  <c r="BM57" i="3"/>
  <c r="BK57" i="3"/>
  <c r="BO57" i="3"/>
  <c r="BM59" i="3"/>
  <c r="BO59" i="3"/>
  <c r="BL57" i="3"/>
  <c r="BN59" i="3"/>
  <c r="BK59" i="3"/>
  <c r="BL59" i="3"/>
  <c r="BN57" i="3"/>
  <c r="BL55" i="3"/>
  <c r="BM56" i="3"/>
  <c r="BL56" i="3"/>
  <c r="BM55" i="3"/>
  <c r="BN56" i="3"/>
  <c r="BN55" i="3"/>
  <c r="BO55" i="3"/>
  <c r="BO56" i="3"/>
  <c r="BK55" i="3"/>
  <c r="AV3" i="1"/>
  <c r="AV1" i="1"/>
  <c r="BM52" i="3"/>
  <c r="BM5" i="3"/>
  <c r="BM33" i="3"/>
  <c r="BM7" i="3"/>
  <c r="BM35" i="3"/>
  <c r="BM47" i="3"/>
  <c r="BM8" i="3"/>
  <c r="BM48" i="3"/>
  <c r="BM27" i="3"/>
  <c r="BM44" i="3"/>
  <c r="BM19" i="3"/>
  <c r="BM50" i="3"/>
  <c r="BM24" i="3"/>
  <c r="BM30" i="3"/>
  <c r="BM29" i="3"/>
  <c r="BM54" i="3"/>
  <c r="BM49" i="3"/>
  <c r="BM43" i="3"/>
  <c r="BM15" i="3"/>
  <c r="BM10" i="3"/>
  <c r="BM38" i="3"/>
  <c r="BM18" i="3"/>
  <c r="BM36" i="3"/>
  <c r="BM42" i="3"/>
  <c r="BM13" i="3"/>
  <c r="BM9" i="3"/>
  <c r="BM34" i="3"/>
  <c r="BM14" i="3"/>
  <c r="BM28" i="3"/>
  <c r="BM41" i="3"/>
  <c r="BM21" i="3"/>
  <c r="BM63" i="3"/>
  <c r="BM32" i="3"/>
  <c r="BM45" i="3"/>
  <c r="BM31" i="3"/>
  <c r="BM53" i="3"/>
  <c r="BM25" i="3"/>
  <c r="BM37" i="3"/>
  <c r="BM6" i="3"/>
  <c r="BM11" i="3"/>
  <c r="BM22" i="3"/>
  <c r="BM26" i="3"/>
  <c r="BM17" i="3"/>
  <c r="BM20" i="3"/>
  <c r="BM16" i="3"/>
  <c r="BM39" i="3"/>
  <c r="BM4" i="3"/>
  <c r="BM40" i="3"/>
  <c r="BM12" i="3"/>
  <c r="BM46" i="3"/>
  <c r="BM23" i="3"/>
  <c r="BM51" i="3"/>
  <c r="BK23" i="3"/>
  <c r="BN23" i="3"/>
  <c r="BL23" i="3"/>
  <c r="BO23" i="3"/>
  <c r="BO31" i="3"/>
  <c r="BN5" i="3"/>
  <c r="BL13" i="3"/>
  <c r="BK7" i="3"/>
  <c r="BO25" i="3"/>
  <c r="BN32" i="3"/>
  <c r="BL26" i="3"/>
  <c r="BK18" i="3"/>
  <c r="BO48" i="3"/>
  <c r="BO6" i="3"/>
  <c r="BK47" i="3"/>
  <c r="BL33" i="3"/>
  <c r="BK40" i="3"/>
  <c r="BN22" i="3"/>
  <c r="BK10" i="3"/>
  <c r="BN20" i="3"/>
  <c r="BL30" i="3"/>
  <c r="BK22" i="3"/>
  <c r="BN49" i="3"/>
  <c r="BO26" i="3"/>
  <c r="BK51" i="3"/>
  <c r="BO29" i="3"/>
  <c r="BK29" i="3"/>
  <c r="BO28" i="3"/>
  <c r="BN26" i="3"/>
  <c r="BL20" i="3"/>
  <c r="BO54" i="3"/>
  <c r="BO4" i="3"/>
  <c r="BL53" i="3"/>
  <c r="BL18" i="3"/>
  <c r="BK26" i="3"/>
  <c r="BO15" i="3"/>
  <c r="BN9" i="3"/>
  <c r="BL47" i="3"/>
  <c r="BO44" i="3"/>
  <c r="BN38" i="3"/>
  <c r="BN30" i="3"/>
  <c r="BL24" i="3"/>
  <c r="BK16" i="3"/>
  <c r="BO8" i="3"/>
  <c r="BK49" i="3"/>
  <c r="BO20" i="3"/>
  <c r="BL8" i="3"/>
  <c r="BK44" i="3"/>
  <c r="BO30" i="3"/>
  <c r="BN41" i="3"/>
  <c r="BK32" i="3"/>
  <c r="BN18" i="3"/>
  <c r="BL28" i="3"/>
  <c r="BK20" i="3"/>
  <c r="BN51" i="3"/>
  <c r="BN4" i="3"/>
  <c r="BK53" i="3"/>
  <c r="BO37" i="3"/>
  <c r="BO9" i="3"/>
  <c r="BN15" i="3"/>
  <c r="BL11" i="3"/>
  <c r="BK4" i="3"/>
  <c r="BO43" i="3"/>
  <c r="BN45" i="3"/>
  <c r="BL39" i="3"/>
  <c r="BL16" i="3"/>
  <c r="BK24" i="3"/>
  <c r="BO14" i="3"/>
  <c r="BL49" i="3"/>
  <c r="BO51" i="3"/>
  <c r="BN39" i="3"/>
  <c r="BN6" i="3"/>
  <c r="BL14" i="3"/>
  <c r="BK8" i="3"/>
  <c r="BN52" i="3"/>
  <c r="BN34" i="3"/>
  <c r="BL43" i="3"/>
  <c r="BK36" i="3"/>
  <c r="BO12" i="3"/>
  <c r="BK13" i="3"/>
  <c r="BO17" i="3"/>
  <c r="BN11" i="3"/>
  <c r="BO38" i="3"/>
  <c r="BN43" i="3"/>
  <c r="BL38" i="3"/>
  <c r="BL4" i="3"/>
  <c r="BK11" i="3"/>
  <c r="BL50" i="3"/>
  <c r="BL32" i="3"/>
  <c r="BK39" i="3"/>
  <c r="BO42" i="3"/>
  <c r="BO22" i="3"/>
  <c r="BN14" i="3"/>
  <c r="BL9" i="3"/>
  <c r="BO50" i="3"/>
  <c r="BN46" i="3"/>
  <c r="BL41" i="3"/>
  <c r="BK34" i="3"/>
  <c r="BO45" i="3"/>
  <c r="BO5" i="3"/>
  <c r="BL54" i="3"/>
  <c r="BK46" i="3"/>
  <c r="BK28" i="3"/>
  <c r="BN25" i="3"/>
  <c r="BO11" i="3"/>
  <c r="BN17" i="3"/>
  <c r="BK6" i="3"/>
  <c r="BN36" i="3"/>
  <c r="BL45" i="3"/>
  <c r="BK38" i="3"/>
  <c r="BO35" i="3"/>
  <c r="BN48" i="3"/>
  <c r="BO18" i="3"/>
  <c r="BK50" i="3"/>
  <c r="BL36" i="3"/>
  <c r="BO39" i="3"/>
  <c r="BN29" i="3"/>
  <c r="BN8" i="3"/>
  <c r="BL15" i="3"/>
  <c r="BK9" i="3"/>
  <c r="BN54" i="3"/>
  <c r="BL34" i="3"/>
  <c r="BK41" i="3"/>
  <c r="BO49" i="3"/>
  <c r="BL21" i="3"/>
  <c r="BL46" i="3"/>
  <c r="BK54" i="3"/>
  <c r="BO40" i="3"/>
  <c r="BO27" i="3"/>
  <c r="BN33" i="3"/>
  <c r="BL27" i="3"/>
  <c r="BK19" i="3"/>
  <c r="BL6" i="3"/>
  <c r="BL52" i="3"/>
  <c r="BK30" i="3"/>
  <c r="BO32" i="3"/>
  <c r="BN27" i="3"/>
  <c r="BK17" i="3"/>
  <c r="BK43" i="3"/>
  <c r="BN40" i="3"/>
  <c r="BN21" i="3"/>
  <c r="BL31" i="3"/>
  <c r="BO13" i="3"/>
  <c r="BO52" i="3"/>
  <c r="BO7" i="3"/>
  <c r="BK48" i="3"/>
  <c r="BO24" i="3"/>
  <c r="BN31" i="3"/>
  <c r="BL25" i="3"/>
  <c r="BL7" i="3"/>
  <c r="BO41" i="3"/>
  <c r="BN44" i="3"/>
  <c r="BL19" i="3"/>
  <c r="BK27" i="3"/>
  <c r="BO16" i="3"/>
  <c r="BN10" i="3"/>
  <c r="BN50" i="3"/>
  <c r="BK52" i="3"/>
  <c r="BO33" i="3"/>
  <c r="BN19" i="3"/>
  <c r="BL29" i="3"/>
  <c r="BK21" i="3"/>
  <c r="BN47" i="3"/>
  <c r="BL42" i="3"/>
  <c r="BK35" i="3"/>
  <c r="BK15" i="3"/>
  <c r="BO21" i="3"/>
  <c r="BN13" i="3"/>
  <c r="BL48" i="3"/>
  <c r="BO47" i="3"/>
  <c r="BL17" i="3"/>
  <c r="BK25" i="3"/>
  <c r="BN37" i="3"/>
  <c r="BO10" i="3"/>
  <c r="BN16" i="3"/>
  <c r="BL12" i="3"/>
  <c r="BK5" i="3"/>
  <c r="BK45" i="3"/>
  <c r="BO34" i="3"/>
  <c r="BN42" i="3"/>
  <c r="BL37" i="3"/>
  <c r="BK14" i="3"/>
  <c r="BO19" i="3"/>
  <c r="BN12" i="3"/>
  <c r="BL35" i="3"/>
  <c r="BK42" i="3"/>
  <c r="BO53" i="3"/>
  <c r="BN24" i="3"/>
  <c r="BN7" i="3"/>
  <c r="BN53" i="3"/>
  <c r="BO46" i="3"/>
  <c r="BL40" i="3"/>
  <c r="BK33" i="3"/>
  <c r="BL10" i="3"/>
  <c r="BK31" i="3"/>
  <c r="BO36" i="3"/>
  <c r="BN28" i="3"/>
  <c r="BL22" i="3"/>
  <c r="BL5" i="3"/>
  <c r="BK12" i="3"/>
  <c r="BL51" i="3"/>
  <c r="BN35" i="3"/>
  <c r="BL44" i="3"/>
  <c r="BK37" i="3"/>
  <c r="BP62" i="3" l="1"/>
  <c r="BP61" i="3"/>
  <c r="BP60" i="3"/>
  <c r="BP16" i="3"/>
  <c r="BP58" i="3"/>
  <c r="BP42" i="3"/>
  <c r="BP15" i="3"/>
  <c r="BP20" i="3"/>
  <c r="BP12" i="3"/>
  <c r="BP14" i="3"/>
  <c r="BP52" i="3"/>
  <c r="BP33" i="3"/>
  <c r="BP31" i="3"/>
  <c r="BP30" i="3"/>
  <c r="BP37" i="3"/>
  <c r="BP25" i="3"/>
  <c r="BP9" i="3"/>
  <c r="BP43" i="3"/>
  <c r="BP54" i="3"/>
  <c r="BP26" i="3"/>
  <c r="BP45" i="3"/>
  <c r="BP27" i="3"/>
  <c r="BP38" i="3"/>
  <c r="BP59" i="3"/>
  <c r="BP5" i="3"/>
  <c r="BP35" i="3"/>
  <c r="BP53" i="3"/>
  <c r="BP49" i="3"/>
  <c r="BP51" i="3"/>
  <c r="BP40" i="3"/>
  <c r="BP23" i="3"/>
  <c r="BP55" i="3"/>
  <c r="BP19" i="3"/>
  <c r="BP13" i="3"/>
  <c r="BP44" i="3"/>
  <c r="BP18" i="3"/>
  <c r="BP7" i="3"/>
  <c r="BP57" i="3"/>
  <c r="BP41" i="3"/>
  <c r="BP6" i="3"/>
  <c r="BP28" i="3"/>
  <c r="BP11" i="3"/>
  <c r="BP24" i="3"/>
  <c r="BP32" i="3"/>
  <c r="BP29" i="3"/>
  <c r="BP10" i="3"/>
  <c r="BP47" i="3"/>
  <c r="BP21" i="3"/>
  <c r="BP48" i="3"/>
  <c r="BP17" i="3"/>
  <c r="BP50" i="3"/>
  <c r="BP46" i="3"/>
  <c r="BP34" i="3"/>
  <c r="BP39" i="3"/>
  <c r="BP36" i="3"/>
  <c r="BP8" i="3"/>
  <c r="BP4" i="3"/>
  <c r="BP22" i="3"/>
  <c r="BP56" i="3"/>
  <c r="AW3" i="1"/>
  <c r="BC2" i="1"/>
  <c r="AW1" i="1"/>
  <c r="BC3" i="1" l="1"/>
  <c r="BD2" i="1"/>
  <c r="BC1" i="1"/>
  <c r="BD3" i="1" l="1"/>
  <c r="BD1" i="1"/>
  <c r="BE2" i="1"/>
  <c r="AS119" i="5" s="1"/>
  <c r="AW89" i="5" l="1"/>
  <c r="M120" i="5"/>
  <c r="U118" i="5"/>
  <c r="BC34" i="5"/>
  <c r="BC117" i="5"/>
  <c r="AE73" i="5"/>
  <c r="AG101" i="5"/>
  <c r="AU67" i="5"/>
  <c r="Y90" i="5"/>
  <c r="AI106" i="5"/>
  <c r="AJ116" i="5"/>
  <c r="Y83" i="5"/>
  <c r="BC83" i="5"/>
  <c r="AU108" i="5"/>
  <c r="AR68" i="5"/>
  <c r="AF101" i="5"/>
  <c r="AQ71" i="5"/>
  <c r="AI111" i="5"/>
  <c r="AR43" i="5"/>
  <c r="S64" i="5"/>
  <c r="AK67" i="5"/>
  <c r="AW70" i="5"/>
  <c r="M18" i="5"/>
  <c r="S30" i="5"/>
  <c r="AQ89" i="5"/>
  <c r="AS99" i="5"/>
  <c r="U105" i="5"/>
  <c r="AU41" i="5"/>
  <c r="AJ20" i="5"/>
  <c r="Y52" i="5"/>
  <c r="AS6" i="5"/>
  <c r="AQ41" i="5"/>
  <c r="Y40" i="5"/>
  <c r="V118" i="5"/>
  <c r="AT9" i="5"/>
  <c r="V41" i="5"/>
  <c r="AJ8" i="5"/>
  <c r="T17" i="5"/>
  <c r="W7" i="5"/>
  <c r="AT28" i="5"/>
  <c r="AK61" i="5"/>
  <c r="U4" i="5"/>
  <c r="AI51" i="5"/>
  <c r="AE44" i="5"/>
  <c r="V108" i="5"/>
  <c r="AF24" i="5"/>
  <c r="AW69" i="5"/>
  <c r="AE72" i="5"/>
  <c r="AW76" i="5"/>
  <c r="S26" i="5"/>
  <c r="U20" i="5"/>
  <c r="T92" i="5"/>
  <c r="AE89" i="5"/>
  <c r="AF73" i="5"/>
  <c r="AH7" i="5"/>
  <c r="V30" i="5"/>
  <c r="AF108" i="5"/>
  <c r="AS93" i="5"/>
  <c r="X14" i="5"/>
  <c r="AQ6" i="5"/>
  <c r="W91" i="5"/>
  <c r="AG113" i="5"/>
  <c r="AG73" i="5"/>
  <c r="W20" i="5"/>
  <c r="U23" i="5"/>
  <c r="AE45" i="5"/>
  <c r="S17" i="5"/>
  <c r="AG48" i="5"/>
  <c r="AR61" i="5"/>
  <c r="AQ7" i="5"/>
  <c r="AS7" i="5"/>
  <c r="AQ22" i="5"/>
  <c r="AF33" i="5"/>
  <c r="S120" i="5"/>
  <c r="U119" i="5"/>
  <c r="AG9" i="5"/>
  <c r="AE113" i="5"/>
  <c r="BD23" i="5"/>
  <c r="AV35" i="5"/>
  <c r="M5" i="5"/>
  <c r="AJ35" i="5"/>
  <c r="AV70" i="5"/>
  <c r="S97" i="5"/>
  <c r="AF6" i="5"/>
  <c r="W43" i="5"/>
  <c r="V18" i="5"/>
  <c r="AR110" i="5"/>
  <c r="AW110" i="5"/>
  <c r="AF114" i="5"/>
  <c r="S22" i="5"/>
  <c r="AI18" i="5"/>
  <c r="AT104" i="5"/>
  <c r="AW111" i="5"/>
  <c r="AF49" i="5"/>
  <c r="AG7" i="5"/>
  <c r="W96" i="5"/>
  <c r="V64" i="5"/>
  <c r="AT111" i="5"/>
  <c r="AI84" i="5"/>
  <c r="X28" i="5"/>
  <c r="AJ61" i="5"/>
  <c r="AG25" i="5"/>
  <c r="AQ54" i="5"/>
  <c r="X18" i="5"/>
  <c r="AV48" i="5"/>
  <c r="W9" i="5"/>
  <c r="AJ46" i="5"/>
  <c r="AU55" i="5"/>
  <c r="BD94" i="5"/>
  <c r="BC113" i="5"/>
  <c r="BD35" i="5"/>
  <c r="AG19" i="5"/>
  <c r="AH8" i="5"/>
  <c r="AU95" i="5"/>
  <c r="AW52" i="5"/>
  <c r="AR55" i="5"/>
  <c r="M56" i="5"/>
  <c r="AW7" i="5"/>
  <c r="AV28" i="5"/>
  <c r="AH87" i="5"/>
  <c r="AT84" i="5"/>
  <c r="BD96" i="5"/>
  <c r="AQ60" i="5"/>
  <c r="AH60" i="5"/>
  <c r="AJ112" i="5"/>
  <c r="AH86" i="5"/>
  <c r="AT106" i="5"/>
  <c r="AW14" i="5"/>
  <c r="M115" i="5"/>
  <c r="U18" i="5"/>
  <c r="AG117" i="5"/>
  <c r="AV29" i="5"/>
  <c r="AS54" i="5"/>
  <c r="Y73" i="5"/>
  <c r="M69" i="5"/>
  <c r="V89" i="5"/>
  <c r="M83" i="5"/>
  <c r="AI66" i="5"/>
  <c r="Y66" i="5"/>
  <c r="W68" i="5"/>
  <c r="V92" i="5"/>
  <c r="BD54" i="5"/>
  <c r="AV53" i="5"/>
  <c r="W29" i="5"/>
  <c r="AU14" i="5"/>
  <c r="BD118" i="5"/>
  <c r="AW54" i="5"/>
  <c r="AE61" i="5"/>
  <c r="AT20" i="5"/>
  <c r="AS9" i="5"/>
  <c r="AF60" i="5"/>
  <c r="AK28" i="5"/>
  <c r="AT41" i="5"/>
  <c r="AR18" i="5"/>
  <c r="AW51" i="5"/>
  <c r="AK47" i="5"/>
  <c r="AR52" i="5"/>
  <c r="AS16" i="5"/>
  <c r="V21" i="5"/>
  <c r="U10" i="5"/>
  <c r="BC67" i="5"/>
  <c r="AH114" i="5"/>
  <c r="AU33" i="5"/>
  <c r="S47" i="5"/>
  <c r="AS87" i="5"/>
  <c r="AQ90" i="5"/>
  <c r="AF38" i="5"/>
  <c r="T22" i="5"/>
  <c r="AK64" i="5"/>
  <c r="W97" i="5"/>
  <c r="W115" i="5"/>
  <c r="BD38" i="5"/>
  <c r="W10" i="5"/>
  <c r="U116" i="5"/>
  <c r="AE74" i="5"/>
  <c r="AK77" i="5"/>
  <c r="AJ111" i="5"/>
  <c r="BD74" i="5"/>
  <c r="T91" i="5"/>
  <c r="BD34" i="5"/>
  <c r="W69" i="5"/>
  <c r="AH108" i="5"/>
  <c r="AW66" i="5"/>
  <c r="AT90" i="5"/>
  <c r="AW85" i="5"/>
  <c r="BD73" i="5"/>
  <c r="Y99" i="5"/>
  <c r="AI68" i="5"/>
  <c r="AQ101" i="5"/>
  <c r="AV82" i="5"/>
  <c r="BD103" i="5"/>
  <c r="AE96" i="5"/>
  <c r="BC21" i="5"/>
  <c r="AG55" i="5"/>
  <c r="BC17" i="5"/>
  <c r="AR59" i="5"/>
  <c r="AJ6" i="5"/>
  <c r="AI48" i="5"/>
  <c r="AU44" i="5"/>
  <c r="AR12" i="5"/>
  <c r="U56" i="5"/>
  <c r="AV62" i="5"/>
  <c r="AJ16" i="5"/>
  <c r="AH54" i="5"/>
  <c r="AJ58" i="5"/>
  <c r="AF51" i="5"/>
  <c r="Y53" i="5"/>
  <c r="AR36" i="5"/>
  <c r="AT58" i="5"/>
  <c r="Y120" i="5"/>
  <c r="AG26" i="5"/>
  <c r="AG116" i="5"/>
  <c r="Y116" i="5"/>
  <c r="AT77" i="5"/>
  <c r="M26" i="5"/>
  <c r="AW65" i="5"/>
  <c r="AT115" i="5"/>
  <c r="X63" i="5"/>
  <c r="AG34" i="5"/>
  <c r="AW112" i="5"/>
  <c r="T98" i="5"/>
  <c r="AG62" i="5"/>
  <c r="AK10" i="5"/>
  <c r="T55" i="5"/>
  <c r="AQ74" i="5"/>
  <c r="Y62" i="5"/>
  <c r="X85" i="5"/>
  <c r="AK48" i="5"/>
  <c r="M119" i="5"/>
  <c r="V58" i="5"/>
  <c r="X32" i="5"/>
  <c r="M63" i="5"/>
  <c r="AH20" i="5"/>
  <c r="AR16" i="5"/>
  <c r="AW33" i="5"/>
  <c r="AH27" i="5"/>
  <c r="AR63" i="5"/>
  <c r="M25" i="5"/>
  <c r="AV44" i="5"/>
  <c r="AH51" i="5"/>
  <c r="AJ50" i="5"/>
  <c r="AG17" i="5"/>
  <c r="AG29" i="5"/>
  <c r="AR28" i="5"/>
  <c r="AQ38" i="5"/>
  <c r="X49" i="5"/>
  <c r="W26" i="5"/>
  <c r="AT100" i="5"/>
  <c r="AE75" i="5"/>
  <c r="AS48" i="5"/>
  <c r="U40" i="5"/>
  <c r="M71" i="5"/>
  <c r="U77" i="5"/>
  <c r="AI113" i="5"/>
  <c r="M95" i="5"/>
  <c r="W58" i="5"/>
  <c r="AU80" i="5"/>
  <c r="S74" i="5"/>
  <c r="BD85" i="5"/>
  <c r="AV120" i="5"/>
  <c r="BD69" i="5"/>
  <c r="AJ62" i="5"/>
  <c r="AU84" i="5"/>
  <c r="AF92" i="5"/>
  <c r="AF37" i="5"/>
  <c r="AJ59" i="5"/>
  <c r="S5" i="5"/>
  <c r="AF29" i="5"/>
  <c r="AH46" i="5"/>
  <c r="AK11" i="5"/>
  <c r="M7" i="5"/>
  <c r="AE21" i="5"/>
  <c r="V33" i="5"/>
  <c r="AH118" i="5"/>
  <c r="U15" i="5"/>
  <c r="AW37" i="5"/>
  <c r="AI13" i="5"/>
  <c r="AW20" i="5"/>
  <c r="AW17" i="5"/>
  <c r="AT55" i="5"/>
  <c r="BC13" i="5"/>
  <c r="AU45" i="5"/>
  <c r="AG105" i="5"/>
  <c r="AU102" i="5"/>
  <c r="AR22" i="5"/>
  <c r="AQ46" i="5"/>
  <c r="AK99" i="5"/>
  <c r="T34" i="5"/>
  <c r="AR111" i="5"/>
  <c r="X59" i="5"/>
  <c r="AS37" i="5"/>
  <c r="AV75" i="5"/>
  <c r="AK85" i="5"/>
  <c r="S78" i="5"/>
  <c r="V38" i="5"/>
  <c r="AK101" i="5"/>
  <c r="AV81" i="5"/>
  <c r="AW46" i="5"/>
  <c r="AI96" i="5"/>
  <c r="V83" i="5"/>
  <c r="X99" i="5"/>
  <c r="AW100" i="5"/>
  <c r="AE13" i="5"/>
  <c r="AH42" i="5"/>
  <c r="AF4" i="5"/>
  <c r="AU37" i="5"/>
  <c r="AQ52" i="5"/>
  <c r="AJ13" i="5"/>
  <c r="X20" i="5"/>
  <c r="AG15" i="5"/>
  <c r="AH75" i="5"/>
  <c r="W27" i="5"/>
  <c r="M4" i="5"/>
  <c r="AK23" i="5"/>
  <c r="Y22" i="5"/>
  <c r="T44" i="5"/>
  <c r="AU12" i="5"/>
  <c r="AS56" i="5"/>
  <c r="AH11" i="5"/>
  <c r="U26" i="5"/>
  <c r="T74" i="5"/>
  <c r="AW86" i="5"/>
  <c r="AU15" i="5"/>
  <c r="U31" i="5"/>
  <c r="AE88" i="5"/>
  <c r="AF84" i="5"/>
  <c r="Y19" i="5"/>
  <c r="AW63" i="5"/>
  <c r="U85" i="5"/>
  <c r="AR103" i="5"/>
  <c r="BD57" i="5"/>
  <c r="AW41" i="5"/>
  <c r="AE71" i="5"/>
  <c r="S71" i="5"/>
  <c r="AW117" i="5"/>
  <c r="M80" i="5"/>
  <c r="AJ64" i="5"/>
  <c r="AE107" i="5"/>
  <c r="AR99" i="5"/>
  <c r="AT101" i="5"/>
  <c r="AH80" i="5"/>
  <c r="AI80" i="5"/>
  <c r="BC52" i="5"/>
  <c r="AF53" i="5"/>
  <c r="AS5" i="5"/>
  <c r="AE31" i="5"/>
  <c r="W47" i="5"/>
  <c r="AR8" i="5"/>
  <c r="AE20" i="5"/>
  <c r="AS24" i="5"/>
  <c r="AE11" i="5"/>
  <c r="Y9" i="5"/>
  <c r="S16" i="5"/>
  <c r="BD17" i="5"/>
  <c r="M61" i="5"/>
  <c r="BD58" i="5"/>
  <c r="AF120" i="5"/>
  <c r="BC42" i="5"/>
  <c r="AU50" i="5"/>
  <c r="S46" i="5"/>
  <c r="M47" i="5"/>
  <c r="W41" i="5"/>
  <c r="AH115" i="5"/>
  <c r="U107" i="5"/>
  <c r="AF74" i="5"/>
  <c r="M43" i="5"/>
  <c r="AK71" i="5"/>
  <c r="AS62" i="5"/>
  <c r="M74" i="5"/>
  <c r="AI77" i="5"/>
  <c r="AQ37" i="5"/>
  <c r="BD88" i="5"/>
  <c r="T90" i="5"/>
  <c r="X16" i="5"/>
  <c r="S33" i="5"/>
  <c r="AG6" i="5"/>
  <c r="Y86" i="5"/>
  <c r="AW120" i="5"/>
  <c r="S48" i="5"/>
  <c r="AQ35" i="5"/>
  <c r="AQ4" i="5"/>
  <c r="AF26" i="5"/>
  <c r="S49" i="5"/>
  <c r="T120" i="5"/>
  <c r="BD4" i="5"/>
  <c r="W6" i="5"/>
  <c r="BC61" i="5"/>
  <c r="AW56" i="5"/>
  <c r="AF61" i="5"/>
  <c r="AK7" i="5"/>
  <c r="BD99" i="5"/>
  <c r="W52" i="5"/>
  <c r="AI27" i="5"/>
  <c r="AK53" i="5"/>
  <c r="AE54" i="5"/>
  <c r="AI42" i="5"/>
  <c r="Y115" i="5"/>
  <c r="BD102" i="5"/>
  <c r="T102" i="5"/>
  <c r="AH61" i="5"/>
  <c r="Y87" i="5"/>
  <c r="AJ113" i="5"/>
  <c r="AK81" i="5"/>
  <c r="T65" i="5"/>
  <c r="AI54" i="5"/>
  <c r="AG10" i="5"/>
  <c r="BC30" i="5"/>
  <c r="U76" i="5"/>
  <c r="AR114" i="5"/>
  <c r="BD49" i="5"/>
  <c r="AG89" i="5"/>
  <c r="AI89" i="5"/>
  <c r="S10" i="5"/>
  <c r="Y88" i="5"/>
  <c r="AH102" i="5"/>
  <c r="AH31" i="5"/>
  <c r="BC31" i="5"/>
  <c r="U29" i="5"/>
  <c r="AT11" i="5"/>
  <c r="AR80" i="5"/>
  <c r="AS52" i="5"/>
  <c r="BC53" i="5"/>
  <c r="AS33" i="5"/>
  <c r="AJ118" i="5"/>
  <c r="AQ120" i="5"/>
  <c r="AR54" i="5"/>
  <c r="AW8" i="5"/>
  <c r="W30" i="5"/>
  <c r="AH43" i="5"/>
  <c r="AG40" i="5"/>
  <c r="AS17" i="5"/>
  <c r="Y28" i="5"/>
  <c r="M79" i="5"/>
  <c r="AQ63" i="5"/>
  <c r="AV67" i="5"/>
  <c r="AT114" i="5"/>
  <c r="Y71" i="5"/>
  <c r="T19" i="5"/>
  <c r="AS66" i="5"/>
  <c r="AV7" i="5"/>
  <c r="AV79" i="5"/>
  <c r="Y45" i="5"/>
  <c r="W112" i="5"/>
  <c r="AI100" i="5"/>
  <c r="W67" i="5"/>
  <c r="AV77" i="5"/>
  <c r="AE118" i="5"/>
  <c r="AR70" i="5"/>
  <c r="AK115" i="5"/>
  <c r="AW98" i="5"/>
  <c r="BD113" i="5"/>
  <c r="AW102" i="5"/>
  <c r="AR79" i="5"/>
  <c r="AW84" i="5"/>
  <c r="AW81" i="5"/>
  <c r="BD41" i="5"/>
  <c r="Y48" i="5"/>
  <c r="AU118" i="5"/>
  <c r="X39" i="5"/>
  <c r="M27" i="5"/>
  <c r="BD16" i="5"/>
  <c r="AI40" i="5"/>
  <c r="AF48" i="5"/>
  <c r="Y46" i="5"/>
  <c r="BD42" i="5"/>
  <c r="AR33" i="5"/>
  <c r="T61" i="5"/>
  <c r="AJ120" i="5"/>
  <c r="BD9" i="5"/>
  <c r="AF119" i="5"/>
  <c r="AS50" i="5"/>
  <c r="U47" i="5"/>
  <c r="AI61" i="5"/>
  <c r="T10" i="5"/>
  <c r="Y95" i="5"/>
  <c r="AK14" i="5"/>
  <c r="AF116" i="5"/>
  <c r="Y23" i="5"/>
  <c r="AT46" i="5"/>
  <c r="AS20" i="5"/>
  <c r="S77" i="5"/>
  <c r="BC99" i="5"/>
  <c r="AS65" i="5"/>
  <c r="AQ33" i="5"/>
  <c r="X42" i="5"/>
  <c r="S101" i="5"/>
  <c r="AG106" i="5"/>
  <c r="Y107" i="5"/>
  <c r="U30" i="5"/>
  <c r="BD90" i="5"/>
  <c r="AS69" i="5"/>
  <c r="AU63" i="5"/>
  <c r="AJ91" i="5"/>
  <c r="U103" i="5"/>
  <c r="X111" i="5"/>
  <c r="S69" i="5"/>
  <c r="U72" i="5"/>
  <c r="AV104" i="5"/>
  <c r="AR69" i="5"/>
  <c r="W80" i="5"/>
  <c r="BD97" i="5"/>
  <c r="AW75" i="5"/>
  <c r="AS67" i="5"/>
  <c r="AU117" i="5"/>
  <c r="AU66" i="5"/>
  <c r="AJ104" i="5"/>
  <c r="Y102" i="5"/>
  <c r="S111" i="5"/>
  <c r="W102" i="5"/>
  <c r="AF64" i="5"/>
  <c r="M114" i="5"/>
  <c r="AS77" i="5"/>
  <c r="AE117" i="5"/>
  <c r="AJ97" i="5"/>
  <c r="BC100" i="5"/>
  <c r="W116" i="5"/>
  <c r="W46" i="5"/>
  <c r="AE41" i="5"/>
  <c r="BC47" i="5"/>
  <c r="AF9" i="5"/>
  <c r="AV109" i="5"/>
  <c r="BC27" i="5"/>
  <c r="AQ12" i="5"/>
  <c r="U48" i="5"/>
  <c r="AQ11" i="5"/>
  <c r="AJ9" i="5"/>
  <c r="AG35" i="5"/>
  <c r="AS29" i="5"/>
  <c r="T27" i="5"/>
  <c r="V29" i="5"/>
  <c r="AI36" i="5"/>
  <c r="AT31" i="5"/>
  <c r="X37" i="5"/>
  <c r="AS47" i="5"/>
  <c r="AK54" i="5"/>
  <c r="AH67" i="5"/>
  <c r="AR65" i="5"/>
  <c r="T112" i="5"/>
  <c r="AI4" i="5"/>
  <c r="AR25" i="5"/>
  <c r="Y74" i="5"/>
  <c r="Y76" i="5"/>
  <c r="AV101" i="5"/>
  <c r="AJ5" i="5"/>
  <c r="X73" i="5"/>
  <c r="BC38" i="5"/>
  <c r="AJ89" i="5"/>
  <c r="AG58" i="5"/>
  <c r="V15" i="5"/>
  <c r="AI87" i="5"/>
  <c r="AE80" i="5"/>
  <c r="AS104" i="5"/>
  <c r="AF59" i="5"/>
  <c r="AU43" i="5"/>
  <c r="AE48" i="5"/>
  <c r="AE47" i="5"/>
  <c r="W87" i="5"/>
  <c r="AQ19" i="5"/>
  <c r="AQ51" i="5"/>
  <c r="AV32" i="5"/>
  <c r="Y12" i="5"/>
  <c r="Y108" i="5"/>
  <c r="S55" i="5"/>
  <c r="V44" i="5"/>
  <c r="T20" i="5"/>
  <c r="AH35" i="5"/>
  <c r="S28" i="5"/>
  <c r="Y41" i="5"/>
  <c r="W53" i="5"/>
  <c r="M20" i="5"/>
  <c r="AE57" i="5"/>
  <c r="AI86" i="5"/>
  <c r="V72" i="5"/>
  <c r="X104" i="5"/>
  <c r="V7" i="5"/>
  <c r="BD115" i="5"/>
  <c r="AJ94" i="5"/>
  <c r="AJ75" i="5"/>
  <c r="W35" i="5"/>
  <c r="AF19" i="5"/>
  <c r="W108" i="5"/>
  <c r="BC24" i="5"/>
  <c r="T16" i="5"/>
  <c r="V75" i="5"/>
  <c r="X66" i="5"/>
  <c r="Y65" i="5"/>
  <c r="AI67" i="5"/>
  <c r="AF47" i="5"/>
  <c r="AI21" i="5"/>
  <c r="AF16" i="5"/>
  <c r="V6" i="5"/>
  <c r="AQ111" i="5"/>
  <c r="AS11" i="5"/>
  <c r="V49" i="5"/>
  <c r="AF43" i="5"/>
  <c r="AQ10" i="5"/>
  <c r="BC110" i="5"/>
  <c r="AW58" i="5"/>
  <c r="S37" i="5"/>
  <c r="AI59" i="5"/>
  <c r="W38" i="5"/>
  <c r="AV47" i="5"/>
  <c r="AS15" i="5"/>
  <c r="AQ13" i="5"/>
  <c r="AQ43" i="5"/>
  <c r="X38" i="5"/>
  <c r="U90" i="5"/>
  <c r="AU39" i="5"/>
  <c r="BD79" i="5"/>
  <c r="AU52" i="5"/>
  <c r="AT6" i="5"/>
  <c r="T105" i="5"/>
  <c r="AW115" i="5"/>
  <c r="T63" i="5"/>
  <c r="AV38" i="5"/>
  <c r="Y68" i="5"/>
  <c r="Y110" i="5"/>
  <c r="V46" i="5"/>
  <c r="Y38" i="5"/>
  <c r="V109" i="5"/>
  <c r="S110" i="5"/>
  <c r="AI65" i="5"/>
  <c r="S114" i="5"/>
  <c r="AI45" i="5"/>
  <c r="M113" i="5"/>
  <c r="BC106" i="5"/>
  <c r="AT21" i="5"/>
  <c r="BC12" i="5"/>
  <c r="BD33" i="5"/>
  <c r="AI57" i="5"/>
  <c r="AH37" i="5"/>
  <c r="AJ24" i="5"/>
  <c r="BC33" i="5"/>
  <c r="AI5" i="5"/>
  <c r="T57" i="5"/>
  <c r="AJ90" i="5"/>
  <c r="M11" i="5"/>
  <c r="AH56" i="5"/>
  <c r="U60" i="5"/>
  <c r="AK15" i="5"/>
  <c r="AR53" i="5"/>
  <c r="BD48" i="5"/>
  <c r="AW39" i="5"/>
  <c r="AJ57" i="5"/>
  <c r="AS94" i="5"/>
  <c r="W19" i="5"/>
  <c r="AV93" i="5"/>
  <c r="X87" i="5"/>
  <c r="AR62" i="5"/>
  <c r="AJ11" i="5"/>
  <c r="AW50" i="5"/>
  <c r="AH93" i="5"/>
  <c r="Y117" i="5"/>
  <c r="AV22" i="5"/>
  <c r="U6" i="5"/>
  <c r="BC70" i="5"/>
  <c r="AG88" i="5"/>
  <c r="BC66" i="5"/>
  <c r="AG8" i="5"/>
  <c r="AS95" i="5"/>
  <c r="AH84" i="5"/>
  <c r="AR98" i="5"/>
  <c r="Y91" i="5"/>
  <c r="BD117" i="5"/>
  <c r="W78" i="5"/>
  <c r="W62" i="5"/>
  <c r="AH100" i="5"/>
  <c r="M85" i="5"/>
  <c r="T68" i="5"/>
  <c r="BD92" i="5"/>
  <c r="U92" i="5"/>
  <c r="AF95" i="5"/>
  <c r="AJ10" i="5"/>
  <c r="U106" i="5"/>
  <c r="Y93" i="5"/>
  <c r="AV98" i="5"/>
  <c r="T69" i="5"/>
  <c r="S98" i="5"/>
  <c r="BC105" i="5"/>
  <c r="X72" i="5"/>
  <c r="AF111" i="5"/>
  <c r="U102" i="5"/>
  <c r="AU89" i="5"/>
  <c r="AS116" i="5"/>
  <c r="AH71" i="5"/>
  <c r="BD76" i="5"/>
  <c r="AV65" i="5"/>
  <c r="M68" i="5"/>
  <c r="S115" i="5"/>
  <c r="AS110" i="5"/>
  <c r="U83" i="5"/>
  <c r="AU88" i="5"/>
  <c r="AE106" i="5"/>
  <c r="T85" i="5"/>
  <c r="AG100" i="5"/>
  <c r="AK96" i="5"/>
  <c r="W81" i="5"/>
  <c r="AT88" i="5"/>
  <c r="AQ83" i="5"/>
  <c r="Y70" i="5"/>
  <c r="AQ82" i="5"/>
  <c r="V80" i="5"/>
  <c r="AV108" i="5"/>
  <c r="AE104" i="5"/>
  <c r="AW104" i="5"/>
  <c r="AQ98" i="5"/>
  <c r="V63" i="5"/>
  <c r="T88" i="5"/>
  <c r="V91" i="5"/>
  <c r="AK65" i="5"/>
  <c r="S75" i="5"/>
  <c r="AG98" i="5"/>
  <c r="AU82" i="5"/>
  <c r="AV100" i="5"/>
  <c r="AG87" i="5"/>
  <c r="AT10" i="5"/>
  <c r="AH72" i="5"/>
  <c r="X108" i="5"/>
  <c r="AV68" i="5"/>
  <c r="AR14" i="5"/>
  <c r="AU110" i="5"/>
  <c r="AI116" i="5"/>
  <c r="AH107" i="5"/>
  <c r="AQ72" i="5"/>
  <c r="S90" i="5"/>
  <c r="BD107" i="5"/>
  <c r="U84" i="5"/>
  <c r="AH99" i="5"/>
  <c r="W100" i="5"/>
  <c r="AU107" i="5"/>
  <c r="W76" i="5"/>
  <c r="V94" i="5"/>
  <c r="AH14" i="5"/>
  <c r="AT98" i="5"/>
  <c r="BC90" i="5"/>
  <c r="AE110" i="5"/>
  <c r="BD105" i="5"/>
  <c r="AF89" i="5"/>
  <c r="W117" i="5"/>
  <c r="T60" i="5"/>
  <c r="W109" i="5"/>
  <c r="AV94" i="5"/>
  <c r="V70" i="5"/>
  <c r="AV107" i="5"/>
  <c r="AG91" i="5"/>
  <c r="T76" i="5"/>
  <c r="AG111" i="5"/>
  <c r="W107" i="5"/>
  <c r="AK102" i="5"/>
  <c r="T86" i="5"/>
  <c r="BD101" i="5"/>
  <c r="U98" i="5"/>
  <c r="AF63" i="5"/>
  <c r="X100" i="5"/>
  <c r="AG64" i="5"/>
  <c r="U110" i="5"/>
  <c r="U80" i="5"/>
  <c r="AT113" i="5"/>
  <c r="AW105" i="5"/>
  <c r="AR85" i="5"/>
  <c r="T15" i="5"/>
  <c r="AK9" i="5"/>
  <c r="AU7" i="5"/>
  <c r="U24" i="5"/>
  <c r="Y61" i="5"/>
  <c r="U28" i="5"/>
  <c r="AJ48" i="5"/>
  <c r="V120" i="5"/>
  <c r="AV71" i="5"/>
  <c r="V51" i="5"/>
  <c r="W21" i="5"/>
  <c r="S32" i="5"/>
  <c r="BC4" i="5"/>
  <c r="BC39" i="5"/>
  <c r="BC48" i="5"/>
  <c r="AV25" i="5"/>
  <c r="AF21" i="5"/>
  <c r="AT18" i="5"/>
  <c r="W120" i="5"/>
  <c r="S70" i="5"/>
  <c r="T89" i="5"/>
  <c r="S68" i="5"/>
  <c r="BC20" i="5"/>
  <c r="T80" i="5"/>
  <c r="AH76" i="5"/>
  <c r="T78" i="5"/>
  <c r="BC14" i="5"/>
  <c r="AJ86" i="5"/>
  <c r="AW71" i="5"/>
  <c r="AV23" i="5"/>
  <c r="AF78" i="5"/>
  <c r="AQ112" i="5"/>
  <c r="AW83" i="5"/>
  <c r="AW68" i="5"/>
  <c r="BC60" i="5"/>
  <c r="AJ12" i="5"/>
  <c r="Y56" i="5"/>
  <c r="AJ22" i="5"/>
  <c r="AT13" i="5"/>
  <c r="AJ51" i="5"/>
  <c r="V5" i="5"/>
  <c r="AW45" i="5"/>
  <c r="M57" i="5"/>
  <c r="Y8" i="5"/>
  <c r="AJ52" i="5"/>
  <c r="AK32" i="5"/>
  <c r="AE119" i="5"/>
  <c r="Y5" i="5"/>
  <c r="AK50" i="5"/>
  <c r="AE4" i="5"/>
  <c r="AS43" i="5"/>
  <c r="AI10" i="5"/>
  <c r="AK13" i="5"/>
  <c r="AJ65" i="5"/>
  <c r="AK104" i="5"/>
  <c r="AS86" i="5"/>
  <c r="S108" i="5"/>
  <c r="T18" i="5"/>
  <c r="X70" i="5"/>
  <c r="AI92" i="5"/>
  <c r="AJ63" i="5"/>
  <c r="S20" i="5"/>
  <c r="AI82" i="5"/>
  <c r="V106" i="5"/>
  <c r="S34" i="5"/>
  <c r="AW95" i="5"/>
  <c r="AH79" i="5"/>
  <c r="AG104" i="5"/>
  <c r="AK116" i="5"/>
  <c r="AV90" i="5"/>
  <c r="AJ109" i="5"/>
  <c r="AT12" i="5"/>
  <c r="AK60" i="5"/>
  <c r="AH36" i="5"/>
  <c r="AW11" i="5"/>
  <c r="AK46" i="5"/>
  <c r="AE52" i="5"/>
  <c r="M33" i="5"/>
  <c r="W45" i="5"/>
  <c r="AE59" i="5"/>
  <c r="X40" i="5"/>
  <c r="AU5" i="5"/>
  <c r="V54" i="5"/>
  <c r="AR13" i="5"/>
  <c r="AV31" i="5"/>
  <c r="S84" i="5"/>
  <c r="AI41" i="5"/>
  <c r="AV21" i="5"/>
  <c r="AK21" i="5"/>
  <c r="AG27" i="5"/>
  <c r="AU46" i="5"/>
  <c r="AR105" i="5"/>
  <c r="BD84" i="5"/>
  <c r="T58" i="5"/>
  <c r="AV63" i="5"/>
  <c r="AU93" i="5"/>
  <c r="AH73" i="5"/>
  <c r="BC85" i="5"/>
  <c r="AJ37" i="5"/>
  <c r="AK106" i="5"/>
  <c r="BD78" i="5"/>
  <c r="AF117" i="5"/>
  <c r="AT30" i="5"/>
  <c r="S63" i="5"/>
  <c r="X65" i="5"/>
  <c r="W64" i="5"/>
  <c r="AE79" i="5"/>
  <c r="AE114" i="5"/>
  <c r="X22" i="5"/>
  <c r="AT73" i="5"/>
  <c r="AW72" i="5"/>
  <c r="AE17" i="5"/>
  <c r="BC7" i="5"/>
  <c r="Y4" i="5"/>
  <c r="BD15" i="5"/>
  <c r="AV8" i="5"/>
  <c r="AE56" i="5"/>
  <c r="AG95" i="5"/>
  <c r="S76" i="5"/>
  <c r="AR50" i="5"/>
  <c r="AW19" i="5"/>
  <c r="AJ47" i="5"/>
  <c r="BD19" i="5"/>
  <c r="AF55" i="5"/>
  <c r="AG52" i="5"/>
  <c r="AH21" i="5"/>
  <c r="AF71" i="5"/>
  <c r="AW108" i="5"/>
  <c r="M86" i="5"/>
  <c r="Y111" i="5"/>
  <c r="AR74" i="5"/>
  <c r="X9" i="5"/>
  <c r="T67" i="5"/>
  <c r="AG77" i="5"/>
  <c r="AR108" i="5"/>
  <c r="AS55" i="5"/>
  <c r="M21" i="5"/>
  <c r="M102" i="5"/>
  <c r="AT92" i="5"/>
  <c r="S40" i="5"/>
  <c r="AK29" i="5"/>
  <c r="BC69" i="5"/>
  <c r="AW106" i="5"/>
  <c r="AT81" i="5"/>
  <c r="T100" i="5"/>
  <c r="S80" i="5"/>
  <c r="AG92" i="5"/>
  <c r="AR88" i="5"/>
  <c r="BD89" i="5"/>
  <c r="X96" i="5"/>
  <c r="AR91" i="5"/>
  <c r="BD83" i="5"/>
  <c r="AE109" i="5"/>
  <c r="AS109" i="5"/>
  <c r="AF72" i="5"/>
  <c r="AU68" i="5"/>
  <c r="W99" i="5"/>
  <c r="X97" i="5"/>
  <c r="AQ116" i="5"/>
  <c r="AJ78" i="5"/>
  <c r="AS83" i="5"/>
  <c r="AJ84" i="5"/>
  <c r="U101" i="5"/>
  <c r="AQ58" i="5"/>
  <c r="AE15" i="5"/>
  <c r="AI16" i="5"/>
  <c r="T26" i="5"/>
  <c r="BC91" i="5"/>
  <c r="AH39" i="5"/>
  <c r="M23" i="5"/>
  <c r="AH34" i="5"/>
  <c r="AW61" i="5"/>
  <c r="BC25" i="5"/>
  <c r="AS120" i="5"/>
  <c r="AQ15" i="5"/>
  <c r="AF45" i="5"/>
  <c r="M44" i="5"/>
  <c r="AT16" i="5"/>
  <c r="S53" i="5"/>
  <c r="AG23" i="5"/>
  <c r="AE112" i="5"/>
  <c r="AF94" i="5"/>
  <c r="BC104" i="5"/>
  <c r="AK42" i="5"/>
  <c r="T7" i="5"/>
  <c r="AR109" i="5"/>
  <c r="BC79" i="5"/>
  <c r="AK69" i="5"/>
  <c r="AK108" i="5"/>
  <c r="AF81" i="5"/>
  <c r="AR78" i="5"/>
  <c r="AT67" i="5"/>
  <c r="X24" i="5"/>
  <c r="Y30" i="5"/>
  <c r="U66" i="5"/>
  <c r="M62" i="5"/>
  <c r="V97" i="5"/>
  <c r="AQ28" i="5"/>
  <c r="X5" i="5"/>
  <c r="AQ17" i="5"/>
  <c r="AI14" i="5"/>
  <c r="AF105" i="5"/>
  <c r="AT19" i="5"/>
  <c r="AQ29" i="5"/>
  <c r="AJ55" i="5"/>
  <c r="AE58" i="5"/>
  <c r="M117" i="5"/>
  <c r="AE23" i="5"/>
  <c r="AF46" i="5"/>
  <c r="AU38" i="5"/>
  <c r="U8" i="5"/>
  <c r="W51" i="5"/>
  <c r="AK8" i="5"/>
  <c r="AV19" i="5"/>
  <c r="AV18" i="5"/>
  <c r="AR77" i="5"/>
  <c r="AQ70" i="5"/>
  <c r="V101" i="5"/>
  <c r="Y35" i="5"/>
  <c r="AF34" i="5"/>
  <c r="AR82" i="5"/>
  <c r="V107" i="5"/>
  <c r="AK31" i="5"/>
  <c r="AF76" i="5"/>
  <c r="AF66" i="5"/>
  <c r="BD112" i="5"/>
  <c r="X54" i="5"/>
  <c r="AR100" i="5"/>
  <c r="X77" i="5"/>
  <c r="AQ99" i="5"/>
  <c r="BC111" i="5"/>
  <c r="AK100" i="5"/>
  <c r="X19" i="5"/>
  <c r="AE7" i="5"/>
  <c r="S12" i="5"/>
  <c r="BC56" i="5"/>
  <c r="AT48" i="5"/>
  <c r="AU61" i="5"/>
  <c r="AV5" i="5"/>
  <c r="BD37" i="5"/>
  <c r="AS10" i="5"/>
  <c r="AR29" i="5"/>
  <c r="V40" i="5"/>
  <c r="AI56" i="5"/>
  <c r="U35" i="5"/>
  <c r="V73" i="5"/>
  <c r="AW15" i="5"/>
  <c r="U53" i="5"/>
  <c r="W33" i="5"/>
  <c r="AR9" i="5"/>
  <c r="T30" i="5"/>
  <c r="T95" i="5"/>
  <c r="AH89" i="5"/>
  <c r="AF102" i="5"/>
  <c r="X43" i="5"/>
  <c r="S7" i="5"/>
  <c r="X83" i="5"/>
  <c r="AH85" i="5"/>
  <c r="T28" i="5"/>
  <c r="AE14" i="5"/>
  <c r="T83" i="5"/>
  <c r="AS89" i="5"/>
  <c r="AG38" i="5"/>
  <c r="BC19" i="5"/>
  <c r="AU111" i="5"/>
  <c r="AE81" i="5"/>
  <c r="X93" i="5"/>
  <c r="AU113" i="5"/>
  <c r="W73" i="5"/>
  <c r="W75" i="5"/>
  <c r="AQ66" i="5"/>
  <c r="AU17" i="5"/>
  <c r="AK36" i="5"/>
  <c r="W36" i="5"/>
  <c r="BC101" i="5"/>
  <c r="AG57" i="5"/>
  <c r="AU9" i="5"/>
  <c r="AK25" i="5"/>
  <c r="AE6" i="5"/>
  <c r="M36" i="5"/>
  <c r="T31" i="5"/>
  <c r="AH30" i="5"/>
  <c r="T110" i="5"/>
  <c r="AF7" i="5"/>
  <c r="T13" i="5"/>
  <c r="AF28" i="5"/>
  <c r="W37" i="5"/>
  <c r="AH4" i="5"/>
  <c r="AH94" i="5"/>
  <c r="AI110" i="5"/>
  <c r="AW88" i="5"/>
  <c r="M65" i="5"/>
  <c r="AE77" i="5"/>
  <c r="AG80" i="5"/>
  <c r="AS64" i="5"/>
  <c r="AR44" i="5"/>
  <c r="AU30" i="5"/>
  <c r="T73" i="5"/>
  <c r="AQ109" i="5"/>
  <c r="AF52" i="5"/>
  <c r="X51" i="5"/>
  <c r="AJ73" i="5"/>
  <c r="V104" i="5"/>
  <c r="AG68" i="5"/>
  <c r="V74" i="5"/>
  <c r="AT62" i="5"/>
  <c r="AE97" i="5"/>
  <c r="W90" i="5"/>
  <c r="V115" i="5"/>
  <c r="AT97" i="5"/>
  <c r="AQ80" i="5"/>
  <c r="AI15" i="5"/>
  <c r="AF13" i="5"/>
  <c r="BC29" i="5"/>
  <c r="AG41" i="5"/>
  <c r="M94" i="5"/>
  <c r="AR41" i="5"/>
  <c r="AQ44" i="5"/>
  <c r="AR32" i="5"/>
  <c r="AU29" i="5"/>
  <c r="W44" i="5"/>
  <c r="AQ59" i="5"/>
  <c r="M49" i="5"/>
  <c r="AR118" i="5"/>
  <c r="AJ17" i="5"/>
  <c r="M38" i="5"/>
  <c r="AJ103" i="5"/>
  <c r="AW91" i="5"/>
  <c r="Y79" i="5"/>
  <c r="AQ34" i="5"/>
  <c r="BD108" i="5"/>
  <c r="W74" i="5"/>
  <c r="AT29" i="5"/>
  <c r="T87" i="5"/>
  <c r="AS82" i="5"/>
  <c r="AH119" i="5"/>
  <c r="U50" i="5"/>
  <c r="AT72" i="5"/>
  <c r="BC82" i="5"/>
  <c r="AR31" i="5"/>
  <c r="AF12" i="5"/>
  <c r="Y29" i="5"/>
  <c r="S118" i="5"/>
  <c r="U9" i="5"/>
  <c r="S11" i="5"/>
  <c r="AS35" i="5"/>
  <c r="BD40" i="5"/>
  <c r="AQ30" i="5"/>
  <c r="AK58" i="5"/>
  <c r="Y24" i="5"/>
  <c r="AE5" i="5"/>
  <c r="AI17" i="5"/>
  <c r="U55" i="5"/>
  <c r="V12" i="5"/>
  <c r="AH17" i="5"/>
  <c r="AI118" i="5"/>
  <c r="AJ42" i="5"/>
  <c r="M31" i="5"/>
  <c r="U79" i="5"/>
  <c r="AT34" i="5"/>
  <c r="AE34" i="5"/>
  <c r="M81" i="5"/>
  <c r="AF107" i="5"/>
  <c r="AG51" i="5"/>
  <c r="W42" i="5"/>
  <c r="AK70" i="5"/>
  <c r="AF115" i="5"/>
  <c r="BC107" i="5"/>
  <c r="AI6" i="5"/>
  <c r="AQ104" i="5"/>
  <c r="AT42" i="5"/>
  <c r="BC64" i="5"/>
  <c r="BC108" i="5"/>
  <c r="T42" i="5"/>
  <c r="AJ83" i="5"/>
  <c r="AJ70" i="5"/>
  <c r="AE116" i="5"/>
  <c r="AU49" i="5"/>
  <c r="AU58" i="5"/>
  <c r="Y51" i="5"/>
  <c r="W71" i="5"/>
  <c r="AI119" i="5"/>
  <c r="AV46" i="5"/>
  <c r="AV39" i="5"/>
  <c r="AK12" i="5"/>
  <c r="W25" i="5"/>
  <c r="AE32" i="5"/>
  <c r="AQ8" i="5"/>
  <c r="X33" i="5"/>
  <c r="AG45" i="5"/>
  <c r="BC120" i="5"/>
  <c r="X4" i="5"/>
  <c r="AT53" i="5"/>
  <c r="M41" i="5"/>
  <c r="AJ87" i="5"/>
  <c r="AT26" i="5"/>
  <c r="AG69" i="5"/>
  <c r="AQ42" i="5"/>
  <c r="T62" i="5"/>
  <c r="S39" i="5"/>
  <c r="AR86" i="5"/>
  <c r="AT96" i="5"/>
  <c r="BD111" i="5"/>
  <c r="AJ69" i="5"/>
  <c r="X34" i="5"/>
  <c r="AQ85" i="5"/>
  <c r="X110" i="5"/>
  <c r="U67" i="5"/>
  <c r="AV58" i="5"/>
  <c r="T35" i="5"/>
  <c r="U96" i="5"/>
  <c r="AR38" i="5"/>
  <c r="S87" i="5"/>
  <c r="AG78" i="5"/>
  <c r="AI117" i="5"/>
  <c r="X105" i="5"/>
  <c r="AW18" i="5"/>
  <c r="BD47" i="5"/>
  <c r="Y21" i="5"/>
  <c r="Y36" i="5"/>
  <c r="AQ16" i="5"/>
  <c r="AS14" i="5"/>
  <c r="U39" i="5"/>
  <c r="V20" i="5"/>
  <c r="V57" i="5"/>
  <c r="AJ27" i="5"/>
  <c r="AR47" i="5"/>
  <c r="AK41" i="5"/>
  <c r="AG20" i="5"/>
  <c r="V50" i="5"/>
  <c r="BD36" i="5"/>
  <c r="AV119" i="5"/>
  <c r="AS58" i="5"/>
  <c r="BC59" i="5"/>
  <c r="AU53" i="5"/>
  <c r="AF85" i="5"/>
  <c r="V103" i="5"/>
  <c r="AW24" i="5"/>
  <c r="AG5" i="5"/>
  <c r="AH112" i="5"/>
  <c r="U68" i="5"/>
  <c r="AI99" i="5"/>
  <c r="BC81" i="5"/>
  <c r="AI19" i="5"/>
  <c r="X71" i="5"/>
  <c r="AJ101" i="5"/>
  <c r="T106" i="5"/>
  <c r="AE18" i="5"/>
  <c r="AG90" i="5"/>
  <c r="AK114" i="5"/>
  <c r="AE93" i="5"/>
  <c r="AG82" i="5"/>
  <c r="AK62" i="5"/>
  <c r="AK93" i="5"/>
  <c r="AR30" i="5"/>
  <c r="X101" i="5"/>
  <c r="U99" i="5"/>
  <c r="W111" i="5"/>
  <c r="AR116" i="5"/>
  <c r="AI72" i="5"/>
  <c r="AS114" i="5"/>
  <c r="AK98" i="5"/>
  <c r="M90" i="5"/>
  <c r="AR64" i="5"/>
  <c r="U62" i="5"/>
  <c r="U22" i="5"/>
  <c r="U111" i="5"/>
  <c r="AH116" i="5"/>
  <c r="AK68" i="5"/>
  <c r="AU109" i="5"/>
  <c r="AS81" i="5"/>
  <c r="AH66" i="5"/>
  <c r="AT23" i="5"/>
  <c r="AQ92" i="5"/>
  <c r="AI75" i="5"/>
  <c r="AQ86" i="5"/>
  <c r="M96" i="5"/>
  <c r="AF56" i="5"/>
  <c r="AT45" i="5"/>
  <c r="AU23" i="5"/>
  <c r="AS59" i="5"/>
  <c r="AV42" i="5"/>
  <c r="X120" i="5"/>
  <c r="Y7" i="5"/>
  <c r="V37" i="5"/>
  <c r="AF8" i="5"/>
  <c r="U14" i="5"/>
  <c r="AV118" i="5"/>
  <c r="S54" i="5"/>
  <c r="AH59" i="5"/>
  <c r="AU60" i="5"/>
  <c r="U12" i="5"/>
  <c r="AU13" i="5"/>
  <c r="AE49" i="5"/>
  <c r="W23" i="5"/>
  <c r="V112" i="5"/>
  <c r="T82" i="5"/>
  <c r="AS106" i="5"/>
  <c r="BC87" i="5"/>
  <c r="Y26" i="5"/>
  <c r="AV85" i="5"/>
  <c r="AW109" i="5"/>
  <c r="AH18" i="5"/>
  <c r="W89" i="5"/>
  <c r="AW10" i="5"/>
  <c r="AS79" i="5"/>
  <c r="AH65" i="5"/>
  <c r="AH38" i="5"/>
  <c r="AE86" i="5"/>
  <c r="AF100" i="5"/>
  <c r="BD44" i="5"/>
  <c r="AG44" i="5"/>
  <c r="AH13" i="5"/>
  <c r="V34" i="5"/>
  <c r="M91" i="5"/>
  <c r="AU31" i="5"/>
  <c r="AF11" i="5"/>
  <c r="AS36" i="5"/>
  <c r="AG22" i="5"/>
  <c r="S102" i="5"/>
  <c r="AV45" i="5"/>
  <c r="U25" i="5"/>
  <c r="AG13" i="5"/>
  <c r="Y54" i="5"/>
  <c r="T59" i="5"/>
  <c r="AR58" i="5"/>
  <c r="AQ48" i="5"/>
  <c r="AV6" i="5"/>
  <c r="W95" i="5"/>
  <c r="AG103" i="5"/>
  <c r="BD26" i="5"/>
  <c r="AQ68" i="5"/>
  <c r="AR6" i="5"/>
  <c r="V39" i="5"/>
  <c r="M99" i="5"/>
  <c r="AJ93" i="5"/>
  <c r="AR95" i="5"/>
  <c r="AW53" i="5"/>
  <c r="S42" i="5"/>
  <c r="X62" i="5"/>
  <c r="AT103" i="5"/>
  <c r="AS32" i="5"/>
  <c r="M54" i="5"/>
  <c r="AE9" i="5"/>
  <c r="AH88" i="5"/>
  <c r="AG83" i="5"/>
  <c r="Y77" i="5"/>
  <c r="AV59" i="5"/>
  <c r="Y37" i="5"/>
  <c r="BD60" i="5"/>
  <c r="AH45" i="5"/>
  <c r="BC118" i="5"/>
  <c r="AQ23" i="5"/>
  <c r="AE35" i="5"/>
  <c r="AK45" i="5"/>
  <c r="AJ14" i="5"/>
  <c r="X48" i="5"/>
  <c r="S15" i="5"/>
  <c r="AI38" i="5"/>
  <c r="AV11" i="5"/>
  <c r="BC96" i="5"/>
  <c r="BD39" i="5"/>
  <c r="BC44" i="5"/>
  <c r="BC11" i="5"/>
  <c r="AR15" i="5"/>
  <c r="AE63" i="5"/>
  <c r="AK66" i="5"/>
  <c r="Y101" i="5"/>
  <c r="Y104" i="5"/>
  <c r="AE12" i="5"/>
  <c r="S85" i="5"/>
  <c r="AF104" i="5"/>
  <c r="AQ93" i="5"/>
  <c r="Y31" i="5"/>
  <c r="BC109" i="5"/>
  <c r="AH104" i="5"/>
  <c r="V14" i="5"/>
  <c r="V26" i="5"/>
  <c r="X113" i="5"/>
  <c r="AS96" i="5"/>
  <c r="X117" i="5"/>
  <c r="AK109" i="5"/>
  <c r="AF54" i="5"/>
  <c r="T113" i="5"/>
  <c r="AU78" i="5"/>
  <c r="AI23" i="5"/>
  <c r="AK52" i="5"/>
  <c r="M59" i="5"/>
  <c r="AV52" i="5"/>
  <c r="T108" i="5"/>
  <c r="U57" i="5"/>
  <c r="AR40" i="5"/>
  <c r="X53" i="5"/>
  <c r="AU112" i="5"/>
  <c r="AV43" i="5"/>
  <c r="V28" i="5"/>
  <c r="AK20" i="5"/>
  <c r="AJ79" i="5"/>
  <c r="AQ36" i="5"/>
  <c r="S41" i="5"/>
  <c r="AE120" i="5"/>
  <c r="X31" i="5"/>
  <c r="BD45" i="5"/>
  <c r="M15" i="5"/>
  <c r="BC6" i="5"/>
  <c r="AU70" i="5"/>
  <c r="AR75" i="5"/>
  <c r="M8" i="5"/>
  <c r="W34" i="5"/>
  <c r="S106" i="5"/>
  <c r="S117" i="5"/>
  <c r="M77" i="5"/>
  <c r="AR42" i="5"/>
  <c r="U78" i="5"/>
  <c r="W93" i="5"/>
  <c r="AH22" i="5"/>
  <c r="U70" i="5"/>
  <c r="AR10" i="5"/>
  <c r="S67" i="5"/>
  <c r="AS76" i="5"/>
  <c r="AH111" i="5"/>
  <c r="AJ114" i="5"/>
  <c r="AS100" i="5"/>
  <c r="AJ72" i="5"/>
  <c r="AH64" i="5"/>
  <c r="AT105" i="5"/>
  <c r="BC116" i="5"/>
  <c r="W92" i="5"/>
  <c r="T107" i="5"/>
  <c r="AG72" i="5"/>
  <c r="BC86" i="5"/>
  <c r="W110" i="5"/>
  <c r="AU83" i="5"/>
  <c r="AU99" i="5"/>
  <c r="X80" i="5"/>
  <c r="AJ77" i="5"/>
  <c r="AR67" i="5"/>
  <c r="AT91" i="5"/>
  <c r="AV116" i="5"/>
  <c r="T104" i="5"/>
  <c r="BC68" i="5"/>
  <c r="Y92" i="5"/>
  <c r="AR96" i="5"/>
  <c r="V90" i="5"/>
  <c r="X115" i="5"/>
  <c r="V117" i="5"/>
  <c r="AQ102" i="5"/>
  <c r="BC74" i="5"/>
  <c r="X64" i="5"/>
  <c r="T97" i="5"/>
  <c r="AI88" i="5"/>
  <c r="AS85" i="5"/>
  <c r="AJ98" i="5"/>
  <c r="AR81" i="5"/>
  <c r="AK105" i="5"/>
  <c r="S105" i="5"/>
  <c r="M73" i="5"/>
  <c r="AE92" i="5"/>
  <c r="W56" i="5"/>
  <c r="AT15" i="5"/>
  <c r="Y34" i="5"/>
  <c r="AV57" i="5"/>
  <c r="BC46" i="5"/>
  <c r="AQ25" i="5"/>
  <c r="W48" i="5"/>
  <c r="BD21" i="5"/>
  <c r="W50" i="5"/>
  <c r="AI64" i="5"/>
  <c r="BC45" i="5"/>
  <c r="W8" i="5"/>
  <c r="T21" i="5"/>
  <c r="BC58" i="5"/>
  <c r="M24" i="5"/>
  <c r="Y39" i="5"/>
  <c r="BD28" i="5"/>
  <c r="AI9" i="5"/>
  <c r="V79" i="5"/>
  <c r="AT37" i="5"/>
  <c r="S100" i="5"/>
  <c r="AI63" i="5"/>
  <c r="AG70" i="5"/>
  <c r="AJ38" i="5"/>
  <c r="AV14" i="5"/>
  <c r="X68" i="5"/>
  <c r="AU18" i="5"/>
  <c r="AU24" i="5"/>
  <c r="AG53" i="5"/>
  <c r="AW114" i="5"/>
  <c r="W106" i="5"/>
  <c r="AG97" i="5"/>
  <c r="S13" i="5"/>
  <c r="AF103" i="5"/>
  <c r="AW97" i="5"/>
  <c r="AE26" i="5"/>
  <c r="AS57" i="5"/>
  <c r="AG60" i="5"/>
  <c r="T39" i="5"/>
  <c r="AR45" i="5"/>
  <c r="AQ88" i="5"/>
  <c r="S4" i="5"/>
  <c r="AV60" i="5"/>
  <c r="AI53" i="5"/>
  <c r="AQ47" i="5"/>
  <c r="U34" i="5"/>
  <c r="AF27" i="5"/>
  <c r="M60" i="5"/>
  <c r="AI24" i="5"/>
  <c r="T37" i="5"/>
  <c r="AI60" i="5"/>
  <c r="X36" i="5"/>
  <c r="W61" i="5"/>
  <c r="Y58" i="5"/>
  <c r="AF112" i="5"/>
  <c r="AW6" i="5"/>
  <c r="T117" i="5"/>
  <c r="S104" i="5"/>
  <c r="AF69" i="5"/>
  <c r="AQ14" i="5"/>
  <c r="AT65" i="5"/>
  <c r="AU106" i="5"/>
  <c r="AS30" i="5"/>
  <c r="W13" i="5"/>
  <c r="AS22" i="5"/>
  <c r="AV74" i="5"/>
  <c r="AH83" i="5"/>
  <c r="AQ94" i="5"/>
  <c r="AT4" i="5"/>
  <c r="AE91" i="5"/>
  <c r="M70" i="5"/>
  <c r="BC97" i="5"/>
  <c r="AT117" i="5"/>
  <c r="Y64" i="5"/>
  <c r="AJ31" i="5"/>
  <c r="W24" i="5"/>
  <c r="X52" i="5"/>
  <c r="AS21" i="5"/>
  <c r="AR26" i="5"/>
  <c r="M13" i="5"/>
  <c r="AK43" i="5"/>
  <c r="V48" i="5"/>
  <c r="AF25" i="5"/>
  <c r="AE25" i="5"/>
  <c r="W49" i="5"/>
  <c r="BC28" i="5"/>
  <c r="AG120" i="5"/>
  <c r="M58" i="5"/>
  <c r="AU40" i="5"/>
  <c r="X57" i="5"/>
  <c r="BC50" i="5"/>
  <c r="BC8" i="5"/>
  <c r="Y18" i="5"/>
  <c r="AV10" i="5"/>
  <c r="AU19" i="5"/>
  <c r="AU69" i="5"/>
  <c r="Y6" i="5"/>
  <c r="W54" i="5"/>
  <c r="AG71" i="5"/>
  <c r="X81" i="5"/>
  <c r="AT69" i="5"/>
  <c r="AG24" i="5"/>
  <c r="AR60" i="5"/>
  <c r="AW78" i="5"/>
  <c r="AV69" i="5"/>
  <c r="AV103" i="5"/>
  <c r="Y112" i="5"/>
  <c r="AU97" i="5"/>
  <c r="AK87" i="5"/>
  <c r="AQ105" i="5"/>
  <c r="AK90" i="5"/>
  <c r="W105" i="5"/>
  <c r="AV97" i="5"/>
  <c r="AS117" i="5"/>
  <c r="V93" i="5"/>
  <c r="AG21" i="5"/>
  <c r="AJ28" i="5"/>
  <c r="AG28" i="5"/>
  <c r="AK35" i="5"/>
  <c r="AJ95" i="5"/>
  <c r="M55" i="5"/>
  <c r="AQ55" i="5"/>
  <c r="S29" i="5"/>
  <c r="Y42" i="5"/>
  <c r="AV61" i="5"/>
  <c r="BC57" i="5"/>
  <c r="AE39" i="5"/>
  <c r="AF57" i="5"/>
  <c r="AK76" i="5"/>
  <c r="X25" i="5"/>
  <c r="AI12" i="5"/>
  <c r="BD46" i="5"/>
  <c r="AF18" i="5"/>
  <c r="AE103" i="5"/>
  <c r="V10" i="5"/>
  <c r="BC71" i="5"/>
  <c r="AT87" i="5"/>
  <c r="AU98" i="5"/>
  <c r="AU90" i="5"/>
  <c r="AI97" i="5"/>
  <c r="S31" i="5"/>
  <c r="BC73" i="5"/>
  <c r="AQ113" i="5"/>
  <c r="AT80" i="5"/>
  <c r="AI11" i="5"/>
  <c r="AS18" i="5"/>
  <c r="AS105" i="5"/>
  <c r="AT93" i="5"/>
  <c r="AQ77" i="5"/>
  <c r="S66" i="5"/>
  <c r="W104" i="5"/>
  <c r="AW93" i="5"/>
  <c r="AT83" i="5"/>
  <c r="M98" i="5"/>
  <c r="M72" i="5"/>
  <c r="U117" i="5"/>
  <c r="AV84" i="5"/>
  <c r="AF96" i="5"/>
  <c r="AT22" i="5"/>
  <c r="U113" i="5"/>
  <c r="X116" i="5"/>
  <c r="M82" i="5"/>
  <c r="T84" i="5"/>
  <c r="AV99" i="5"/>
  <c r="AS115" i="5"/>
  <c r="BD100" i="5"/>
  <c r="AQ96" i="5"/>
  <c r="AT5" i="5"/>
  <c r="W118" i="5"/>
  <c r="V55" i="5"/>
  <c r="X27" i="5"/>
  <c r="AE94" i="5"/>
  <c r="AI28" i="5"/>
  <c r="V119" i="5"/>
  <c r="BC15" i="5"/>
  <c r="M19" i="5"/>
  <c r="V60" i="5"/>
  <c r="AE55" i="5"/>
  <c r="AW5" i="5"/>
  <c r="AS40" i="5"/>
  <c r="W12" i="5"/>
  <c r="X61" i="5"/>
  <c r="AK119" i="5"/>
  <c r="BD7" i="5"/>
  <c r="X60" i="5"/>
  <c r="AV56" i="5"/>
  <c r="AH77" i="5"/>
  <c r="X15" i="5"/>
  <c r="AE70" i="5"/>
  <c r="T53" i="5"/>
  <c r="X26" i="5"/>
  <c r="S116" i="5"/>
  <c r="BD91" i="5"/>
  <c r="AI35" i="5"/>
  <c r="AK59" i="5"/>
  <c r="AE98" i="5"/>
  <c r="AH103" i="5"/>
  <c r="AT108" i="5"/>
  <c r="M112" i="5"/>
  <c r="AK34" i="5"/>
  <c r="AE78" i="5"/>
  <c r="AV96" i="5"/>
  <c r="AE68" i="5"/>
  <c r="AQ39" i="5"/>
  <c r="AS8" i="5"/>
  <c r="AS53" i="5"/>
  <c r="BC35" i="5"/>
  <c r="U17" i="5"/>
  <c r="AT7" i="5"/>
  <c r="AG31" i="5"/>
  <c r="AT60" i="5"/>
  <c r="AK120" i="5"/>
  <c r="AS61" i="5"/>
  <c r="T56" i="5"/>
  <c r="AT17" i="5"/>
  <c r="T47" i="5"/>
  <c r="AR83" i="5"/>
  <c r="S25" i="5"/>
  <c r="AJ45" i="5"/>
  <c r="AH55" i="5"/>
  <c r="AK26" i="5"/>
  <c r="X17" i="5"/>
  <c r="T111" i="5"/>
  <c r="AF99" i="5"/>
  <c r="AS38" i="5"/>
  <c r="AJ7" i="5"/>
  <c r="U108" i="5"/>
  <c r="AS68" i="5"/>
  <c r="AF68" i="5"/>
  <c r="AI46" i="5"/>
  <c r="AG42" i="5"/>
  <c r="T99" i="5"/>
  <c r="AR73" i="5"/>
  <c r="AS92" i="5"/>
  <c r="AU28" i="5"/>
  <c r="M22" i="5"/>
  <c r="X78" i="5"/>
  <c r="AQ115" i="5"/>
  <c r="AJ92" i="5"/>
  <c r="BD120" i="5"/>
  <c r="Y25" i="5"/>
  <c r="AT27" i="5"/>
  <c r="S45" i="5"/>
  <c r="AH40" i="5"/>
  <c r="AI8" i="5"/>
  <c r="AH12" i="5"/>
  <c r="M39" i="5"/>
  <c r="AK88" i="5"/>
  <c r="T24" i="5"/>
  <c r="AW16" i="5"/>
  <c r="AQ21" i="5"/>
  <c r="BC41" i="5"/>
  <c r="BC40" i="5"/>
  <c r="T23" i="5"/>
  <c r="V27" i="5"/>
  <c r="AG16" i="5"/>
  <c r="AS108" i="5"/>
  <c r="V59" i="5"/>
  <c r="AG107" i="5"/>
  <c r="M10" i="5"/>
  <c r="Y105" i="5"/>
  <c r="AW36" i="5"/>
  <c r="AU6" i="5"/>
  <c r="AR101" i="5"/>
  <c r="AK103" i="5"/>
  <c r="AR107" i="5"/>
  <c r="AT112" i="5"/>
  <c r="Y94" i="5"/>
  <c r="BD75" i="5"/>
  <c r="AJ44" i="5"/>
  <c r="V86" i="5"/>
  <c r="AT14" i="5"/>
  <c r="BD106" i="5"/>
  <c r="AF88" i="5"/>
  <c r="AJ100" i="5"/>
  <c r="AU10" i="5"/>
  <c r="X67" i="5"/>
  <c r="AU26" i="5"/>
  <c r="AI39" i="5"/>
  <c r="BC16" i="5"/>
  <c r="AQ5" i="5"/>
  <c r="AF58" i="5"/>
  <c r="BC36" i="5"/>
  <c r="AI120" i="5"/>
  <c r="V36" i="5"/>
  <c r="AG4" i="5"/>
  <c r="AS19" i="5"/>
  <c r="AS28" i="5"/>
  <c r="AG61" i="5"/>
  <c r="AK5" i="5"/>
  <c r="S44" i="5"/>
  <c r="V32" i="5"/>
  <c r="AK37" i="5"/>
  <c r="AR46" i="5"/>
  <c r="AE38" i="5"/>
  <c r="AH81" i="5"/>
  <c r="AV80" i="5"/>
  <c r="M88" i="5"/>
  <c r="S21" i="5"/>
  <c r="AT52" i="5"/>
  <c r="AI104" i="5"/>
  <c r="M97" i="5"/>
  <c r="X86" i="5"/>
  <c r="AU22" i="5"/>
  <c r="AE87" i="5"/>
  <c r="AH6" i="5"/>
  <c r="BC63" i="5"/>
  <c r="AF5" i="5"/>
  <c r="AQ108" i="5"/>
  <c r="V114" i="5"/>
  <c r="S103" i="5"/>
  <c r="AV95" i="5"/>
  <c r="AV64" i="5"/>
  <c r="AT82" i="5"/>
  <c r="AS80" i="5"/>
  <c r="AT76" i="5"/>
  <c r="AF93" i="5"/>
  <c r="AJ107" i="5"/>
  <c r="AT107" i="5"/>
  <c r="U120" i="5"/>
  <c r="S35" i="5"/>
  <c r="X58" i="5"/>
  <c r="AI47" i="5"/>
  <c r="AT63" i="5"/>
  <c r="AW82" i="5"/>
  <c r="M9" i="5"/>
  <c r="AS4" i="5"/>
  <c r="AJ41" i="5"/>
  <c r="AI79" i="5"/>
  <c r="W98" i="5"/>
  <c r="W11" i="5"/>
  <c r="AQ45" i="5"/>
  <c r="AE29" i="5"/>
  <c r="M51" i="5"/>
  <c r="Y60" i="5"/>
  <c r="AI29" i="5"/>
  <c r="AI20" i="5"/>
  <c r="AI7" i="5"/>
  <c r="BD50" i="5"/>
  <c r="AW94" i="5"/>
  <c r="AF91" i="5"/>
  <c r="AV86" i="5"/>
  <c r="M28" i="5"/>
  <c r="AJ99" i="5"/>
  <c r="S65" i="5"/>
  <c r="S51" i="5"/>
  <c r="AF87" i="5"/>
  <c r="AQ107" i="5"/>
  <c r="AR76" i="5"/>
  <c r="AF110" i="5"/>
  <c r="AW31" i="5"/>
  <c r="AU79" i="5"/>
  <c r="T64" i="5"/>
  <c r="W82" i="5"/>
  <c r="BD67" i="5"/>
  <c r="AW55" i="5"/>
  <c r="AT43" i="5"/>
  <c r="AR24" i="5"/>
  <c r="Y16" i="5"/>
  <c r="AR34" i="5"/>
  <c r="V17" i="5"/>
  <c r="BD20" i="5"/>
  <c r="AQ24" i="5"/>
  <c r="AQ119" i="5"/>
  <c r="V100" i="5"/>
  <c r="BD51" i="5"/>
  <c r="AQ27" i="5"/>
  <c r="T52" i="5"/>
  <c r="U95" i="5"/>
  <c r="AH48" i="5"/>
  <c r="W16" i="5"/>
  <c r="AR120" i="5"/>
  <c r="AJ60" i="5"/>
  <c r="AS34" i="5"/>
  <c r="AT39" i="5"/>
  <c r="T96" i="5"/>
  <c r="AS78" i="5"/>
  <c r="Y57" i="5"/>
  <c r="AT71" i="5"/>
  <c r="M37" i="5"/>
  <c r="V22" i="5"/>
  <c r="AR115" i="5"/>
  <c r="T36" i="5"/>
  <c r="AH44" i="5"/>
  <c r="AW103" i="5"/>
  <c r="AG63" i="5"/>
  <c r="X109" i="5"/>
  <c r="U45" i="5"/>
  <c r="W63" i="5"/>
  <c r="AU64" i="5"/>
  <c r="AI83" i="5"/>
  <c r="AJ102" i="5"/>
  <c r="AV92" i="5"/>
  <c r="AE53" i="5"/>
  <c r="AR5" i="5"/>
  <c r="AG118" i="5"/>
  <c r="AH25" i="5"/>
  <c r="T41" i="5"/>
  <c r="W5" i="5"/>
  <c r="AU120" i="5"/>
  <c r="AV54" i="5"/>
  <c r="AQ50" i="5"/>
  <c r="U27" i="5"/>
  <c r="U13" i="5"/>
  <c r="U51" i="5"/>
  <c r="AW43" i="5"/>
  <c r="M40" i="5"/>
  <c r="S56" i="5"/>
  <c r="AH120" i="5"/>
  <c r="AI25" i="5"/>
  <c r="AT36" i="5"/>
  <c r="AV50" i="5"/>
  <c r="AS42" i="5"/>
  <c r="AJ117" i="5"/>
  <c r="S73" i="5"/>
  <c r="S99" i="5"/>
  <c r="AK39" i="5"/>
  <c r="Y89" i="5"/>
  <c r="AV88" i="5"/>
  <c r="AU92" i="5"/>
  <c r="S62" i="5"/>
  <c r="AE28" i="5"/>
  <c r="AJ108" i="5"/>
  <c r="AG115" i="5"/>
  <c r="BC80" i="5"/>
  <c r="AJ23" i="5"/>
  <c r="BC94" i="5"/>
  <c r="AW92" i="5"/>
  <c r="Y67" i="5"/>
  <c r="AU115" i="5"/>
  <c r="U109" i="5"/>
  <c r="W72" i="5"/>
  <c r="AQ75" i="5"/>
  <c r="AF75" i="5"/>
  <c r="AQ9" i="5"/>
  <c r="AW47" i="5"/>
  <c r="AT59" i="5"/>
  <c r="M87" i="5"/>
  <c r="AV72" i="5"/>
  <c r="M12" i="5"/>
  <c r="AE60" i="5"/>
  <c r="BD24" i="5"/>
  <c r="W22" i="5"/>
  <c r="V84" i="5"/>
  <c r="AK4" i="5"/>
  <c r="AR7" i="5"/>
  <c r="AV12" i="5"/>
  <c r="M30" i="5"/>
  <c r="AW29" i="5"/>
  <c r="U33" i="5"/>
  <c r="AS26" i="5"/>
  <c r="AU54" i="5"/>
  <c r="T48" i="5"/>
  <c r="V71" i="5"/>
  <c r="AQ76" i="5"/>
  <c r="M93" i="5"/>
  <c r="AE85" i="5"/>
  <c r="BD29" i="5"/>
  <c r="S38" i="5"/>
  <c r="AH105" i="5"/>
  <c r="AU105" i="5"/>
  <c r="AK94" i="5"/>
  <c r="T71" i="5"/>
  <c r="AV89" i="5"/>
  <c r="AS63" i="5"/>
  <c r="AV55" i="5"/>
  <c r="AW38" i="5"/>
  <c r="AS90" i="5"/>
  <c r="AF98" i="5"/>
  <c r="AI71" i="5"/>
  <c r="AV102" i="5"/>
  <c r="S81" i="5"/>
  <c r="BD18" i="5"/>
  <c r="V116" i="5"/>
  <c r="AF80" i="5"/>
  <c r="M75" i="5"/>
  <c r="AK113" i="5"/>
  <c r="BC84" i="5"/>
  <c r="U112" i="5"/>
  <c r="BD93" i="5"/>
  <c r="BC95" i="5"/>
  <c r="AW101" i="5"/>
  <c r="V62" i="5"/>
  <c r="BC76" i="5"/>
  <c r="S88" i="5"/>
  <c r="AG76" i="5"/>
  <c r="W94" i="5"/>
  <c r="AI103" i="5"/>
  <c r="AQ69" i="5"/>
  <c r="AU86" i="5"/>
  <c r="S113" i="5"/>
  <c r="AE64" i="5"/>
  <c r="AS111" i="5"/>
  <c r="M89" i="5"/>
  <c r="AH69" i="5"/>
  <c r="AS60" i="5"/>
  <c r="AE33" i="5"/>
  <c r="AI50" i="5"/>
  <c r="U52" i="5"/>
  <c r="AW87" i="5"/>
  <c r="AI32" i="5"/>
  <c r="Y32" i="5"/>
  <c r="AT38" i="5"/>
  <c r="AE27" i="5"/>
  <c r="AT33" i="5"/>
  <c r="AK40" i="5"/>
  <c r="Y118" i="5"/>
  <c r="AR37" i="5"/>
  <c r="U37" i="5"/>
  <c r="BC72" i="5"/>
  <c r="AH9" i="5"/>
  <c r="AQ32" i="5"/>
  <c r="AT8" i="5"/>
  <c r="AR49" i="5"/>
  <c r="AK16" i="5"/>
  <c r="AU104" i="5"/>
  <c r="AK82" i="5"/>
  <c r="AT74" i="5"/>
  <c r="AG59" i="5"/>
  <c r="AU35" i="5"/>
  <c r="V111" i="5"/>
  <c r="BC112" i="5"/>
  <c r="W70" i="5"/>
  <c r="X55" i="5"/>
  <c r="AW23" i="5"/>
  <c r="AF113" i="5"/>
  <c r="AR84" i="5"/>
  <c r="V9" i="5"/>
  <c r="AU51" i="5"/>
  <c r="Y97" i="5"/>
  <c r="AH26" i="5"/>
  <c r="BC114" i="5"/>
  <c r="V88" i="5"/>
  <c r="V43" i="5"/>
  <c r="X50" i="5"/>
  <c r="AF36" i="5"/>
  <c r="AT118" i="5"/>
  <c r="AI49" i="5"/>
  <c r="AG33" i="5"/>
  <c r="AT47" i="5"/>
  <c r="Y47" i="5"/>
  <c r="BD27" i="5"/>
  <c r="AH5" i="5"/>
  <c r="AS46" i="5"/>
  <c r="BC54" i="5"/>
  <c r="AH23" i="5"/>
  <c r="AG102" i="5"/>
  <c r="S58" i="5"/>
  <c r="BD11" i="5"/>
  <c r="BD61" i="5"/>
  <c r="X69" i="5"/>
  <c r="X6" i="5"/>
  <c r="AW73" i="5"/>
  <c r="W60" i="5"/>
  <c r="AT25" i="5"/>
  <c r="AK83" i="5"/>
  <c r="T75" i="5"/>
  <c r="AT78" i="5"/>
  <c r="BD22" i="5"/>
  <c r="AK73" i="5"/>
  <c r="AU27" i="5"/>
  <c r="AV106" i="5"/>
  <c r="T9" i="5"/>
  <c r="M106" i="5"/>
  <c r="BD114" i="5"/>
  <c r="AV73" i="5"/>
  <c r="AV113" i="5"/>
  <c r="X98" i="5"/>
  <c r="AV37" i="5"/>
  <c r="AW27" i="5"/>
  <c r="Y11" i="5"/>
  <c r="AG12" i="5"/>
  <c r="AR20" i="5"/>
  <c r="AU56" i="5"/>
  <c r="AR119" i="5"/>
  <c r="AS27" i="5"/>
  <c r="BD13" i="5"/>
  <c r="V13" i="5"/>
  <c r="S59" i="5"/>
  <c r="T33" i="5"/>
  <c r="AK19" i="5"/>
  <c r="AG119" i="5"/>
  <c r="BD5" i="5"/>
  <c r="AK118" i="5"/>
  <c r="AF50" i="5"/>
  <c r="T93" i="5"/>
  <c r="AR92" i="5"/>
  <c r="W101" i="5"/>
  <c r="T103" i="5"/>
  <c r="AW22" i="5"/>
  <c r="V76" i="5"/>
  <c r="AJ96" i="5"/>
  <c r="AF14" i="5"/>
  <c r="AT89" i="5"/>
  <c r="U65" i="5"/>
  <c r="U38" i="5"/>
  <c r="U36" i="5"/>
  <c r="AG81" i="5"/>
  <c r="AG65" i="5"/>
  <c r="BD68" i="5"/>
  <c r="AK117" i="5"/>
  <c r="AI102" i="5"/>
  <c r="AK92" i="5"/>
  <c r="M118" i="5"/>
  <c r="U59" i="5"/>
  <c r="AS23" i="5"/>
  <c r="X13" i="5"/>
  <c r="T25" i="5"/>
  <c r="AF118" i="5"/>
  <c r="AF15" i="5"/>
  <c r="AU57" i="5"/>
  <c r="V42" i="5"/>
  <c r="AV17" i="5"/>
  <c r="BD56" i="5"/>
  <c r="AT49" i="5"/>
  <c r="AQ57" i="5"/>
  <c r="AU47" i="5"/>
  <c r="AH101" i="5"/>
  <c r="T45" i="5"/>
  <c r="X47" i="5"/>
  <c r="AV16" i="5"/>
  <c r="S52" i="5"/>
  <c r="AH47" i="5"/>
  <c r="T50" i="5"/>
  <c r="AS107" i="5"/>
  <c r="AG99" i="5"/>
  <c r="AJ34" i="5"/>
  <c r="AU87" i="5"/>
  <c r="AG108" i="5"/>
  <c r="AU114" i="5"/>
  <c r="U114" i="5"/>
  <c r="AG32" i="5"/>
  <c r="BD43" i="5"/>
  <c r="V110" i="5"/>
  <c r="AK95" i="5"/>
  <c r="V69" i="5"/>
  <c r="AW48" i="5"/>
  <c r="X107" i="5"/>
  <c r="BC89" i="5"/>
  <c r="AR102" i="5"/>
  <c r="AH109" i="5"/>
  <c r="M116" i="5"/>
  <c r="AG67" i="5"/>
  <c r="AK110" i="5"/>
  <c r="AV114" i="5"/>
  <c r="AF82" i="5"/>
  <c r="BD72" i="5"/>
  <c r="T101" i="5"/>
  <c r="X91" i="5"/>
  <c r="U82" i="5"/>
  <c r="Y84" i="5"/>
  <c r="AW80" i="5"/>
  <c r="AI114" i="5"/>
  <c r="AF90" i="5"/>
  <c r="M105" i="5"/>
  <c r="AU65" i="5"/>
  <c r="S107" i="5"/>
  <c r="AE105" i="5"/>
  <c r="AJ67" i="5"/>
  <c r="AE102" i="5"/>
  <c r="AW113" i="5"/>
  <c r="Y98" i="5"/>
  <c r="AJ68" i="5"/>
  <c r="T77" i="5"/>
  <c r="AJ110" i="5"/>
  <c r="BD110" i="5"/>
  <c r="S82" i="5"/>
  <c r="AE101" i="5"/>
  <c r="AT85" i="5"/>
  <c r="W77" i="5"/>
  <c r="X82" i="5"/>
  <c r="AS75" i="5"/>
  <c r="M84" i="5"/>
  <c r="AE76" i="5"/>
  <c r="AG18" i="5"/>
  <c r="AE67" i="5"/>
  <c r="AH70" i="5"/>
  <c r="BC115" i="5"/>
  <c r="AR106" i="5"/>
  <c r="X90" i="5"/>
  <c r="AQ110" i="5"/>
  <c r="AS112" i="5"/>
  <c r="W4" i="5"/>
  <c r="AI73" i="5"/>
  <c r="AG30" i="5"/>
  <c r="AK57" i="5"/>
  <c r="W88" i="5"/>
  <c r="AH95" i="5"/>
  <c r="AQ62" i="5"/>
  <c r="U94" i="5"/>
  <c r="X114" i="5"/>
  <c r="W66" i="5"/>
  <c r="BD80" i="5"/>
  <c r="U75" i="5"/>
  <c r="AH110" i="5"/>
  <c r="AT110" i="5"/>
  <c r="V77" i="5"/>
  <c r="Y114" i="5"/>
  <c r="AG114" i="5"/>
  <c r="W86" i="5"/>
  <c r="W65" i="5"/>
  <c r="AK97" i="5"/>
  <c r="AG66" i="5"/>
  <c r="U73" i="5"/>
  <c r="AE115" i="5"/>
  <c r="AE65" i="5"/>
  <c r="AS91" i="5"/>
  <c r="AQ84" i="5"/>
  <c r="AS98" i="5"/>
  <c r="AE10" i="5"/>
  <c r="X88" i="5"/>
  <c r="AV87" i="5"/>
  <c r="S6" i="5"/>
  <c r="BD81" i="5"/>
  <c r="S89" i="5"/>
  <c r="BD116" i="5"/>
  <c r="AR71" i="5"/>
  <c r="AI78" i="5"/>
  <c r="M109" i="5"/>
  <c r="AF83" i="5"/>
  <c r="AG93" i="5"/>
  <c r="AJ76" i="5"/>
  <c r="AQ64" i="5"/>
  <c r="S14" i="5"/>
  <c r="BC62" i="5"/>
  <c r="AT68" i="5"/>
  <c r="AG86" i="5"/>
  <c r="X56" i="5"/>
  <c r="AV24" i="5"/>
  <c r="AG49" i="5"/>
  <c r="M35" i="5"/>
  <c r="AE66" i="5"/>
  <c r="AS39" i="5"/>
  <c r="AE8" i="5"/>
  <c r="AH41" i="5"/>
  <c r="AT86" i="5"/>
  <c r="AJ33" i="5"/>
  <c r="V31" i="5"/>
  <c r="V11" i="5"/>
  <c r="BD53" i="5"/>
  <c r="AV66" i="5"/>
  <c r="V35" i="5"/>
  <c r="W55" i="5"/>
  <c r="AW59" i="5"/>
  <c r="V56" i="5"/>
  <c r="AS13" i="5"/>
  <c r="AF39" i="5"/>
  <c r="M92" i="5"/>
  <c r="Y80" i="5"/>
  <c r="AK78" i="5"/>
  <c r="AI43" i="5"/>
  <c r="T115" i="5"/>
  <c r="AI58" i="5"/>
  <c r="AQ117" i="5"/>
  <c r="M50" i="5"/>
  <c r="S112" i="5"/>
  <c r="W114" i="5"/>
  <c r="V113" i="5"/>
  <c r="V87" i="5"/>
  <c r="BD52" i="5"/>
  <c r="AQ91" i="5"/>
  <c r="U7" i="5"/>
  <c r="BD86" i="5"/>
  <c r="AJ40" i="5"/>
  <c r="AW4" i="5"/>
  <c r="AJ15" i="5"/>
  <c r="AU16" i="5"/>
  <c r="AQ87" i="5"/>
  <c r="AI37" i="5"/>
  <c r="AG54" i="5"/>
  <c r="AI55" i="5"/>
  <c r="Y63" i="5"/>
  <c r="AU103" i="5"/>
  <c r="M46" i="5"/>
  <c r="W39" i="5"/>
  <c r="Y43" i="5"/>
  <c r="BC10" i="5"/>
  <c r="AQ53" i="5"/>
  <c r="AV20" i="5"/>
  <c r="T51" i="5"/>
  <c r="AR51" i="5"/>
  <c r="AK55" i="5"/>
  <c r="AK18" i="5"/>
  <c r="AG112" i="5"/>
  <c r="AU77" i="5"/>
  <c r="BC18" i="5"/>
  <c r="M29" i="5"/>
  <c r="M66" i="5"/>
  <c r="Y100" i="5"/>
  <c r="U71" i="5"/>
  <c r="AH97" i="5"/>
  <c r="BD66" i="5"/>
  <c r="W83" i="5"/>
  <c r="V23" i="5"/>
  <c r="AT51" i="5"/>
  <c r="AG75" i="5"/>
  <c r="AK72" i="5"/>
  <c r="AI30" i="5"/>
  <c r="AR93" i="5"/>
  <c r="AQ100" i="5"/>
  <c r="AT40" i="5"/>
  <c r="AH29" i="5"/>
  <c r="V53" i="5"/>
  <c r="AK27" i="5"/>
  <c r="BC92" i="5"/>
  <c r="U54" i="5"/>
  <c r="BD59" i="5"/>
  <c r="V47" i="5"/>
  <c r="AW60" i="5"/>
  <c r="AR112" i="5"/>
  <c r="AU8" i="5"/>
  <c r="V16" i="5"/>
  <c r="AF40" i="5"/>
  <c r="U61" i="5"/>
  <c r="AH49" i="5"/>
  <c r="AR11" i="5"/>
  <c r="S8" i="5"/>
  <c r="AG47" i="5"/>
  <c r="BC93" i="5"/>
  <c r="U104" i="5"/>
  <c r="AS73" i="5"/>
  <c r="AE108" i="5"/>
  <c r="S93" i="5"/>
  <c r="AK6" i="5"/>
  <c r="X75" i="5"/>
  <c r="AW44" i="5"/>
  <c r="AU4" i="5"/>
  <c r="BD64" i="5"/>
  <c r="BD55" i="5"/>
  <c r="M16" i="5"/>
  <c r="T70" i="5"/>
  <c r="Y78" i="5"/>
  <c r="U86" i="5"/>
  <c r="AW74" i="5"/>
  <c r="AW64" i="5"/>
  <c r="X76" i="5"/>
  <c r="T116" i="5"/>
  <c r="AS103" i="5"/>
  <c r="X44" i="5"/>
  <c r="V24" i="5"/>
  <c r="U19" i="5"/>
  <c r="AI74" i="5"/>
  <c r="T46" i="5"/>
  <c r="AG46" i="5"/>
  <c r="Y27" i="5"/>
  <c r="AR21" i="5"/>
  <c r="Y44" i="5"/>
  <c r="AR39" i="5"/>
  <c r="T40" i="5"/>
  <c r="AJ43" i="5"/>
  <c r="BC32" i="5"/>
  <c r="BC5" i="5"/>
  <c r="W57" i="5"/>
  <c r="BC37" i="5"/>
  <c r="AW79" i="5"/>
  <c r="S27" i="5"/>
  <c r="AV83" i="5"/>
  <c r="BD77" i="5"/>
  <c r="AF44" i="5"/>
  <c r="AH78" i="5"/>
  <c r="BD98" i="5"/>
  <c r="AE90" i="5"/>
  <c r="BD70" i="5"/>
  <c r="AW119" i="5"/>
  <c r="AI81" i="5"/>
  <c r="V99" i="5"/>
  <c r="T72" i="5"/>
  <c r="AU25" i="5"/>
  <c r="AS51" i="5"/>
  <c r="W113" i="5"/>
  <c r="T109" i="5"/>
  <c r="S86" i="5"/>
  <c r="AK91" i="5"/>
  <c r="AU100" i="5"/>
  <c r="AW42" i="5"/>
  <c r="AE62" i="5"/>
  <c r="X30" i="5"/>
  <c r="V78" i="5"/>
  <c r="AW96" i="5"/>
  <c r="AH91" i="5"/>
  <c r="M101" i="5"/>
  <c r="U42" i="5"/>
  <c r="BD65" i="5"/>
  <c r="AT79" i="5"/>
  <c r="BC102" i="5"/>
  <c r="U64" i="5"/>
  <c r="X89" i="5"/>
  <c r="AS84" i="5"/>
  <c r="AS72" i="5"/>
  <c r="X84" i="5"/>
  <c r="AJ21" i="5"/>
  <c r="AJ36" i="5"/>
  <c r="AU119" i="5"/>
  <c r="BD8" i="5"/>
  <c r="U5" i="5"/>
  <c r="AH33" i="5"/>
  <c r="BC51" i="5"/>
  <c r="AE42" i="5"/>
  <c r="W59" i="5"/>
  <c r="AV51" i="5"/>
  <c r="AH52" i="5"/>
  <c r="X10" i="5"/>
  <c r="AH53" i="5"/>
  <c r="W17" i="5"/>
  <c r="X45" i="5"/>
  <c r="U11" i="5"/>
  <c r="AR17" i="5"/>
  <c r="S18" i="5"/>
  <c r="AH68" i="5"/>
  <c r="AW26" i="5"/>
  <c r="AJ71" i="5"/>
  <c r="AR35" i="5"/>
  <c r="AI70" i="5"/>
  <c r="AF32" i="5"/>
  <c r="BD30" i="5"/>
  <c r="V98" i="5"/>
  <c r="BD62" i="5"/>
  <c r="AW99" i="5"/>
  <c r="AU74" i="5"/>
  <c r="Y103" i="5"/>
  <c r="AI112" i="5"/>
  <c r="AW118" i="5"/>
  <c r="Y50" i="5"/>
  <c r="AE43" i="5"/>
  <c r="AE19" i="5"/>
  <c r="V8" i="5"/>
  <c r="AV13" i="5"/>
  <c r="AU32" i="5"/>
  <c r="U44" i="5"/>
  <c r="Y15" i="5"/>
  <c r="W31" i="5"/>
  <c r="AS41" i="5"/>
  <c r="AK24" i="5"/>
  <c r="M53" i="5"/>
  <c r="AK49" i="5"/>
  <c r="AQ56" i="5"/>
  <c r="AE46" i="5"/>
  <c r="BD25" i="5"/>
  <c r="AW32" i="5"/>
  <c r="BC26" i="5"/>
  <c r="AK75" i="5"/>
  <c r="AU81" i="5"/>
  <c r="AI26" i="5"/>
  <c r="AF97" i="5"/>
  <c r="X102" i="5"/>
  <c r="V68" i="5"/>
  <c r="BC98" i="5"/>
  <c r="BC49" i="5"/>
  <c r="AJ115" i="5"/>
  <c r="AT70" i="5"/>
  <c r="M108" i="5"/>
  <c r="S23" i="5"/>
  <c r="AI95" i="5"/>
  <c r="AG109" i="5"/>
  <c r="AU85" i="5"/>
  <c r="S96" i="5"/>
  <c r="BC75" i="5"/>
  <c r="S36" i="5"/>
  <c r="AQ61" i="5"/>
  <c r="AJ56" i="5"/>
  <c r="AJ54" i="5"/>
  <c r="AJ29" i="5"/>
  <c r="AI52" i="5"/>
  <c r="AT44" i="5"/>
  <c r="AW30" i="5"/>
  <c r="Y119" i="5"/>
  <c r="AJ25" i="5"/>
  <c r="V4" i="5"/>
  <c r="AV33" i="5"/>
  <c r="AJ30" i="5"/>
  <c r="AH24" i="5"/>
  <c r="W28" i="5"/>
  <c r="T54" i="5"/>
  <c r="AF31" i="5"/>
  <c r="BD14" i="5"/>
  <c r="BD12" i="5"/>
  <c r="AT99" i="5"/>
  <c r="AQ65" i="5"/>
  <c r="BD6" i="5"/>
  <c r="AV112" i="5"/>
  <c r="M67" i="5"/>
  <c r="AK111" i="5"/>
  <c r="AE37" i="5"/>
  <c r="M14" i="5"/>
  <c r="AK22" i="5"/>
  <c r="BD10" i="5"/>
  <c r="AQ79" i="5"/>
  <c r="AQ103" i="5"/>
  <c r="U81" i="5"/>
  <c r="AE83" i="5"/>
  <c r="AU76" i="5"/>
  <c r="M100" i="5"/>
  <c r="BD82" i="5"/>
  <c r="AG96" i="5"/>
  <c r="AS97" i="5"/>
  <c r="AF23" i="5"/>
  <c r="M45" i="5"/>
  <c r="AW35" i="5"/>
  <c r="T12" i="5"/>
  <c r="BC55" i="5"/>
  <c r="Y33" i="5"/>
  <c r="Y13" i="5"/>
  <c r="T14" i="5"/>
  <c r="X21" i="5"/>
  <c r="AQ20" i="5"/>
  <c r="AU21" i="5"/>
  <c r="AI108" i="5"/>
  <c r="AW12" i="5"/>
  <c r="AJ49" i="5"/>
  <c r="AI31" i="5"/>
  <c r="V19" i="5"/>
  <c r="S119" i="5"/>
  <c r="AF86" i="5"/>
  <c r="U97" i="5"/>
  <c r="AI76" i="5"/>
  <c r="T118" i="5"/>
  <c r="AG14" i="5"/>
  <c r="AG110" i="5"/>
  <c r="AQ97" i="5"/>
  <c r="X103" i="5"/>
  <c r="AJ32" i="5"/>
  <c r="AV78" i="5"/>
  <c r="AR104" i="5"/>
  <c r="AT95" i="5"/>
  <c r="AR19" i="5"/>
  <c r="BC22" i="5"/>
  <c r="AR117" i="5"/>
  <c r="T114" i="5"/>
  <c r="AQ81" i="5"/>
  <c r="U74" i="5"/>
  <c r="V25" i="5"/>
  <c r="AF109" i="5"/>
  <c r="S109" i="5"/>
  <c r="AE111" i="5"/>
  <c r="BD109" i="5"/>
  <c r="AT24" i="5"/>
  <c r="T5" i="5"/>
  <c r="T11" i="5"/>
  <c r="AW25" i="5"/>
  <c r="AW34" i="5"/>
  <c r="AH58" i="5"/>
  <c r="T4" i="5"/>
  <c r="BC119" i="5"/>
  <c r="U32" i="5"/>
  <c r="AS45" i="5"/>
  <c r="AS31" i="5"/>
  <c r="BD31" i="5"/>
  <c r="W32" i="5"/>
  <c r="AR23" i="5"/>
  <c r="AF35" i="5"/>
  <c r="AG39" i="5"/>
  <c r="V95" i="5"/>
  <c r="T79" i="5"/>
  <c r="AJ85" i="5"/>
  <c r="BD63" i="5"/>
  <c r="AT75" i="5"/>
  <c r="AG94" i="5"/>
  <c r="X11" i="5"/>
  <c r="AW62" i="5"/>
  <c r="AI91" i="5"/>
  <c r="U89" i="5"/>
  <c r="AV30" i="5"/>
  <c r="M104" i="5"/>
  <c r="X94" i="5"/>
  <c r="AR89" i="5"/>
  <c r="AF30" i="5"/>
  <c r="AI115" i="5"/>
  <c r="Y81" i="5"/>
  <c r="AJ105" i="5"/>
  <c r="AI90" i="5"/>
  <c r="AW57" i="5"/>
  <c r="AR57" i="5"/>
  <c r="X41" i="5"/>
  <c r="AK112" i="5"/>
  <c r="AQ114" i="5"/>
  <c r="AT54" i="5"/>
  <c r="AS44" i="5"/>
  <c r="AU20" i="5"/>
  <c r="BC23" i="5"/>
  <c r="X119" i="5"/>
  <c r="AR4" i="5"/>
  <c r="X23" i="5"/>
  <c r="AH50" i="5"/>
  <c r="BD95" i="5"/>
  <c r="AH15" i="5"/>
  <c r="S60" i="5"/>
  <c r="AW49" i="5"/>
  <c r="U49" i="5"/>
  <c r="AG56" i="5"/>
  <c r="AF79" i="5"/>
  <c r="S72" i="5"/>
  <c r="U100" i="5"/>
  <c r="BC43" i="5"/>
  <c r="T29" i="5"/>
  <c r="U93" i="5"/>
  <c r="AK79" i="5"/>
  <c r="S91" i="5"/>
  <c r="AQ118" i="5"/>
  <c r="AQ95" i="5"/>
  <c r="AH113" i="5"/>
  <c r="BC77" i="5"/>
  <c r="AQ78" i="5"/>
  <c r="AE22" i="5"/>
  <c r="AI93" i="5"/>
  <c r="W14" i="5"/>
  <c r="AW67" i="5"/>
  <c r="AU116" i="5"/>
  <c r="AV111" i="5"/>
  <c r="AE24" i="5"/>
  <c r="AV41" i="5"/>
  <c r="AU48" i="5"/>
  <c r="T38" i="5"/>
  <c r="Y14" i="5"/>
  <c r="U21" i="5"/>
  <c r="AH32" i="5"/>
  <c r="AJ119" i="5"/>
  <c r="BD32" i="5"/>
  <c r="AF67" i="5"/>
  <c r="S19" i="5"/>
  <c r="AV27" i="5"/>
  <c r="AU71" i="5"/>
  <c r="U16" i="5"/>
  <c r="AU36" i="5"/>
  <c r="AV34" i="5"/>
  <c r="AV4" i="5"/>
  <c r="AJ26" i="5"/>
  <c r="AJ18" i="5"/>
  <c r="U91" i="5"/>
  <c r="Y69" i="5"/>
  <c r="AR97" i="5"/>
  <c r="AS118" i="5"/>
  <c r="BC78" i="5"/>
  <c r="AI107" i="5"/>
  <c r="W84" i="5"/>
  <c r="AT57" i="5"/>
  <c r="AK30" i="5"/>
  <c r="T66" i="5"/>
  <c r="AG50" i="5"/>
  <c r="AV15" i="5"/>
  <c r="U58" i="5"/>
  <c r="AJ81" i="5"/>
  <c r="AG84" i="5"/>
  <c r="AS101" i="5"/>
  <c r="AQ106" i="5"/>
  <c r="Y96" i="5"/>
  <c r="AW107" i="5"/>
  <c r="BC88" i="5"/>
  <c r="AH117" i="5"/>
  <c r="AV49" i="5"/>
  <c r="BD119" i="5"/>
  <c r="M32" i="5"/>
  <c r="S57" i="5"/>
  <c r="X46" i="5"/>
  <c r="AE36" i="5"/>
  <c r="T119" i="5"/>
  <c r="AJ4" i="5"/>
  <c r="X35" i="5"/>
  <c r="AR48" i="5"/>
  <c r="M48" i="5"/>
  <c r="AT120" i="5"/>
  <c r="AG43" i="5"/>
  <c r="AV9" i="5"/>
  <c r="AS49" i="5"/>
  <c r="AS12" i="5"/>
  <c r="AK56" i="5"/>
  <c r="U43" i="5"/>
  <c r="AG11" i="5"/>
  <c r="AU34" i="5"/>
  <c r="AV105" i="5"/>
  <c r="AI105" i="5"/>
  <c r="U63" i="5"/>
  <c r="S94" i="5"/>
  <c r="T94" i="5"/>
  <c r="AS113" i="5"/>
  <c r="V66" i="5"/>
  <c r="AT56" i="5"/>
  <c r="AI101" i="5"/>
  <c r="AU73" i="5"/>
  <c r="AU91" i="5"/>
  <c r="AI22" i="5"/>
  <c r="AF106" i="5"/>
  <c r="X112" i="5"/>
  <c r="AE82" i="5"/>
  <c r="AU42" i="5"/>
  <c r="AW90" i="5"/>
  <c r="AS70" i="5"/>
  <c r="V67" i="5"/>
  <c r="AW116" i="5"/>
  <c r="AV76" i="5"/>
  <c r="V81" i="5"/>
  <c r="AH90" i="5"/>
  <c r="Y106" i="5"/>
  <c r="Y72" i="5"/>
  <c r="AE69" i="5"/>
  <c r="AI109" i="5"/>
  <c r="AS71" i="5"/>
  <c r="AH82" i="5"/>
  <c r="V105" i="5"/>
  <c r="AU101" i="5"/>
  <c r="AT66" i="5"/>
  <c r="AV110" i="5"/>
  <c r="AE95" i="5"/>
  <c r="AU96" i="5"/>
  <c r="Y109" i="5"/>
  <c r="AI94" i="5"/>
  <c r="AU11" i="5"/>
  <c r="AR113" i="5"/>
  <c r="AW13" i="5"/>
  <c r="Y55" i="5"/>
  <c r="Y49" i="5"/>
  <c r="AG37" i="5"/>
  <c r="AS25" i="5"/>
  <c r="T8" i="5"/>
  <c r="AU59" i="5"/>
  <c r="AT32" i="5"/>
  <c r="S50" i="5"/>
  <c r="AE30" i="5"/>
  <c r="AF20" i="5"/>
  <c r="T32" i="5"/>
  <c r="AF42" i="5"/>
  <c r="AK33" i="5"/>
  <c r="AH19" i="5"/>
  <c r="BC9" i="5"/>
  <c r="AK51" i="5"/>
  <c r="W18" i="5"/>
  <c r="AF10" i="5"/>
  <c r="AE100" i="5"/>
  <c r="Y17" i="5"/>
  <c r="T6" i="5"/>
  <c r="Y82" i="5"/>
  <c r="AG74" i="5"/>
  <c r="X106" i="5"/>
  <c r="S9" i="5"/>
  <c r="AF65" i="5"/>
  <c r="AK38" i="5"/>
  <c r="AR72" i="5"/>
  <c r="V61" i="5"/>
  <c r="Y10" i="5"/>
  <c r="AT116" i="5"/>
  <c r="Y85" i="5"/>
  <c r="AI69" i="5"/>
  <c r="W40" i="5"/>
  <c r="AW9" i="5"/>
  <c r="V45" i="5"/>
  <c r="AE50" i="5"/>
  <c r="AJ39" i="5"/>
  <c r="U41" i="5"/>
  <c r="AT35" i="5"/>
  <c r="M52" i="5"/>
  <c r="T43" i="5"/>
  <c r="Y20" i="5"/>
  <c r="AT61" i="5"/>
  <c r="AJ53" i="5"/>
  <c r="W119" i="5"/>
  <c r="AH28" i="5"/>
  <c r="AK17" i="5"/>
  <c r="W15" i="5"/>
  <c r="AT50" i="5"/>
  <c r="S43" i="5"/>
  <c r="V102" i="5"/>
  <c r="AQ73" i="5"/>
  <c r="BC65" i="5"/>
  <c r="AV26" i="5"/>
  <c r="AR87" i="5"/>
  <c r="S83" i="5"/>
  <c r="AQ67" i="5"/>
  <c r="M103" i="5"/>
  <c r="AQ31" i="5"/>
  <c r="AF62" i="5"/>
  <c r="AU94" i="5"/>
  <c r="T81" i="5"/>
  <c r="AH63" i="5"/>
  <c r="BD104" i="5"/>
  <c r="AJ66" i="5"/>
  <c r="W103" i="5"/>
  <c r="X92" i="5"/>
  <c r="AQ49" i="5"/>
  <c r="S24" i="5"/>
  <c r="X118" i="5"/>
  <c r="AF17" i="5"/>
  <c r="AT94" i="5"/>
  <c r="V52" i="5"/>
  <c r="AW21" i="5"/>
  <c r="X29" i="5"/>
  <c r="AE51" i="5"/>
  <c r="AF22" i="5"/>
  <c r="AE16" i="5"/>
  <c r="Y59" i="5"/>
  <c r="X12" i="5"/>
  <c r="AH57" i="5"/>
  <c r="AH16" i="5"/>
  <c r="X8" i="5"/>
  <c r="AW28" i="5"/>
  <c r="S95" i="5"/>
  <c r="AG36" i="5"/>
  <c r="U87" i="5"/>
  <c r="AK107" i="5"/>
  <c r="AI98" i="5"/>
  <c r="X95" i="5"/>
  <c r="M34" i="5"/>
  <c r="AT102" i="5"/>
  <c r="AT109" i="5"/>
  <c r="AJ82" i="5"/>
  <c r="AG79" i="5"/>
  <c r="AU72" i="5"/>
  <c r="M107" i="5"/>
  <c r="AV36" i="5"/>
  <c r="BD71" i="5"/>
  <c r="AS102" i="5"/>
  <c r="AV115" i="5"/>
  <c r="AR94" i="5"/>
  <c r="AS88" i="5"/>
  <c r="U115" i="5"/>
  <c r="AH98" i="5"/>
  <c r="AK86" i="5"/>
  <c r="M17" i="5"/>
  <c r="AI33" i="5"/>
  <c r="AJ19" i="5"/>
  <c r="U46" i="5"/>
  <c r="AH10" i="5"/>
  <c r="AV40" i="5"/>
  <c r="AW40" i="5"/>
  <c r="AT119" i="5"/>
  <c r="AQ40" i="5"/>
  <c r="BD87" i="5"/>
  <c r="AI44" i="5"/>
  <c r="AF41" i="5"/>
  <c r="AE40" i="5"/>
  <c r="T49" i="5"/>
  <c r="S61" i="5"/>
  <c r="AR27" i="5"/>
  <c r="X7" i="5"/>
  <c r="AK44" i="5"/>
  <c r="AQ26" i="5"/>
  <c r="AQ18" i="5"/>
  <c r="X79" i="5"/>
  <c r="AE99" i="5"/>
  <c r="AV117" i="5"/>
  <c r="AK89" i="5"/>
  <c r="AI34" i="5"/>
  <c r="V85" i="5"/>
  <c r="W79" i="5"/>
  <c r="AR56" i="5"/>
  <c r="V96" i="5"/>
  <c r="S79" i="5"/>
  <c r="AR66" i="5"/>
  <c r="BC103" i="5"/>
  <c r="AF77" i="5"/>
  <c r="U88" i="5"/>
  <c r="AJ88" i="5"/>
  <c r="AU75" i="5"/>
  <c r="U69" i="5"/>
  <c r="AG85" i="5"/>
  <c r="AS74" i="5"/>
  <c r="X74" i="5"/>
  <c r="AW77" i="5"/>
  <c r="AI62" i="5"/>
  <c r="AF70" i="5"/>
  <c r="AV91" i="5"/>
  <c r="W85" i="5"/>
  <c r="S92" i="5"/>
  <c r="V65" i="5"/>
  <c r="AH92" i="5"/>
  <c r="AJ74" i="5"/>
  <c r="AH106" i="5"/>
  <c r="V82" i="5"/>
  <c r="AJ106" i="5"/>
  <c r="AK74" i="5"/>
  <c r="AJ80" i="5"/>
  <c r="AK84" i="5"/>
  <c r="AR90" i="5"/>
  <c r="Y75" i="5"/>
  <c r="AH62" i="5"/>
  <c r="AK63" i="5"/>
  <c r="AH96" i="5"/>
  <c r="Y113" i="5"/>
  <c r="AI85" i="5"/>
  <c r="AU62" i="5"/>
  <c r="AT64" i="5"/>
  <c r="AK80" i="5"/>
  <c r="AH74" i="5"/>
  <c r="AE84" i="5"/>
  <c r="BE120" i="5"/>
  <c r="N34" i="5"/>
  <c r="BE48" i="5"/>
  <c r="BE20" i="5"/>
  <c r="BE54" i="5"/>
  <c r="BE21" i="5"/>
  <c r="BE37" i="5"/>
  <c r="BE26" i="5"/>
  <c r="BE59" i="5"/>
  <c r="BE23" i="5"/>
  <c r="BE34" i="5"/>
  <c r="BE61" i="5"/>
  <c r="BE60" i="5"/>
  <c r="BE40" i="5"/>
  <c r="BE42" i="5"/>
  <c r="BE28" i="5"/>
  <c r="BE22" i="5"/>
  <c r="BE24" i="5"/>
  <c r="BE27" i="5"/>
  <c r="BE39" i="5"/>
  <c r="BE41" i="5"/>
  <c r="BE33" i="5"/>
  <c r="BE50" i="5"/>
  <c r="BE44" i="5"/>
  <c r="BE17" i="5"/>
  <c r="BE53" i="5"/>
  <c r="BE30" i="5"/>
  <c r="BE55" i="5"/>
  <c r="BE18" i="5"/>
  <c r="BE19" i="5"/>
  <c r="BE45" i="5"/>
  <c r="BE58" i="5"/>
  <c r="BE51" i="5"/>
  <c r="BE52" i="5"/>
  <c r="BE29" i="5"/>
  <c r="BE57" i="5"/>
  <c r="BE49" i="5"/>
  <c r="BE16" i="5"/>
  <c r="BE46" i="5"/>
  <c r="BE32" i="5"/>
  <c r="BE31" i="5"/>
  <c r="BE36" i="5"/>
  <c r="BE38" i="5"/>
  <c r="BE25" i="5"/>
  <c r="BE13" i="5"/>
  <c r="BE47" i="5"/>
  <c r="BE35" i="5"/>
  <c r="BE15" i="5"/>
  <c r="BE14" i="5"/>
  <c r="BE43" i="5"/>
  <c r="BE56" i="5"/>
  <c r="BE106" i="5"/>
  <c r="BE114" i="5"/>
  <c r="BE77" i="5"/>
  <c r="BE65" i="5"/>
  <c r="BE105" i="5"/>
  <c r="BE70" i="5"/>
  <c r="BE83" i="5"/>
  <c r="BE67" i="5"/>
  <c r="BE117" i="5"/>
  <c r="BE103" i="5"/>
  <c r="BE108" i="5"/>
  <c r="BE99" i="5"/>
  <c r="BE76" i="5"/>
  <c r="BE93" i="5"/>
  <c r="BE112" i="5"/>
  <c r="BE82" i="5"/>
  <c r="BE94" i="5"/>
  <c r="BE68" i="5"/>
  <c r="BE109" i="5"/>
  <c r="BE62" i="5"/>
  <c r="BE79" i="5"/>
  <c r="BE89" i="5"/>
  <c r="BE116" i="5"/>
  <c r="BE73" i="5"/>
  <c r="BE96" i="5"/>
  <c r="BE63" i="5"/>
  <c r="BE66" i="5"/>
  <c r="BE74" i="5"/>
  <c r="BE95" i="5"/>
  <c r="BE84" i="5"/>
  <c r="BE107" i="5"/>
  <c r="BE113" i="5"/>
  <c r="BE101" i="5"/>
  <c r="BE97" i="5"/>
  <c r="BE115" i="5"/>
  <c r="BE110" i="5"/>
  <c r="BE86" i="5"/>
  <c r="BE72" i="5"/>
  <c r="BE92" i="5"/>
  <c r="BE85" i="5"/>
  <c r="BE64" i="5"/>
  <c r="BE71" i="5"/>
  <c r="BE69" i="5"/>
  <c r="BE104" i="5"/>
  <c r="BE88" i="5"/>
  <c r="BE87" i="5"/>
  <c r="BE98" i="5"/>
  <c r="BE81" i="5"/>
  <c r="BE111" i="5"/>
  <c r="BE75" i="5"/>
  <c r="BE102" i="5"/>
  <c r="BE78" i="5"/>
  <c r="BE80" i="5"/>
  <c r="BE91" i="5"/>
  <c r="BE90" i="5"/>
  <c r="BE100" i="5"/>
  <c r="BE11" i="5"/>
  <c r="BE4" i="5"/>
  <c r="BE5" i="5"/>
  <c r="BE6" i="5"/>
  <c r="BE12" i="5"/>
  <c r="BE7" i="5"/>
  <c r="BE8" i="5"/>
  <c r="BE10" i="5"/>
  <c r="BE9" i="5"/>
  <c r="AF121" i="5"/>
  <c r="AE121" i="5"/>
  <c r="BE3" i="1"/>
  <c r="BE1" i="1"/>
  <c r="BG76" i="5" l="1"/>
  <c r="AB118" i="5"/>
  <c r="AA118" i="5"/>
  <c r="AD118" i="5"/>
  <c r="AC118" i="5"/>
  <c r="Z118" i="5"/>
  <c r="AB119" i="5"/>
  <c r="AC119" i="5"/>
  <c r="AA119" i="5"/>
  <c r="Z119" i="5"/>
  <c r="AD119" i="5"/>
  <c r="R118" i="5"/>
  <c r="P118" i="5"/>
  <c r="O118" i="5"/>
  <c r="N118" i="5"/>
  <c r="Q118" i="5"/>
  <c r="AX119" i="5"/>
  <c r="BA119" i="5"/>
  <c r="BB119" i="5"/>
  <c r="AZ119" i="5"/>
  <c r="AY119" i="5"/>
  <c r="AP119" i="5"/>
  <c r="AN119" i="5"/>
  <c r="AM119" i="5"/>
  <c r="AO119" i="5"/>
  <c r="AL119" i="5"/>
  <c r="AL118" i="5"/>
  <c r="AN118" i="5"/>
  <c r="AP118" i="5"/>
  <c r="AO118" i="5"/>
  <c r="AM118" i="5"/>
  <c r="BJ119" i="5"/>
  <c r="BG119" i="5"/>
  <c r="BF119" i="5"/>
  <c r="BH119" i="5"/>
  <c r="BI119" i="5"/>
  <c r="AM120" i="5"/>
  <c r="AP120" i="5"/>
  <c r="AN120" i="5"/>
  <c r="AL120" i="5"/>
  <c r="AO120" i="5"/>
  <c r="AA120" i="5"/>
  <c r="AD120" i="5"/>
  <c r="AB120" i="5"/>
  <c r="Z120" i="5"/>
  <c r="AC120" i="5"/>
  <c r="P120" i="5"/>
  <c r="Q120" i="5"/>
  <c r="N120" i="5"/>
  <c r="R120" i="5"/>
  <c r="O120" i="5"/>
  <c r="AY118" i="5"/>
  <c r="AZ118" i="5"/>
  <c r="AX118" i="5"/>
  <c r="BA118" i="5"/>
  <c r="BB118" i="5"/>
  <c r="BJ118" i="5"/>
  <c r="BG118" i="5"/>
  <c r="BF118" i="5"/>
  <c r="BI118" i="5"/>
  <c r="BH118" i="5"/>
  <c r="BB120" i="5"/>
  <c r="AZ120" i="5"/>
  <c r="AY120" i="5"/>
  <c r="BA120" i="5"/>
  <c r="AX120" i="5"/>
  <c r="R119" i="5"/>
  <c r="N119" i="5"/>
  <c r="P119" i="5"/>
  <c r="O119" i="5"/>
  <c r="Q119" i="5"/>
  <c r="BJ120" i="5"/>
  <c r="BI120" i="5"/>
  <c r="BG120" i="5"/>
  <c r="BH120" i="5"/>
  <c r="BF120" i="5"/>
  <c r="BM60" i="1"/>
  <c r="BO60" i="1"/>
  <c r="BL60" i="1"/>
  <c r="BN60" i="1"/>
  <c r="BK60" i="1"/>
  <c r="BI107" i="5"/>
  <c r="BG48" i="5"/>
  <c r="BG58" i="5"/>
  <c r="BI29" i="5"/>
  <c r="BG44" i="5"/>
  <c r="BI25" i="5"/>
  <c r="BB60" i="5"/>
  <c r="N20" i="5"/>
  <c r="AB20" i="5"/>
  <c r="BG91" i="5"/>
  <c r="Q57" i="5"/>
  <c r="BG86" i="5"/>
  <c r="BG85" i="5"/>
  <c r="AM80" i="5"/>
  <c r="BG105" i="5"/>
  <c r="BB65" i="5"/>
  <c r="AY86" i="5"/>
  <c r="AM16" i="5"/>
  <c r="AD60" i="5"/>
  <c r="BI103" i="5"/>
  <c r="AD26" i="5"/>
  <c r="BI78" i="5"/>
  <c r="AM85" i="5"/>
  <c r="BI64" i="5"/>
  <c r="AC107" i="5"/>
  <c r="BI111" i="5"/>
  <c r="BG98" i="5"/>
  <c r="AC67" i="5"/>
  <c r="AN75" i="5"/>
  <c r="AZ79" i="5"/>
  <c r="AC111" i="5"/>
  <c r="AA101" i="5"/>
  <c r="AY114" i="5"/>
  <c r="BG109" i="5"/>
  <c r="AC99" i="5"/>
  <c r="BG93" i="5"/>
  <c r="AO107" i="5"/>
  <c r="BH75" i="5"/>
  <c r="AM76" i="5"/>
  <c r="N40" i="5"/>
  <c r="AB48" i="5"/>
  <c r="BB28" i="5"/>
  <c r="BG24" i="5"/>
  <c r="AA114" i="5"/>
  <c r="BA95" i="5"/>
  <c r="BI99" i="5"/>
  <c r="AM102" i="5"/>
  <c r="AO74" i="5"/>
  <c r="AA105" i="5"/>
  <c r="BG110" i="5"/>
  <c r="BG117" i="5"/>
  <c r="R60" i="5"/>
  <c r="N19" i="5"/>
  <c r="AD74" i="5"/>
  <c r="AZ101" i="5"/>
  <c r="AZ67" i="5"/>
  <c r="AA73" i="5"/>
  <c r="AB84" i="5"/>
  <c r="BG102" i="5"/>
  <c r="AY97" i="5"/>
  <c r="BB54" i="5"/>
  <c r="BG16" i="5"/>
  <c r="BG36" i="5"/>
  <c r="BG79" i="5"/>
  <c r="BJ79" i="5"/>
  <c r="BF79" i="5"/>
  <c r="AZ104" i="5"/>
  <c r="AY104" i="5"/>
  <c r="AX104" i="5"/>
  <c r="BA104" i="5"/>
  <c r="BB104" i="5"/>
  <c r="AD70" i="5"/>
  <c r="AA70" i="5"/>
  <c r="AB70" i="5"/>
  <c r="Z70" i="5"/>
  <c r="O106" i="5"/>
  <c r="N106" i="5"/>
  <c r="P106" i="5"/>
  <c r="R106" i="5"/>
  <c r="Q106" i="5"/>
  <c r="O108" i="5"/>
  <c r="Q108" i="5"/>
  <c r="P108" i="5"/>
  <c r="N108" i="5"/>
  <c r="R108" i="5"/>
  <c r="Q67" i="5"/>
  <c r="N67" i="5"/>
  <c r="O67" i="5"/>
  <c r="R67" i="5"/>
  <c r="P67" i="5"/>
  <c r="AO99" i="5"/>
  <c r="BF114" i="5"/>
  <c r="BI114" i="5"/>
  <c r="BH114" i="5"/>
  <c r="BJ114" i="5"/>
  <c r="Z110" i="5"/>
  <c r="AC110" i="5"/>
  <c r="AB110" i="5"/>
  <c r="AD110" i="5"/>
  <c r="AB96" i="5"/>
  <c r="AA96" i="5"/>
  <c r="Z96" i="5"/>
  <c r="AC96" i="5"/>
  <c r="AD96" i="5"/>
  <c r="AO77" i="5"/>
  <c r="AM77" i="5"/>
  <c r="AP77" i="5"/>
  <c r="AL77" i="5"/>
  <c r="AN77" i="5"/>
  <c r="AN83" i="5"/>
  <c r="AL83" i="5"/>
  <c r="AM83" i="5"/>
  <c r="AP83" i="5"/>
  <c r="AO83" i="5"/>
  <c r="AZ113" i="5"/>
  <c r="AM94" i="5"/>
  <c r="BI113" i="5"/>
  <c r="BJ113" i="5"/>
  <c r="BF113" i="5"/>
  <c r="BH113" i="5"/>
  <c r="BH92" i="5"/>
  <c r="BG92" i="5"/>
  <c r="BJ92" i="5"/>
  <c r="BI92" i="5"/>
  <c r="BF92" i="5"/>
  <c r="AB107" i="5"/>
  <c r="AD107" i="5"/>
  <c r="Z107" i="5"/>
  <c r="AA107" i="5"/>
  <c r="AP81" i="5"/>
  <c r="AO81" i="5"/>
  <c r="AL81" i="5"/>
  <c r="AN81" i="5"/>
  <c r="AM117" i="5"/>
  <c r="AZ92" i="5"/>
  <c r="AL84" i="5"/>
  <c r="AP84" i="5"/>
  <c r="AO101" i="5"/>
  <c r="AL101" i="5"/>
  <c r="AP101" i="5"/>
  <c r="P97" i="5"/>
  <c r="O97" i="5"/>
  <c r="Q97" i="5"/>
  <c r="N97" i="5"/>
  <c r="R97" i="5"/>
  <c r="BJ84" i="5"/>
  <c r="BF84" i="5"/>
  <c r="BI84" i="5"/>
  <c r="Q66" i="5"/>
  <c r="R66" i="5"/>
  <c r="N66" i="5"/>
  <c r="O66" i="5"/>
  <c r="P66" i="5"/>
  <c r="Q100" i="5"/>
  <c r="O100" i="5"/>
  <c r="P100" i="5"/>
  <c r="N100" i="5"/>
  <c r="R100" i="5"/>
  <c r="AZ83" i="5"/>
  <c r="AA71" i="5"/>
  <c r="AD71" i="5"/>
  <c r="Z71" i="5"/>
  <c r="AN115" i="5"/>
  <c r="AP115" i="5"/>
  <c r="AM115" i="5"/>
  <c r="AL115" i="5"/>
  <c r="BG72" i="5"/>
  <c r="AC74" i="5"/>
  <c r="AA98" i="5"/>
  <c r="BA115" i="5"/>
  <c r="AA86" i="5"/>
  <c r="P90" i="5"/>
  <c r="Q90" i="5"/>
  <c r="R90" i="5"/>
  <c r="O90" i="5"/>
  <c r="N90" i="5"/>
  <c r="P83" i="5"/>
  <c r="O83" i="5"/>
  <c r="N83" i="5"/>
  <c r="Q83" i="5"/>
  <c r="R83" i="5"/>
  <c r="Z98" i="5"/>
  <c r="AC98" i="5"/>
  <c r="AB98" i="5"/>
  <c r="AD98" i="5"/>
  <c r="AP74" i="5"/>
  <c r="BH69" i="5"/>
  <c r="BG69" i="5"/>
  <c r="BI69" i="5"/>
  <c r="BF69" i="5"/>
  <c r="BJ69" i="5"/>
  <c r="BA97" i="5"/>
  <c r="AX97" i="5"/>
  <c r="BB97" i="5"/>
  <c r="AY77" i="5"/>
  <c r="AZ115" i="5"/>
  <c r="AY115" i="5"/>
  <c r="AX115" i="5"/>
  <c r="BB115" i="5"/>
  <c r="BJ74" i="5"/>
  <c r="BH74" i="5"/>
  <c r="BF74" i="5"/>
  <c r="BG74" i="5"/>
  <c r="AC84" i="5"/>
  <c r="AA68" i="5"/>
  <c r="AC70" i="5"/>
  <c r="P64" i="5"/>
  <c r="O64" i="5"/>
  <c r="Q64" i="5"/>
  <c r="R64" i="5"/>
  <c r="N64" i="5"/>
  <c r="O65" i="5"/>
  <c r="Q65" i="5"/>
  <c r="N65" i="5"/>
  <c r="P65" i="5"/>
  <c r="R65" i="5"/>
  <c r="N113" i="5"/>
  <c r="R113" i="5"/>
  <c r="Q113" i="5"/>
  <c r="P113" i="5"/>
  <c r="O113" i="5"/>
  <c r="BG84" i="5"/>
  <c r="Q82" i="5"/>
  <c r="O82" i="5"/>
  <c r="P82" i="5"/>
  <c r="R82" i="5"/>
  <c r="N82" i="5"/>
  <c r="AC79" i="5"/>
  <c r="AD79" i="5"/>
  <c r="Z79" i="5"/>
  <c r="AA79" i="5"/>
  <c r="O94" i="5"/>
  <c r="N94" i="5"/>
  <c r="Q94" i="5"/>
  <c r="P94" i="5"/>
  <c r="R94" i="5"/>
  <c r="BI93" i="5"/>
  <c r="BH93" i="5"/>
  <c r="BJ93" i="5"/>
  <c r="BF93" i="5"/>
  <c r="AD83" i="5"/>
  <c r="Z83" i="5"/>
  <c r="AA83" i="5"/>
  <c r="AY105" i="5"/>
  <c r="AA93" i="5"/>
  <c r="Q78" i="5"/>
  <c r="P78" i="5"/>
  <c r="R78" i="5"/>
  <c r="O78" i="5"/>
  <c r="N78" i="5"/>
  <c r="AP92" i="5"/>
  <c r="AC88" i="5"/>
  <c r="AA80" i="5"/>
  <c r="AB101" i="5"/>
  <c r="AP66" i="5"/>
  <c r="AM66" i="5"/>
  <c r="AN66" i="5"/>
  <c r="AL66" i="5"/>
  <c r="AL69" i="5"/>
  <c r="AO69" i="5"/>
  <c r="AN69" i="5"/>
  <c r="AM97" i="5"/>
  <c r="AY80" i="5"/>
  <c r="AY98" i="5"/>
  <c r="AN87" i="5"/>
  <c r="AM87" i="5"/>
  <c r="AP87" i="5"/>
  <c r="AL87" i="5"/>
  <c r="AO87" i="5"/>
  <c r="AX84" i="5"/>
  <c r="BB84" i="5"/>
  <c r="BI66" i="5"/>
  <c r="AZ96" i="5"/>
  <c r="AY96" i="5"/>
  <c r="AX96" i="5"/>
  <c r="BB96" i="5"/>
  <c r="BA96" i="5"/>
  <c r="BA78" i="5"/>
  <c r="AN96" i="5"/>
  <c r="AM96" i="5"/>
  <c r="AO96" i="5"/>
  <c r="AP96" i="5"/>
  <c r="AL96" i="5"/>
  <c r="BA67" i="5"/>
  <c r="AO84" i="5"/>
  <c r="BG97" i="5"/>
  <c r="AB75" i="5"/>
  <c r="Z75" i="5"/>
  <c r="AD75" i="5"/>
  <c r="AA75" i="5"/>
  <c r="AC75" i="5"/>
  <c r="AY67" i="5"/>
  <c r="BB67" i="5"/>
  <c r="AX67" i="5"/>
  <c r="AX92" i="5"/>
  <c r="AD69" i="5"/>
  <c r="AB69" i="5"/>
  <c r="Z69" i="5"/>
  <c r="AC69" i="5"/>
  <c r="AZ85" i="5"/>
  <c r="AC93" i="5"/>
  <c r="Z93" i="5"/>
  <c r="AD93" i="5"/>
  <c r="AB78" i="5"/>
  <c r="Z78" i="5"/>
  <c r="AA78" i="5"/>
  <c r="AZ103" i="5"/>
  <c r="AY103" i="5"/>
  <c r="AX103" i="5"/>
  <c r="BB103" i="5"/>
  <c r="BH112" i="5"/>
  <c r="BG112" i="5"/>
  <c r="BJ112" i="5"/>
  <c r="BF112" i="5"/>
  <c r="BI112" i="5"/>
  <c r="O77" i="5"/>
  <c r="N77" i="5"/>
  <c r="Q77" i="5"/>
  <c r="P77" i="5"/>
  <c r="R77" i="5"/>
  <c r="AO66" i="5"/>
  <c r="AZ80" i="5"/>
  <c r="AO93" i="5"/>
  <c r="AL93" i="5"/>
  <c r="AP93" i="5"/>
  <c r="AC78" i="5"/>
  <c r="BA99" i="5"/>
  <c r="AZ108" i="5"/>
  <c r="AY108" i="5"/>
  <c r="AX108" i="5"/>
  <c r="BB108" i="5"/>
  <c r="BA108" i="5"/>
  <c r="AC105" i="5"/>
  <c r="AD105" i="5"/>
  <c r="Z105" i="5"/>
  <c r="BA113" i="5"/>
  <c r="BB113" i="5"/>
  <c r="AX113" i="5"/>
  <c r="AY94" i="5"/>
  <c r="O110" i="5"/>
  <c r="Q110" i="5"/>
  <c r="P110" i="5"/>
  <c r="R110" i="5"/>
  <c r="N110" i="5"/>
  <c r="AB97" i="5"/>
  <c r="N68" i="5"/>
  <c r="Q68" i="5"/>
  <c r="O68" i="5"/>
  <c r="P68" i="5"/>
  <c r="R68" i="5"/>
  <c r="AB99" i="5"/>
  <c r="Z99" i="5"/>
  <c r="AD99" i="5"/>
  <c r="AA99" i="5"/>
  <c r="Z63" i="5"/>
  <c r="AC63" i="5"/>
  <c r="AB63" i="5"/>
  <c r="AA63" i="5"/>
  <c r="BA70" i="5"/>
  <c r="BF85" i="5"/>
  <c r="BI85" i="5"/>
  <c r="BJ85" i="5"/>
  <c r="AY63" i="5"/>
  <c r="BA84" i="5"/>
  <c r="Z89" i="5"/>
  <c r="AC89" i="5"/>
  <c r="AD89" i="5"/>
  <c r="AB89" i="5"/>
  <c r="AA89" i="5"/>
  <c r="Z74" i="5"/>
  <c r="AB74" i="5"/>
  <c r="AA74" i="5"/>
  <c r="BH104" i="5"/>
  <c r="BG104" i="5"/>
  <c r="BI104" i="5"/>
  <c r="BJ104" i="5"/>
  <c r="BF104" i="5"/>
  <c r="BB81" i="5"/>
  <c r="AX114" i="5"/>
  <c r="BA114" i="5"/>
  <c r="BB114" i="5"/>
  <c r="AZ114" i="5"/>
  <c r="BG101" i="5"/>
  <c r="BF77" i="5"/>
  <c r="BJ77" i="5"/>
  <c r="BI77" i="5"/>
  <c r="BH77" i="5"/>
  <c r="AA110" i="5"/>
  <c r="AZ95" i="5"/>
  <c r="AY95" i="5"/>
  <c r="BB95" i="5"/>
  <c r="AX95" i="5"/>
  <c r="AL114" i="5"/>
  <c r="AO114" i="5"/>
  <c r="AP114" i="5"/>
  <c r="AN114" i="5"/>
  <c r="AO71" i="5"/>
  <c r="AP71" i="5"/>
  <c r="AM71" i="5"/>
  <c r="AL71" i="5"/>
  <c r="BA88" i="5"/>
  <c r="Z73" i="5"/>
  <c r="AC73" i="5"/>
  <c r="AB73" i="5"/>
  <c r="AN67" i="5"/>
  <c r="AM67" i="5"/>
  <c r="AO67" i="5"/>
  <c r="AP67" i="5"/>
  <c r="AL67" i="5"/>
  <c r="AB111" i="5"/>
  <c r="AD111" i="5"/>
  <c r="Z111" i="5"/>
  <c r="AA111" i="5"/>
  <c r="BB66" i="5"/>
  <c r="AX94" i="5"/>
  <c r="BA94" i="5"/>
  <c r="AZ94" i="5"/>
  <c r="BB94" i="5"/>
  <c r="AY113" i="5"/>
  <c r="AZ97" i="5"/>
  <c r="AD73" i="5"/>
  <c r="AB83" i="5"/>
  <c r="AP63" i="5"/>
  <c r="Q92" i="5"/>
  <c r="R92" i="5"/>
  <c r="N92" i="5"/>
  <c r="O92" i="5"/>
  <c r="P92" i="5"/>
  <c r="BG77" i="5"/>
  <c r="AP91" i="5"/>
  <c r="AM91" i="5"/>
  <c r="AL91" i="5"/>
  <c r="AO91" i="5"/>
  <c r="AN91" i="5"/>
  <c r="AA91" i="5"/>
  <c r="AB91" i="5"/>
  <c r="Z91" i="5"/>
  <c r="AD91" i="5"/>
  <c r="AC91" i="5"/>
  <c r="Z41" i="5"/>
  <c r="AL52" i="5"/>
  <c r="AP52" i="5"/>
  <c r="AO52" i="5"/>
  <c r="AB27" i="5"/>
  <c r="AA27" i="5"/>
  <c r="AC27" i="5"/>
  <c r="Z27" i="5"/>
  <c r="AD27" i="5"/>
  <c r="BJ38" i="5"/>
  <c r="BG38" i="5"/>
  <c r="BF38" i="5"/>
  <c r="BH38" i="5"/>
  <c r="BI38" i="5"/>
  <c r="BG34" i="5"/>
  <c r="BH34" i="5"/>
  <c r="BI34" i="5"/>
  <c r="BF34" i="5"/>
  <c r="BJ34" i="5"/>
  <c r="AB18" i="5"/>
  <c r="Z18" i="5"/>
  <c r="AD18" i="5"/>
  <c r="AC18" i="5"/>
  <c r="AA18" i="5"/>
  <c r="BA55" i="5"/>
  <c r="Z53" i="5"/>
  <c r="AC53" i="5"/>
  <c r="AB53" i="5"/>
  <c r="AA53" i="5"/>
  <c r="AD53" i="5"/>
  <c r="Z44" i="5"/>
  <c r="AA44" i="5"/>
  <c r="AD44" i="5"/>
  <c r="AB44" i="5"/>
  <c r="AC44" i="5"/>
  <c r="BF30" i="5"/>
  <c r="BH30" i="5"/>
  <c r="BJ30" i="5"/>
  <c r="BI30" i="5"/>
  <c r="BG30" i="5"/>
  <c r="AL34" i="5"/>
  <c r="AP34" i="5"/>
  <c r="AO34" i="5"/>
  <c r="AN34" i="5"/>
  <c r="AM34" i="5"/>
  <c r="AX54" i="5"/>
  <c r="AZ54" i="5"/>
  <c r="BA54" i="5"/>
  <c r="AY54" i="5"/>
  <c r="BA49" i="5"/>
  <c r="AX49" i="5"/>
  <c r="AY49" i="5"/>
  <c r="AZ49" i="5"/>
  <c r="BB49" i="5"/>
  <c r="Z51" i="5"/>
  <c r="AA51" i="5"/>
  <c r="AD51" i="5"/>
  <c r="AC51" i="5"/>
  <c r="AB51" i="5"/>
  <c r="AC17" i="5"/>
  <c r="AN30" i="5"/>
  <c r="AL30" i="5"/>
  <c r="AM30" i="5"/>
  <c r="AO30" i="5"/>
  <c r="Q61" i="5"/>
  <c r="P61" i="5"/>
  <c r="R61" i="5"/>
  <c r="R56" i="5"/>
  <c r="Q56" i="5"/>
  <c r="N56" i="5"/>
  <c r="P56" i="5"/>
  <c r="O56" i="5"/>
  <c r="R43" i="5"/>
  <c r="O43" i="5"/>
  <c r="P43" i="5"/>
  <c r="N43" i="5"/>
  <c r="Q43" i="5"/>
  <c r="Z13" i="5"/>
  <c r="AD13" i="5"/>
  <c r="AB13" i="5"/>
  <c r="AA13" i="5"/>
  <c r="AC13" i="5"/>
  <c r="AO17" i="5"/>
  <c r="Q58" i="5"/>
  <c r="N58" i="5"/>
  <c r="R58" i="5"/>
  <c r="P58" i="5"/>
  <c r="O58" i="5"/>
  <c r="AM57" i="5"/>
  <c r="AL57" i="5"/>
  <c r="AP57" i="5"/>
  <c r="AN57" i="5"/>
  <c r="AP30" i="5"/>
  <c r="AP56" i="5"/>
  <c r="BF17" i="5"/>
  <c r="BI17" i="5"/>
  <c r="BH17" i="5"/>
  <c r="BJ17" i="5"/>
  <c r="AN38" i="5"/>
  <c r="AM38" i="5"/>
  <c r="AO38" i="5"/>
  <c r="AP38" i="5"/>
  <c r="AL38" i="5"/>
  <c r="BI19" i="5"/>
  <c r="BH19" i="5"/>
  <c r="BF19" i="5"/>
  <c r="BJ19" i="5"/>
  <c r="BG19" i="5"/>
  <c r="BI46" i="5"/>
  <c r="BH46" i="5"/>
  <c r="BF46" i="5"/>
  <c r="BG46" i="5"/>
  <c r="BJ46" i="5"/>
  <c r="AC25" i="5"/>
  <c r="AL35" i="5"/>
  <c r="AP35" i="5"/>
  <c r="AO35" i="5"/>
  <c r="AM35" i="5"/>
  <c r="AN35" i="5"/>
  <c r="AY39" i="5"/>
  <c r="BA39" i="5"/>
  <c r="BB39" i="5"/>
  <c r="AZ39" i="5"/>
  <c r="AX39" i="5"/>
  <c r="AX40" i="5"/>
  <c r="BB40" i="5"/>
  <c r="AY40" i="5"/>
  <c r="AZ40" i="5"/>
  <c r="AD50" i="5"/>
  <c r="AA50" i="5"/>
  <c r="AC50" i="5"/>
  <c r="AB50" i="5"/>
  <c r="Z50" i="5"/>
  <c r="BB37" i="5"/>
  <c r="AZ37" i="5"/>
  <c r="AY37" i="5"/>
  <c r="AX37" i="5"/>
  <c r="AX51" i="5"/>
  <c r="BB51" i="5"/>
  <c r="BA51" i="5"/>
  <c r="AY51" i="5"/>
  <c r="AZ51" i="5"/>
  <c r="AD30" i="5"/>
  <c r="Z30" i="5"/>
  <c r="AA30" i="5"/>
  <c r="AB30" i="5"/>
  <c r="AC30" i="5"/>
  <c r="BF45" i="5"/>
  <c r="BI45" i="5"/>
  <c r="BH45" i="5"/>
  <c r="BJ45" i="5"/>
  <c r="AO19" i="5"/>
  <c r="AL19" i="5"/>
  <c r="AM19" i="5"/>
  <c r="AN19" i="5"/>
  <c r="AP19" i="5"/>
  <c r="BI57" i="5"/>
  <c r="BG57" i="5"/>
  <c r="BF57" i="5"/>
  <c r="BH57" i="5"/>
  <c r="BJ57" i="5"/>
  <c r="AC41" i="5"/>
  <c r="BF54" i="5"/>
  <c r="BH54" i="5"/>
  <c r="BG54" i="5"/>
  <c r="BJ54" i="5"/>
  <c r="BI54" i="5"/>
  <c r="AO42" i="5"/>
  <c r="AP42" i="5"/>
  <c r="AM42" i="5"/>
  <c r="AL42" i="5"/>
  <c r="AN42" i="5"/>
  <c r="BJ29" i="5"/>
  <c r="BH29" i="5"/>
  <c r="BG29" i="5"/>
  <c r="BF29" i="5"/>
  <c r="BA59" i="5"/>
  <c r="AZ59" i="5"/>
  <c r="AX59" i="5"/>
  <c r="BB59" i="5"/>
  <c r="AY59" i="5"/>
  <c r="AC34" i="5"/>
  <c r="AD56" i="5"/>
  <c r="Z56" i="5"/>
  <c r="AA56" i="5"/>
  <c r="AC56" i="5"/>
  <c r="AB56" i="5"/>
  <c r="Q47" i="5"/>
  <c r="R47" i="5"/>
  <c r="O47" i="5"/>
  <c r="N47" i="5"/>
  <c r="P47" i="5"/>
  <c r="BG50" i="5"/>
  <c r="BJ50" i="5"/>
  <c r="BI50" i="5"/>
  <c r="BF50" i="5"/>
  <c r="BH50" i="5"/>
  <c r="BA40" i="5"/>
  <c r="R22" i="5"/>
  <c r="N22" i="5"/>
  <c r="P22" i="5"/>
  <c r="O22" i="5"/>
  <c r="Q22" i="5"/>
  <c r="P60" i="5"/>
  <c r="N60" i="5"/>
  <c r="O60" i="5"/>
  <c r="Q60" i="5"/>
  <c r="BB41" i="5"/>
  <c r="AZ41" i="5"/>
  <c r="AY41" i="5"/>
  <c r="BA41" i="5"/>
  <c r="AX41" i="5"/>
  <c r="BA46" i="5"/>
  <c r="AZ46" i="5"/>
  <c r="AX46" i="5"/>
  <c r="BB46" i="5"/>
  <c r="AY46" i="5"/>
  <c r="BI27" i="5"/>
  <c r="BI21" i="5"/>
  <c r="BF21" i="5"/>
  <c r="BH21" i="5"/>
  <c r="BJ21" i="5"/>
  <c r="BG21" i="5"/>
  <c r="BG41" i="5"/>
  <c r="AO21" i="5"/>
  <c r="AL21" i="5"/>
  <c r="AP21" i="5"/>
  <c r="AM21" i="5"/>
  <c r="AN21" i="5"/>
  <c r="P51" i="5"/>
  <c r="R51" i="5"/>
  <c r="Q51" i="5"/>
  <c r="O51" i="5"/>
  <c r="N51" i="5"/>
  <c r="BA36" i="5"/>
  <c r="R26" i="5"/>
  <c r="O26" i="5"/>
  <c r="N26" i="5"/>
  <c r="P26" i="5"/>
  <c r="Q26" i="5"/>
  <c r="BJ33" i="5"/>
  <c r="BF33" i="5"/>
  <c r="BI33" i="5"/>
  <c r="BH33" i="5"/>
  <c r="BI61" i="5"/>
  <c r="Z60" i="5"/>
  <c r="AB60" i="5"/>
  <c r="AC60" i="5"/>
  <c r="AA60" i="5"/>
  <c r="AM53" i="5"/>
  <c r="P21" i="5"/>
  <c r="O21" i="5"/>
  <c r="Q21" i="5"/>
  <c r="N21" i="5"/>
  <c r="R21" i="5"/>
  <c r="AZ44" i="5"/>
  <c r="Z52" i="5"/>
  <c r="AB52" i="5"/>
  <c r="AA52" i="5"/>
  <c r="AD52" i="5"/>
  <c r="AC52" i="5"/>
  <c r="AO55" i="5"/>
  <c r="BF35" i="5"/>
  <c r="BJ35" i="5"/>
  <c r="BI35" i="5"/>
  <c r="BH35" i="5"/>
  <c r="BG35" i="5"/>
  <c r="AN52" i="5"/>
  <c r="BH13" i="5"/>
  <c r="BI13" i="5"/>
  <c r="BF13" i="5"/>
  <c r="BG13" i="5"/>
  <c r="BJ13" i="5"/>
  <c r="O40" i="5"/>
  <c r="P40" i="5"/>
  <c r="Q40" i="5"/>
  <c r="R40" i="5"/>
  <c r="AN15" i="5"/>
  <c r="AM15" i="5"/>
  <c r="AO15" i="5"/>
  <c r="AP15" i="5"/>
  <c r="AL15" i="5"/>
  <c r="AX50" i="5"/>
  <c r="AY50" i="5"/>
  <c r="BA50" i="5"/>
  <c r="AZ50" i="5"/>
  <c r="BB50" i="5"/>
  <c r="AZ36" i="5"/>
  <c r="AX36" i="5"/>
  <c r="BB36" i="5"/>
  <c r="BH37" i="5"/>
  <c r="AX28" i="5"/>
  <c r="BA28" i="5"/>
  <c r="AZ28" i="5"/>
  <c r="AY28" i="5"/>
  <c r="AN54" i="5"/>
  <c r="AP54" i="5"/>
  <c r="AL54" i="5"/>
  <c r="AO54" i="5"/>
  <c r="AM54" i="5"/>
  <c r="P19" i="5"/>
  <c r="Q19" i="5"/>
  <c r="O19" i="5"/>
  <c r="R19" i="5"/>
  <c r="AO37" i="5"/>
  <c r="AL56" i="5"/>
  <c r="AN56" i="5"/>
  <c r="AO56" i="5"/>
  <c r="AM56" i="5"/>
  <c r="AO31" i="5"/>
  <c r="AX80" i="5"/>
  <c r="BB80" i="5"/>
  <c r="BA80" i="5"/>
  <c r="AA65" i="5"/>
  <c r="AC65" i="5"/>
  <c r="Z65" i="5"/>
  <c r="AD65" i="5"/>
  <c r="AB65" i="5"/>
  <c r="AY69" i="5"/>
  <c r="AX69" i="5"/>
  <c r="AZ69" i="5"/>
  <c r="BB69" i="5"/>
  <c r="BA69" i="5"/>
  <c r="Z94" i="5"/>
  <c r="AC94" i="5"/>
  <c r="AB94" i="5"/>
  <c r="AD94" i="5"/>
  <c r="AY106" i="5"/>
  <c r="BI88" i="5"/>
  <c r="BJ88" i="5"/>
  <c r="BF88" i="5"/>
  <c r="AA72" i="5"/>
  <c r="AZ107" i="5"/>
  <c r="AY107" i="5"/>
  <c r="BB107" i="5"/>
  <c r="AX107" i="5"/>
  <c r="AP82" i="5"/>
  <c r="AN82" i="5"/>
  <c r="AM82" i="5"/>
  <c r="AL82" i="5"/>
  <c r="AZ72" i="5"/>
  <c r="BB72" i="5"/>
  <c r="BA72" i="5"/>
  <c r="AX72" i="5"/>
  <c r="Z106" i="5"/>
  <c r="AC106" i="5"/>
  <c r="AD106" i="5"/>
  <c r="AB106" i="5"/>
  <c r="AY117" i="5"/>
  <c r="AM106" i="5"/>
  <c r="BJ72" i="5"/>
  <c r="BH72" i="5"/>
  <c r="BF72" i="5"/>
  <c r="BI72" i="5"/>
  <c r="BH67" i="5"/>
  <c r="BF67" i="5"/>
  <c r="BG67" i="5"/>
  <c r="BJ67" i="5"/>
  <c r="BI67" i="5"/>
  <c r="AL68" i="5"/>
  <c r="AO68" i="5"/>
  <c r="AP68" i="5"/>
  <c r="AC97" i="5"/>
  <c r="Z97" i="5"/>
  <c r="AD97" i="5"/>
  <c r="BI86" i="5"/>
  <c r="BH86" i="5"/>
  <c r="BF86" i="5"/>
  <c r="BJ86" i="5"/>
  <c r="BH85" i="5"/>
  <c r="AC95" i="5"/>
  <c r="AM68" i="5"/>
  <c r="P85" i="5"/>
  <c r="O85" i="5"/>
  <c r="Q85" i="5"/>
  <c r="R85" i="5"/>
  <c r="N85" i="5"/>
  <c r="AM79" i="5"/>
  <c r="AL79" i="5"/>
  <c r="AP79" i="5"/>
  <c r="BA105" i="5"/>
  <c r="AX105" i="5"/>
  <c r="BB105" i="5"/>
  <c r="R91" i="5"/>
  <c r="O91" i="5"/>
  <c r="Q91" i="5"/>
  <c r="N91" i="5"/>
  <c r="P91" i="5"/>
  <c r="AO111" i="5"/>
  <c r="AA84" i="5"/>
  <c r="AM93" i="5"/>
  <c r="BA101" i="5"/>
  <c r="BB101" i="5"/>
  <c r="AX101" i="5"/>
  <c r="Q111" i="5"/>
  <c r="R111" i="5"/>
  <c r="O111" i="5"/>
  <c r="P111" i="5"/>
  <c r="N111" i="5"/>
  <c r="BH108" i="5"/>
  <c r="BG108" i="5"/>
  <c r="BJ108" i="5"/>
  <c r="BI108" i="5"/>
  <c r="BF108" i="5"/>
  <c r="AN104" i="5"/>
  <c r="AM104" i="5"/>
  <c r="AP104" i="5"/>
  <c r="AL104" i="5"/>
  <c r="AO104" i="5"/>
  <c r="AN113" i="5"/>
  <c r="P105" i="5"/>
  <c r="Q105" i="5"/>
  <c r="N105" i="5"/>
  <c r="O105" i="5"/>
  <c r="R105" i="5"/>
  <c r="AM98" i="5"/>
  <c r="AA77" i="5"/>
  <c r="AB77" i="5"/>
  <c r="Z77" i="5"/>
  <c r="AC77" i="5"/>
  <c r="AD77" i="5"/>
  <c r="Q81" i="5"/>
  <c r="R81" i="5"/>
  <c r="O81" i="5"/>
  <c r="N81" i="5"/>
  <c r="P81" i="5"/>
  <c r="AP70" i="5"/>
  <c r="BH68" i="5"/>
  <c r="BI68" i="5"/>
  <c r="BF68" i="5"/>
  <c r="BJ68" i="5"/>
  <c r="O112" i="5"/>
  <c r="Q112" i="5"/>
  <c r="P112" i="5"/>
  <c r="N112" i="5"/>
  <c r="R112" i="5"/>
  <c r="AX81" i="5"/>
  <c r="BA81" i="5"/>
  <c r="AZ81" i="5"/>
  <c r="BI115" i="5"/>
  <c r="BI95" i="5"/>
  <c r="AN99" i="5"/>
  <c r="AP99" i="5"/>
  <c r="AM99" i="5"/>
  <c r="AL99" i="5"/>
  <c r="AD84" i="5"/>
  <c r="Z84" i="5"/>
  <c r="BA86" i="5"/>
  <c r="AZ86" i="5"/>
  <c r="BB86" i="5"/>
  <c r="AX86" i="5"/>
  <c r="AL106" i="5"/>
  <c r="AO106" i="5"/>
  <c r="AP106" i="5"/>
  <c r="AN106" i="5"/>
  <c r="AY85" i="5"/>
  <c r="BF94" i="5"/>
  <c r="BI94" i="5"/>
  <c r="BH94" i="5"/>
  <c r="BJ94" i="5"/>
  <c r="AX110" i="5"/>
  <c r="BA110" i="5"/>
  <c r="AZ110" i="5"/>
  <c r="BB110" i="5"/>
  <c r="BJ73" i="5"/>
  <c r="BI73" i="5"/>
  <c r="BH73" i="5"/>
  <c r="BF73" i="5"/>
  <c r="Q104" i="5"/>
  <c r="O104" i="5"/>
  <c r="P104" i="5"/>
  <c r="R104" i="5"/>
  <c r="N104" i="5"/>
  <c r="Q79" i="5"/>
  <c r="O79" i="5"/>
  <c r="P79" i="5"/>
  <c r="R79" i="5"/>
  <c r="N79" i="5"/>
  <c r="AN95" i="5"/>
  <c r="AL95" i="5"/>
  <c r="AM95" i="5"/>
  <c r="AP95" i="5"/>
  <c r="BH84" i="5"/>
  <c r="AO92" i="5"/>
  <c r="AC115" i="5"/>
  <c r="AB109" i="5"/>
  <c r="AN93" i="5"/>
  <c r="AN116" i="5"/>
  <c r="AM116" i="5"/>
  <c r="AP116" i="5"/>
  <c r="AO116" i="5"/>
  <c r="AL116" i="5"/>
  <c r="AL102" i="5"/>
  <c r="AO102" i="5"/>
  <c r="AP102" i="5"/>
  <c r="AN102" i="5"/>
  <c r="AB90" i="5"/>
  <c r="BI74" i="5"/>
  <c r="BA93" i="5"/>
  <c r="AX93" i="5"/>
  <c r="BB93" i="5"/>
  <c r="AA113" i="5"/>
  <c r="BI70" i="5"/>
  <c r="BJ70" i="5"/>
  <c r="BF70" i="5"/>
  <c r="BH70" i="5"/>
  <c r="Z88" i="5"/>
  <c r="AD88" i="5"/>
  <c r="AN117" i="5"/>
  <c r="AX66" i="5"/>
  <c r="AZ66" i="5"/>
  <c r="AY66" i="5"/>
  <c r="BH90" i="5"/>
  <c r="BF90" i="5"/>
  <c r="BJ90" i="5"/>
  <c r="BI90" i="5"/>
  <c r="BG90" i="5"/>
  <c r="BF66" i="5"/>
  <c r="BH66" i="5"/>
  <c r="BJ66" i="5"/>
  <c r="BG66" i="5"/>
  <c r="BI101" i="5"/>
  <c r="BF101" i="5"/>
  <c r="BH101" i="5"/>
  <c r="BJ101" i="5"/>
  <c r="BG73" i="5"/>
  <c r="AY73" i="5"/>
  <c r="BA73" i="5"/>
  <c r="BB73" i="5"/>
  <c r="AZ73" i="5"/>
  <c r="AX73" i="5"/>
  <c r="BH89" i="5"/>
  <c r="AB104" i="5"/>
  <c r="AA104" i="5"/>
  <c r="Z104" i="5"/>
  <c r="AD104" i="5"/>
  <c r="AC104" i="5"/>
  <c r="AC101" i="5"/>
  <c r="Z101" i="5"/>
  <c r="AD101" i="5"/>
  <c r="AX82" i="5"/>
  <c r="AY82" i="5"/>
  <c r="AZ82" i="5"/>
  <c r="AP65" i="5"/>
  <c r="AN65" i="5"/>
  <c r="AL65" i="5"/>
  <c r="AO65" i="5"/>
  <c r="AP80" i="5"/>
  <c r="AN80" i="5"/>
  <c r="AL80" i="5"/>
  <c r="AO80" i="5"/>
  <c r="R87" i="5"/>
  <c r="O87" i="5"/>
  <c r="P87" i="5"/>
  <c r="Q87" i="5"/>
  <c r="N87" i="5"/>
  <c r="AO95" i="5"/>
  <c r="AX63" i="5"/>
  <c r="BA63" i="5"/>
  <c r="AZ63" i="5"/>
  <c r="BB63" i="5"/>
  <c r="AB117" i="5"/>
  <c r="AX98" i="5"/>
  <c r="BA98" i="5"/>
  <c r="BB98" i="5"/>
  <c r="AZ98" i="5"/>
  <c r="BI71" i="5"/>
  <c r="BF71" i="5"/>
  <c r="BJ71" i="5"/>
  <c r="BG71" i="5"/>
  <c r="AA81" i="5"/>
  <c r="AC81" i="5"/>
  <c r="AD81" i="5"/>
  <c r="Z81" i="5"/>
  <c r="AB81" i="5"/>
  <c r="AY83" i="5"/>
  <c r="AX83" i="5"/>
  <c r="BB83" i="5"/>
  <c r="BA79" i="5"/>
  <c r="AX79" i="5"/>
  <c r="BB79" i="5"/>
  <c r="AY79" i="5"/>
  <c r="BG68" i="5"/>
  <c r="AL110" i="5"/>
  <c r="AO110" i="5"/>
  <c r="AN110" i="5"/>
  <c r="AP110" i="5"/>
  <c r="AM110" i="5"/>
  <c r="AN90" i="5"/>
  <c r="AP90" i="5"/>
  <c r="AL90" i="5"/>
  <c r="AM90" i="5"/>
  <c r="AO90" i="5"/>
  <c r="P84" i="5"/>
  <c r="O84" i="5"/>
  <c r="R84" i="5"/>
  <c r="N84" i="5"/>
  <c r="Q84" i="5"/>
  <c r="AN108" i="5"/>
  <c r="AM108" i="5"/>
  <c r="AP108" i="5"/>
  <c r="AO108" i="5"/>
  <c r="AL108" i="5"/>
  <c r="BF62" i="5"/>
  <c r="BH62" i="5"/>
  <c r="BJ62" i="5"/>
  <c r="BI62" i="5"/>
  <c r="BG62" i="5"/>
  <c r="AB71" i="5"/>
  <c r="AA76" i="5"/>
  <c r="AC76" i="5"/>
  <c r="AB76" i="5"/>
  <c r="Z76" i="5"/>
  <c r="AD76" i="5"/>
  <c r="AM73" i="5"/>
  <c r="AO73" i="5"/>
  <c r="AN73" i="5"/>
  <c r="AL73" i="5"/>
  <c r="AP73" i="5"/>
  <c r="BG114" i="5"/>
  <c r="O62" i="5"/>
  <c r="P62" i="5"/>
  <c r="N62" i="5"/>
  <c r="Q62" i="5"/>
  <c r="R62" i="5"/>
  <c r="AB88" i="5"/>
  <c r="BJ39" i="5"/>
  <c r="BG39" i="5"/>
  <c r="BI39" i="5"/>
  <c r="BF39" i="5"/>
  <c r="BH39" i="5"/>
  <c r="O18" i="5"/>
  <c r="R18" i="5"/>
  <c r="N18" i="5"/>
  <c r="P18" i="5"/>
  <c r="Q18" i="5"/>
  <c r="AA33" i="5"/>
  <c r="AB33" i="5"/>
  <c r="Z33" i="5"/>
  <c r="AD33" i="5"/>
  <c r="R38" i="5"/>
  <c r="O38" i="5"/>
  <c r="N38" i="5"/>
  <c r="P38" i="5"/>
  <c r="Q38" i="5"/>
  <c r="BF14" i="5"/>
  <c r="BJ14" i="5"/>
  <c r="BH14" i="5"/>
  <c r="BG14" i="5"/>
  <c r="BI14" i="5"/>
  <c r="AY21" i="5"/>
  <c r="BA21" i="5"/>
  <c r="AX21" i="5"/>
  <c r="AZ21" i="5"/>
  <c r="BB21" i="5"/>
  <c r="Z35" i="5"/>
  <c r="AD35" i="5"/>
  <c r="AC35" i="5"/>
  <c r="AB35" i="5"/>
  <c r="AA35" i="5"/>
  <c r="AD57" i="5"/>
  <c r="AB57" i="5"/>
  <c r="Z57" i="5"/>
  <c r="AC57" i="5"/>
  <c r="AA57" i="5"/>
  <c r="P41" i="5"/>
  <c r="O41" i="5"/>
  <c r="Q41" i="5"/>
  <c r="N41" i="5"/>
  <c r="R41" i="5"/>
  <c r="AL48" i="5"/>
  <c r="AP48" i="5"/>
  <c r="AM48" i="5"/>
  <c r="AO48" i="5"/>
  <c r="AC42" i="5"/>
  <c r="AA42" i="5"/>
  <c r="AB42" i="5"/>
  <c r="AD42" i="5"/>
  <c r="Z42" i="5"/>
  <c r="R29" i="5"/>
  <c r="O29" i="5"/>
  <c r="N29" i="5"/>
  <c r="P29" i="5"/>
  <c r="Q29" i="5"/>
  <c r="AD41" i="5"/>
  <c r="AB41" i="5"/>
  <c r="AA41" i="5"/>
  <c r="O17" i="5"/>
  <c r="Q17" i="5"/>
  <c r="P17" i="5"/>
  <c r="R17" i="5"/>
  <c r="N17" i="5"/>
  <c r="AC59" i="5"/>
  <c r="O53" i="5"/>
  <c r="N53" i="5"/>
  <c r="R53" i="5"/>
  <c r="P53" i="5"/>
  <c r="Q53" i="5"/>
  <c r="BJ26" i="5"/>
  <c r="BF26" i="5"/>
  <c r="BH26" i="5"/>
  <c r="BI26" i="5"/>
  <c r="AN16" i="5"/>
  <c r="BB56" i="5"/>
  <c r="BA56" i="5"/>
  <c r="AZ56" i="5"/>
  <c r="AX56" i="5"/>
  <c r="AY56" i="5"/>
  <c r="AD28" i="5"/>
  <c r="AY23" i="5"/>
  <c r="BA23" i="5"/>
  <c r="BB23" i="5"/>
  <c r="AX23" i="5"/>
  <c r="AZ23" i="5"/>
  <c r="AM114" i="5"/>
  <c r="AP33" i="5"/>
  <c r="AO33" i="5"/>
  <c r="AL33" i="5"/>
  <c r="AM33" i="5"/>
  <c r="AN33" i="5"/>
  <c r="BG52" i="5"/>
  <c r="AD14" i="5"/>
  <c r="AA14" i="5"/>
  <c r="AC14" i="5"/>
  <c r="AB14" i="5"/>
  <c r="Z14" i="5"/>
  <c r="AX52" i="5"/>
  <c r="BB52" i="5"/>
  <c r="BA52" i="5"/>
  <c r="AC21" i="5"/>
  <c r="Z21" i="5"/>
  <c r="AB21" i="5"/>
  <c r="AD21" i="5"/>
  <c r="AA21" i="5"/>
  <c r="AL16" i="5"/>
  <c r="AP16" i="5"/>
  <c r="AO16" i="5"/>
  <c r="AC24" i="5"/>
  <c r="Z24" i="5"/>
  <c r="AB24" i="5"/>
  <c r="AA24" i="5"/>
  <c r="BG45" i="5"/>
  <c r="AZ61" i="5"/>
  <c r="AY61" i="5"/>
  <c r="BA61" i="5"/>
  <c r="BB61" i="5"/>
  <c r="AX61" i="5"/>
  <c r="Z34" i="5"/>
  <c r="AB34" i="5"/>
  <c r="AA34" i="5"/>
  <c r="AY20" i="5"/>
  <c r="N39" i="5"/>
  <c r="Q39" i="5"/>
  <c r="R39" i="5"/>
  <c r="O39" i="5"/>
  <c r="P39" i="5"/>
  <c r="AN18" i="5"/>
  <c r="AL18" i="5"/>
  <c r="AP18" i="5"/>
  <c r="AO18" i="5"/>
  <c r="AM18" i="5"/>
  <c r="AO53" i="5"/>
  <c r="AN53" i="5"/>
  <c r="AL53" i="5"/>
  <c r="AP53" i="5"/>
  <c r="BB43" i="5"/>
  <c r="AZ43" i="5"/>
  <c r="AX43" i="5"/>
  <c r="BA43" i="5"/>
  <c r="Q15" i="5"/>
  <c r="P15" i="5"/>
  <c r="O15" i="5"/>
  <c r="BG25" i="5"/>
  <c r="BJ25" i="5"/>
  <c r="BF25" i="5"/>
  <c r="BH25" i="5"/>
  <c r="BG17" i="5"/>
  <c r="BG61" i="5"/>
  <c r="BJ61" i="5"/>
  <c r="BH61" i="5"/>
  <c r="BF61" i="5"/>
  <c r="AL50" i="5"/>
  <c r="AO50" i="5"/>
  <c r="AN50" i="5"/>
  <c r="AP50" i="5"/>
  <c r="AM50" i="5"/>
  <c r="AO61" i="5"/>
  <c r="AP61" i="5"/>
  <c r="AN61" i="5"/>
  <c r="AL61" i="5"/>
  <c r="AM61" i="5"/>
  <c r="AA25" i="5"/>
  <c r="Z25" i="5"/>
  <c r="AD25" i="5"/>
  <c r="AB25" i="5"/>
  <c r="AN55" i="5"/>
  <c r="AL55" i="5"/>
  <c r="AM55" i="5"/>
  <c r="AP55" i="5"/>
  <c r="O25" i="5"/>
  <c r="AY52" i="5"/>
  <c r="Q52" i="5"/>
  <c r="O52" i="5"/>
  <c r="N52" i="5"/>
  <c r="P52" i="5"/>
  <c r="R52" i="5"/>
  <c r="AZ16" i="5"/>
  <c r="AZ60" i="5"/>
  <c r="AX60" i="5"/>
  <c r="BA60" i="5"/>
  <c r="AY60" i="5"/>
  <c r="AX48" i="5"/>
  <c r="AZ48" i="5"/>
  <c r="BB48" i="5"/>
  <c r="AY48" i="5"/>
  <c r="BA48" i="5"/>
  <c r="AC36" i="5"/>
  <c r="AY55" i="5"/>
  <c r="AZ55" i="5"/>
  <c r="AX55" i="5"/>
  <c r="BB55" i="5"/>
  <c r="P32" i="5"/>
  <c r="N32" i="5"/>
  <c r="O32" i="5"/>
  <c r="Q32" i="5"/>
  <c r="R32" i="5"/>
  <c r="AL51" i="5"/>
  <c r="AP51" i="5"/>
  <c r="AO51" i="5"/>
  <c r="AM51" i="5"/>
  <c r="AN51" i="5"/>
  <c r="AA38" i="5"/>
  <c r="AC38" i="5"/>
  <c r="AD38" i="5"/>
  <c r="Z38" i="5"/>
  <c r="BI23" i="5"/>
  <c r="AY31" i="5"/>
  <c r="BA31" i="5"/>
  <c r="AX31" i="5"/>
  <c r="BB31" i="5"/>
  <c r="AZ31" i="5"/>
  <c r="BJ28" i="5"/>
  <c r="BF28" i="5"/>
  <c r="BG28" i="5"/>
  <c r="BH28" i="5"/>
  <c r="BI28" i="5"/>
  <c r="BJ48" i="5"/>
  <c r="BF48" i="5"/>
  <c r="BH48" i="5"/>
  <c r="BI48" i="5"/>
  <c r="BB32" i="5"/>
  <c r="AX32" i="5"/>
  <c r="AZ32" i="5"/>
  <c r="AY32" i="5"/>
  <c r="BA32" i="5"/>
  <c r="AD54" i="5"/>
  <c r="AM37" i="5"/>
  <c r="AL37" i="5"/>
  <c r="AP37" i="5"/>
  <c r="AN37" i="5"/>
  <c r="BB58" i="5"/>
  <c r="AZ58" i="5"/>
  <c r="AX58" i="5"/>
  <c r="BA58" i="5"/>
  <c r="AY58" i="5"/>
  <c r="BI42" i="5"/>
  <c r="BF42" i="5"/>
  <c r="BH42" i="5"/>
  <c r="BG42" i="5"/>
  <c r="BJ42" i="5"/>
  <c r="R59" i="5"/>
  <c r="O59" i="5"/>
  <c r="P59" i="5"/>
  <c r="N59" i="5"/>
  <c r="Q59" i="5"/>
  <c r="BI59" i="5"/>
  <c r="BG59" i="5"/>
  <c r="BH59" i="5"/>
  <c r="BJ59" i="5"/>
  <c r="BF59" i="5"/>
  <c r="AC29" i="5"/>
  <c r="Z29" i="5"/>
  <c r="AD29" i="5"/>
  <c r="AA29" i="5"/>
  <c r="AB29" i="5"/>
  <c r="P48" i="5"/>
  <c r="O48" i="5"/>
  <c r="Q48" i="5"/>
  <c r="R48" i="5"/>
  <c r="N48" i="5"/>
  <c r="AL22" i="5"/>
  <c r="AP22" i="5"/>
  <c r="AO22" i="5"/>
  <c r="AN22" i="5"/>
  <c r="AM22" i="5"/>
  <c r="BI16" i="5"/>
  <c r="BJ16" i="5"/>
  <c r="BF16" i="5"/>
  <c r="BH16" i="5"/>
  <c r="AX44" i="5"/>
  <c r="BB44" i="5"/>
  <c r="BA44" i="5"/>
  <c r="R34" i="5"/>
  <c r="P34" i="5"/>
  <c r="O34" i="5"/>
  <c r="Q34" i="5"/>
  <c r="Z72" i="5"/>
  <c r="AD72" i="5"/>
  <c r="AC72" i="5"/>
  <c r="AO75" i="5"/>
  <c r="BB62" i="5"/>
  <c r="AX62" i="5"/>
  <c r="AY62" i="5"/>
  <c r="BA62" i="5"/>
  <c r="AZ62" i="5"/>
  <c r="R101" i="5"/>
  <c r="O101" i="5"/>
  <c r="Q101" i="5"/>
  <c r="N101" i="5"/>
  <c r="P101" i="5"/>
  <c r="AY101" i="5"/>
  <c r="BI109" i="5"/>
  <c r="BF109" i="5"/>
  <c r="BJ109" i="5"/>
  <c r="BH109" i="5"/>
  <c r="BH81" i="5"/>
  <c r="BG81" i="5"/>
  <c r="BF81" i="5"/>
  <c r="BJ81" i="5"/>
  <c r="BI81" i="5"/>
  <c r="AM62" i="5"/>
  <c r="AN62" i="5"/>
  <c r="AL62" i="5"/>
  <c r="AO62" i="5"/>
  <c r="AP62" i="5"/>
  <c r="AC109" i="5"/>
  <c r="AD109" i="5"/>
  <c r="Z109" i="5"/>
  <c r="BA71" i="5"/>
  <c r="AY76" i="5"/>
  <c r="AB112" i="5"/>
  <c r="AA112" i="5"/>
  <c r="Z112" i="5"/>
  <c r="AC112" i="5"/>
  <c r="AD112" i="5"/>
  <c r="AZ89" i="5"/>
  <c r="AY89" i="5"/>
  <c r="AX89" i="5"/>
  <c r="BA89" i="5"/>
  <c r="BB89" i="5"/>
  <c r="AL94" i="5"/>
  <c r="AO94" i="5"/>
  <c r="AN94" i="5"/>
  <c r="AP94" i="5"/>
  <c r="BI75" i="5"/>
  <c r="O102" i="5"/>
  <c r="R102" i="5"/>
  <c r="N102" i="5"/>
  <c r="Q102" i="5"/>
  <c r="P102" i="5"/>
  <c r="AB80" i="5"/>
  <c r="AD80" i="5"/>
  <c r="Z80" i="5"/>
  <c r="AC80" i="5"/>
  <c r="BH88" i="5"/>
  <c r="AX106" i="5"/>
  <c r="BA106" i="5"/>
  <c r="AZ106" i="5"/>
  <c r="BB106" i="5"/>
  <c r="BH83" i="5"/>
  <c r="BG83" i="5"/>
  <c r="BI83" i="5"/>
  <c r="BF83" i="5"/>
  <c r="BJ83" i="5"/>
  <c r="Z92" i="5"/>
  <c r="AN85" i="5"/>
  <c r="BA103" i="5"/>
  <c r="BG113" i="5"/>
  <c r="N89" i="5"/>
  <c r="R89" i="5"/>
  <c r="O89" i="5"/>
  <c r="P89" i="5"/>
  <c r="Q89" i="5"/>
  <c r="AO117" i="5"/>
  <c r="AL117" i="5"/>
  <c r="AP117" i="5"/>
  <c r="AM69" i="5"/>
  <c r="AO109" i="5"/>
  <c r="AL109" i="5"/>
  <c r="AP109" i="5"/>
  <c r="AZ105" i="5"/>
  <c r="AA90" i="5"/>
  <c r="AC90" i="5"/>
  <c r="Z90" i="5"/>
  <c r="AD90" i="5"/>
  <c r="AB115" i="5"/>
  <c r="Z115" i="5"/>
  <c r="AD115" i="5"/>
  <c r="AA115" i="5"/>
  <c r="AO97" i="5"/>
  <c r="AP97" i="5"/>
  <c r="AL97" i="5"/>
  <c r="AC117" i="5"/>
  <c r="Z117" i="5"/>
  <c r="AD117" i="5"/>
  <c r="AO70" i="5"/>
  <c r="AZ99" i="5"/>
  <c r="AY99" i="5"/>
  <c r="AX99" i="5"/>
  <c r="BB99" i="5"/>
  <c r="AB116" i="5"/>
  <c r="AA116" i="5"/>
  <c r="Z116" i="5"/>
  <c r="AD116" i="5"/>
  <c r="AC116" i="5"/>
  <c r="AZ117" i="5"/>
  <c r="AN100" i="5"/>
  <c r="AM100" i="5"/>
  <c r="AP100" i="5"/>
  <c r="AO100" i="5"/>
  <c r="AL100" i="5"/>
  <c r="AL92" i="5"/>
  <c r="AN92" i="5"/>
  <c r="AM92" i="5"/>
  <c r="BH95" i="5"/>
  <c r="BF95" i="5"/>
  <c r="BG95" i="5"/>
  <c r="BJ95" i="5"/>
  <c r="AC113" i="5"/>
  <c r="AD113" i="5"/>
  <c r="Z113" i="5"/>
  <c r="AL75" i="5"/>
  <c r="AM75" i="5"/>
  <c r="AP75" i="5"/>
  <c r="P107" i="5"/>
  <c r="R107" i="5"/>
  <c r="O107" i="5"/>
  <c r="Q107" i="5"/>
  <c r="N107" i="5"/>
  <c r="AB95" i="5"/>
  <c r="AD95" i="5"/>
  <c r="Z95" i="5"/>
  <c r="AA95" i="5"/>
  <c r="AC86" i="5"/>
  <c r="AB86" i="5"/>
  <c r="AD86" i="5"/>
  <c r="Z86" i="5"/>
  <c r="BH103" i="5"/>
  <c r="BJ103" i="5"/>
  <c r="BG103" i="5"/>
  <c r="BF103" i="5"/>
  <c r="BH111" i="5"/>
  <c r="BF111" i="5"/>
  <c r="BG111" i="5"/>
  <c r="BJ111" i="5"/>
  <c r="AZ71" i="5"/>
  <c r="AN112" i="5"/>
  <c r="AM112" i="5"/>
  <c r="AO112" i="5"/>
  <c r="AP112" i="5"/>
  <c r="AL112" i="5"/>
  <c r="AZ93" i="5"/>
  <c r="AM113" i="5"/>
  <c r="AZ84" i="5"/>
  <c r="BG89" i="5"/>
  <c r="BI89" i="5"/>
  <c r="BF89" i="5"/>
  <c r="BJ89" i="5"/>
  <c r="AM84" i="5"/>
  <c r="AO88" i="5"/>
  <c r="AB113" i="5"/>
  <c r="AY109" i="5"/>
  <c r="BF82" i="5"/>
  <c r="BH82" i="5"/>
  <c r="BJ82" i="5"/>
  <c r="BG82" i="5"/>
  <c r="AB72" i="5"/>
  <c r="R93" i="5"/>
  <c r="Q93" i="5"/>
  <c r="N93" i="5"/>
  <c r="P93" i="5"/>
  <c r="O93" i="5"/>
  <c r="AA117" i="5"/>
  <c r="P63" i="5"/>
  <c r="N63" i="5"/>
  <c r="O63" i="5"/>
  <c r="Q63" i="5"/>
  <c r="R63" i="5"/>
  <c r="BA109" i="5"/>
  <c r="BB109" i="5"/>
  <c r="AX109" i="5"/>
  <c r="O98" i="5"/>
  <c r="R98" i="5"/>
  <c r="Q98" i="5"/>
  <c r="N98" i="5"/>
  <c r="P98" i="5"/>
  <c r="BH71" i="5"/>
  <c r="AA88" i="5"/>
  <c r="BG70" i="5"/>
  <c r="AL88" i="5"/>
  <c r="AP88" i="5"/>
  <c r="AN88" i="5"/>
  <c r="BF64" i="5"/>
  <c r="BG64" i="5"/>
  <c r="BH64" i="5"/>
  <c r="BJ64" i="5"/>
  <c r="BA83" i="5"/>
  <c r="N72" i="5"/>
  <c r="P72" i="5"/>
  <c r="Q72" i="5"/>
  <c r="R72" i="5"/>
  <c r="O72" i="5"/>
  <c r="AB62" i="5"/>
  <c r="AA62" i="5"/>
  <c r="Z62" i="5"/>
  <c r="AD62" i="5"/>
  <c r="AC62" i="5"/>
  <c r="N115" i="5"/>
  <c r="P115" i="5"/>
  <c r="R115" i="5"/>
  <c r="Q115" i="5"/>
  <c r="O115" i="5"/>
  <c r="AN79" i="5"/>
  <c r="AX102" i="5"/>
  <c r="BA102" i="5"/>
  <c r="AZ102" i="5"/>
  <c r="BB102" i="5"/>
  <c r="R99" i="5"/>
  <c r="P99" i="5"/>
  <c r="N99" i="5"/>
  <c r="O99" i="5"/>
  <c r="Q99" i="5"/>
  <c r="AZ70" i="5"/>
  <c r="AX70" i="5"/>
  <c r="AY70" i="5"/>
  <c r="AO103" i="5"/>
  <c r="BJ76" i="5"/>
  <c r="BH76" i="5"/>
  <c r="BF76" i="5"/>
  <c r="BI76" i="5"/>
  <c r="BH115" i="5"/>
  <c r="BJ115" i="5"/>
  <c r="BF115" i="5"/>
  <c r="BG115" i="5"/>
  <c r="AM72" i="5"/>
  <c r="AO72" i="5"/>
  <c r="AP72" i="5"/>
  <c r="AN72" i="5"/>
  <c r="AL72" i="5"/>
  <c r="Z85" i="5"/>
  <c r="AC85" i="5"/>
  <c r="AD85" i="5"/>
  <c r="AM109" i="5"/>
  <c r="AB93" i="5"/>
  <c r="Q74" i="5"/>
  <c r="N74" i="5"/>
  <c r="R74" i="5"/>
  <c r="O74" i="5"/>
  <c r="P74" i="5"/>
  <c r="AY65" i="5"/>
  <c r="AA109" i="5"/>
  <c r="O114" i="5"/>
  <c r="P114" i="5"/>
  <c r="R114" i="5"/>
  <c r="Q114" i="5"/>
  <c r="N114" i="5"/>
  <c r="AN103" i="5"/>
  <c r="AM103" i="5"/>
  <c r="AP103" i="5"/>
  <c r="AL103" i="5"/>
  <c r="BG94" i="5"/>
  <c r="P109" i="5"/>
  <c r="N109" i="5"/>
  <c r="O109" i="5"/>
  <c r="R109" i="5"/>
  <c r="Q109" i="5"/>
  <c r="AZ112" i="5"/>
  <c r="AY112" i="5"/>
  <c r="AX112" i="5"/>
  <c r="BB112" i="5"/>
  <c r="BA112" i="5"/>
  <c r="BB76" i="5"/>
  <c r="AZ76" i="5"/>
  <c r="BA76" i="5"/>
  <c r="AX76" i="5"/>
  <c r="BI82" i="5"/>
  <c r="BJ75" i="5"/>
  <c r="BG75" i="5"/>
  <c r="BF75" i="5"/>
  <c r="AB108" i="5"/>
  <c r="AA108" i="5"/>
  <c r="Z108" i="5"/>
  <c r="AC108" i="5"/>
  <c r="AD108" i="5"/>
  <c r="BJ63" i="5"/>
  <c r="BH63" i="5"/>
  <c r="BG63" i="5"/>
  <c r="BF63" i="5"/>
  <c r="BI63" i="5"/>
  <c r="AC71" i="5"/>
  <c r="AM88" i="5"/>
  <c r="AO78" i="5"/>
  <c r="AN78" i="5"/>
  <c r="AL78" i="5"/>
  <c r="AM78" i="5"/>
  <c r="AP78" i="5"/>
  <c r="AM63" i="5"/>
  <c r="AN63" i="5"/>
  <c r="AL63" i="5"/>
  <c r="AO63" i="5"/>
  <c r="AC82" i="5"/>
  <c r="AA82" i="5"/>
  <c r="AB82" i="5"/>
  <c r="Z82" i="5"/>
  <c r="AD82" i="5"/>
  <c r="AB103" i="5"/>
  <c r="Z103" i="5"/>
  <c r="AD103" i="5"/>
  <c r="AA103" i="5"/>
  <c r="O73" i="5"/>
  <c r="N73" i="5"/>
  <c r="R73" i="5"/>
  <c r="Q73" i="5"/>
  <c r="P73" i="5"/>
  <c r="AX85" i="5"/>
  <c r="BA85" i="5"/>
  <c r="BB85" i="5"/>
  <c r="AZ116" i="5"/>
  <c r="AY116" i="5"/>
  <c r="AX116" i="5"/>
  <c r="BA116" i="5"/>
  <c r="BB116" i="5"/>
  <c r="BI117" i="5"/>
  <c r="BF117" i="5"/>
  <c r="BJ117" i="5"/>
  <c r="BH117" i="5"/>
  <c r="BH100" i="5"/>
  <c r="BG100" i="5"/>
  <c r="BJ100" i="5"/>
  <c r="BI100" i="5"/>
  <c r="BF100" i="5"/>
  <c r="AP69" i="5"/>
  <c r="AY110" i="5"/>
  <c r="AB68" i="5"/>
  <c r="AD68" i="5"/>
  <c r="AC68" i="5"/>
  <c r="Z68" i="5"/>
  <c r="AD78" i="5"/>
  <c r="Z67" i="5"/>
  <c r="AD67" i="5"/>
  <c r="AA67" i="5"/>
  <c r="AA85" i="5"/>
  <c r="Q76" i="5"/>
  <c r="P76" i="5"/>
  <c r="N76" i="5"/>
  <c r="O76" i="5"/>
  <c r="R76" i="5"/>
  <c r="BJ91" i="5"/>
  <c r="BF91" i="5"/>
  <c r="BI91" i="5"/>
  <c r="BH91" i="5"/>
  <c r="AL98" i="5"/>
  <c r="AO98" i="5"/>
  <c r="AP98" i="5"/>
  <c r="AN98" i="5"/>
  <c r="AO86" i="5"/>
  <c r="AN86" i="5"/>
  <c r="AL86" i="5"/>
  <c r="AP86" i="5"/>
  <c r="AB67" i="5"/>
  <c r="BH65" i="5"/>
  <c r="BG65" i="5"/>
  <c r="BF65" i="5"/>
  <c r="BJ65" i="5"/>
  <c r="BI65" i="5"/>
  <c r="BB22" i="5"/>
  <c r="AY22" i="5"/>
  <c r="BA22" i="5"/>
  <c r="AZ22" i="5"/>
  <c r="AX22" i="5"/>
  <c r="BJ43" i="5"/>
  <c r="BH43" i="5"/>
  <c r="BG43" i="5"/>
  <c r="BF43" i="5"/>
  <c r="BI43" i="5"/>
  <c r="AC46" i="5"/>
  <c r="AB46" i="5"/>
  <c r="AA46" i="5"/>
  <c r="AD46" i="5"/>
  <c r="Z46" i="5"/>
  <c r="Z17" i="5"/>
  <c r="AA17" i="5"/>
  <c r="AB17" i="5"/>
  <c r="AD17" i="5"/>
  <c r="N27" i="5"/>
  <c r="Q27" i="5"/>
  <c r="R27" i="5"/>
  <c r="AC49" i="5"/>
  <c r="AA49" i="5"/>
  <c r="AB49" i="5"/>
  <c r="Z49" i="5"/>
  <c r="AD49" i="5"/>
  <c r="R24" i="5"/>
  <c r="Q24" i="5"/>
  <c r="O24" i="5"/>
  <c r="P24" i="5"/>
  <c r="N24" i="5"/>
  <c r="AP44" i="5"/>
  <c r="AL44" i="5"/>
  <c r="AO44" i="5"/>
  <c r="BJ23" i="5"/>
  <c r="BG23" i="5"/>
  <c r="BH23" i="5"/>
  <c r="BF23" i="5"/>
  <c r="BA24" i="5"/>
  <c r="AX24" i="5"/>
  <c r="AZ24" i="5"/>
  <c r="AY24" i="5"/>
  <c r="BA57" i="5"/>
  <c r="AX57" i="5"/>
  <c r="AZ57" i="5"/>
  <c r="AY57" i="5"/>
  <c r="BB57" i="5"/>
  <c r="BG32" i="5"/>
  <c r="BI20" i="5"/>
  <c r="BF20" i="5"/>
  <c r="BJ20" i="5"/>
  <c r="BH20" i="5"/>
  <c r="AL24" i="5"/>
  <c r="P27" i="5"/>
  <c r="O27" i="5"/>
  <c r="AB38" i="5"/>
  <c r="BF55" i="5"/>
  <c r="BJ55" i="5"/>
  <c r="BH55" i="5"/>
  <c r="BG55" i="5"/>
  <c r="AC55" i="5"/>
  <c r="Z55" i="5"/>
  <c r="AD55" i="5"/>
  <c r="AB55" i="5"/>
  <c r="AA55" i="5"/>
  <c r="AP60" i="5"/>
  <c r="AM60" i="5"/>
  <c r="AN60" i="5"/>
  <c r="AO60" i="5"/>
  <c r="AL60" i="5"/>
  <c r="AO24" i="5"/>
  <c r="AP24" i="5"/>
  <c r="AN24" i="5"/>
  <c r="AM24" i="5"/>
  <c r="BI37" i="5"/>
  <c r="BJ37" i="5"/>
  <c r="BF37" i="5"/>
  <c r="BG37" i="5"/>
  <c r="AL59" i="5"/>
  <c r="AP59" i="5"/>
  <c r="AM59" i="5"/>
  <c r="AN59" i="5"/>
  <c r="AO59" i="5"/>
  <c r="R15" i="5"/>
  <c r="N15" i="5"/>
  <c r="AA48" i="5"/>
  <c r="AY38" i="5"/>
  <c r="BB38" i="5"/>
  <c r="AZ38" i="5"/>
  <c r="AX38" i="5"/>
  <c r="BA38" i="5"/>
  <c r="Z45" i="5"/>
  <c r="AC45" i="5"/>
  <c r="AB45" i="5"/>
  <c r="AD45" i="5"/>
  <c r="AA45" i="5"/>
  <c r="AD22" i="5"/>
  <c r="AA22" i="5"/>
  <c r="Z22" i="5"/>
  <c r="AC22" i="5"/>
  <c r="AB22" i="5"/>
  <c r="BF51" i="5"/>
  <c r="BJ51" i="5"/>
  <c r="BG51" i="5"/>
  <c r="BI51" i="5"/>
  <c r="BH51" i="5"/>
  <c r="AL36" i="5"/>
  <c r="AN36" i="5"/>
  <c r="AP36" i="5"/>
  <c r="AM36" i="5"/>
  <c r="AC19" i="5"/>
  <c r="AB19" i="5"/>
  <c r="Z19" i="5"/>
  <c r="AD19" i="5"/>
  <c r="AA19" i="5"/>
  <c r="AL40" i="5"/>
  <c r="AP40" i="5"/>
  <c r="AO40" i="5"/>
  <c r="AM40" i="5"/>
  <c r="AN40" i="5"/>
  <c r="Q13" i="5"/>
  <c r="P13" i="5"/>
  <c r="O13" i="5"/>
  <c r="N13" i="5"/>
  <c r="L122" i="5"/>
  <c r="BA35" i="5"/>
  <c r="AX35" i="5"/>
  <c r="AZ35" i="5"/>
  <c r="AY35" i="5"/>
  <c r="BB35" i="5"/>
  <c r="BB13" i="5"/>
  <c r="AX13" i="5"/>
  <c r="AY13" i="5"/>
  <c r="AZ13" i="5"/>
  <c r="BA13" i="5"/>
  <c r="AD24" i="5"/>
  <c r="Z40" i="5"/>
  <c r="AD40" i="5"/>
  <c r="AB40" i="5"/>
  <c r="AA40" i="5"/>
  <c r="AD48" i="5"/>
  <c r="Z48" i="5"/>
  <c r="AC48" i="5"/>
  <c r="BI24" i="5"/>
  <c r="BH24" i="5"/>
  <c r="BJ24" i="5"/>
  <c r="BF24" i="5"/>
  <c r="BA33" i="5"/>
  <c r="BB33" i="5"/>
  <c r="AZ33" i="5"/>
  <c r="AY33" i="5"/>
  <c r="AX33" i="5"/>
  <c r="AP58" i="5"/>
  <c r="BA17" i="5"/>
  <c r="R13" i="5"/>
  <c r="Z16" i="5"/>
  <c r="AD16" i="5"/>
  <c r="AA16" i="5"/>
  <c r="AC16" i="5"/>
  <c r="O45" i="5"/>
  <c r="Q45" i="5"/>
  <c r="P45" i="5"/>
  <c r="N45" i="5"/>
  <c r="R45" i="5"/>
  <c r="AC20" i="5"/>
  <c r="Z20" i="5"/>
  <c r="AD20" i="5"/>
  <c r="AA20" i="5"/>
  <c r="P35" i="5"/>
  <c r="O35" i="5"/>
  <c r="R35" i="5"/>
  <c r="Q35" i="5"/>
  <c r="N35" i="5"/>
  <c r="AY47" i="5"/>
  <c r="BB47" i="5"/>
  <c r="AZ47" i="5"/>
  <c r="AX47" i="5"/>
  <c r="BA47" i="5"/>
  <c r="BI41" i="5"/>
  <c r="BF41" i="5"/>
  <c r="BJ41" i="5"/>
  <c r="BH41" i="5"/>
  <c r="AL41" i="5"/>
  <c r="AN41" i="5"/>
  <c r="AP41" i="5"/>
  <c r="AM41" i="5"/>
  <c r="AO41" i="5"/>
  <c r="BB30" i="5"/>
  <c r="BA30" i="5"/>
  <c r="AZ30" i="5"/>
  <c r="AX30" i="5"/>
  <c r="AY30" i="5"/>
  <c r="AY36" i="5"/>
  <c r="AA43" i="5"/>
  <c r="AD43" i="5"/>
  <c r="AB43" i="5"/>
  <c r="Z43" i="5"/>
  <c r="AC43" i="5"/>
  <c r="BA37" i="5"/>
  <c r="AZ14" i="5"/>
  <c r="AX14" i="5"/>
  <c r="AY14" i="5"/>
  <c r="BB14" i="5"/>
  <c r="BA14" i="5"/>
  <c r="BF44" i="5"/>
  <c r="BH44" i="5"/>
  <c r="BJ44" i="5"/>
  <c r="BI44" i="5"/>
  <c r="Z54" i="5"/>
  <c r="AA54" i="5"/>
  <c r="AC54" i="5"/>
  <c r="AB54" i="5"/>
  <c r="AD34" i="5"/>
  <c r="AA36" i="5"/>
  <c r="BA19" i="5"/>
  <c r="AY19" i="5"/>
  <c r="AX19" i="5"/>
  <c r="BB19" i="5"/>
  <c r="AZ19" i="5"/>
  <c r="AZ52" i="5"/>
  <c r="AD58" i="5"/>
  <c r="AC58" i="5"/>
  <c r="AA58" i="5"/>
  <c r="AB58" i="5"/>
  <c r="Z58" i="5"/>
  <c r="AO36" i="5"/>
  <c r="AO29" i="5"/>
  <c r="AM29" i="5"/>
  <c r="AP29" i="5"/>
  <c r="AN29" i="5"/>
  <c r="AL29" i="5"/>
  <c r="AM31" i="5"/>
  <c r="AP31" i="5"/>
  <c r="AN31" i="5"/>
  <c r="AL31" i="5"/>
  <c r="AY27" i="5"/>
  <c r="AX27" i="5"/>
  <c r="BA27" i="5"/>
  <c r="AZ27" i="5"/>
  <c r="BB27" i="5"/>
  <c r="AD32" i="5"/>
  <c r="AB32" i="5"/>
  <c r="Z32" i="5"/>
  <c r="AC32" i="5"/>
  <c r="AA32" i="5"/>
  <c r="AY29" i="5"/>
  <c r="AX29" i="5"/>
  <c r="BB29" i="5"/>
  <c r="AZ29" i="5"/>
  <c r="AY43" i="5"/>
  <c r="O57" i="5"/>
  <c r="R57" i="5"/>
  <c r="N57" i="5"/>
  <c r="P57" i="5"/>
  <c r="AB16" i="5"/>
  <c r="Z37" i="5"/>
  <c r="AA37" i="5"/>
  <c r="AD37" i="5"/>
  <c r="AB37" i="5"/>
  <c r="BJ60" i="5"/>
  <c r="BI60" i="5"/>
  <c r="BH60" i="5"/>
  <c r="BG60" i="5"/>
  <c r="BF60" i="5"/>
  <c r="AA39" i="5"/>
  <c r="AC39" i="5"/>
  <c r="AD39" i="5"/>
  <c r="AB39" i="5"/>
  <c r="Z39" i="5"/>
  <c r="Z23" i="5"/>
  <c r="AD23" i="5"/>
  <c r="AC23" i="5"/>
  <c r="AA23" i="5"/>
  <c r="AB23" i="5"/>
  <c r="AM43" i="5"/>
  <c r="AP43" i="5"/>
  <c r="AN43" i="5"/>
  <c r="AL43" i="5"/>
  <c r="AO43" i="5"/>
  <c r="BJ15" i="5"/>
  <c r="BH15" i="5"/>
  <c r="BG15" i="5"/>
  <c r="BF15" i="5"/>
  <c r="BI15" i="5"/>
  <c r="AY44" i="5"/>
  <c r="AP28" i="5"/>
  <c r="AL28" i="5"/>
  <c r="AN28" i="5"/>
  <c r="AO28" i="5"/>
  <c r="AM28" i="5"/>
  <c r="Q37" i="5"/>
  <c r="P37" i="5"/>
  <c r="R37" i="5"/>
  <c r="O37" i="5"/>
  <c r="N37" i="5"/>
  <c r="N14" i="5"/>
  <c r="O14" i="5"/>
  <c r="Q14" i="5"/>
  <c r="P14" i="5"/>
  <c r="R14" i="5"/>
  <c r="AZ53" i="5"/>
  <c r="BA53" i="5"/>
  <c r="AY53" i="5"/>
  <c r="BB53" i="5"/>
  <c r="AX53" i="5"/>
  <c r="P20" i="5"/>
  <c r="O20" i="5"/>
  <c r="R20" i="5"/>
  <c r="Q20" i="5"/>
  <c r="BA15" i="5"/>
  <c r="AZ15" i="5"/>
  <c r="AX15" i="5"/>
  <c r="BB15" i="5"/>
  <c r="AY15" i="5"/>
  <c r="AL89" i="5"/>
  <c r="AO89" i="5"/>
  <c r="AP89" i="5"/>
  <c r="AM89" i="5"/>
  <c r="AN89" i="5"/>
  <c r="O117" i="5"/>
  <c r="Q117" i="5"/>
  <c r="N117" i="5"/>
  <c r="R117" i="5"/>
  <c r="P117" i="5"/>
  <c r="AL70" i="5"/>
  <c r="AM70" i="5"/>
  <c r="AN70" i="5"/>
  <c r="AC64" i="5"/>
  <c r="AD64" i="5"/>
  <c r="AA64" i="5"/>
  <c r="AB64" i="5"/>
  <c r="Z64" i="5"/>
  <c r="BB77" i="5"/>
  <c r="AZ77" i="5"/>
  <c r="AX77" i="5"/>
  <c r="BA77" i="5"/>
  <c r="AN111" i="5"/>
  <c r="AL111" i="5"/>
  <c r="AM111" i="5"/>
  <c r="AP111" i="5"/>
  <c r="BA74" i="5"/>
  <c r="AZ74" i="5"/>
  <c r="AY74" i="5"/>
  <c r="AX74" i="5"/>
  <c r="BB74" i="5"/>
  <c r="AN105" i="5"/>
  <c r="AD92" i="5"/>
  <c r="AC92" i="5"/>
  <c r="AA92" i="5"/>
  <c r="AB92" i="5"/>
  <c r="AB100" i="5"/>
  <c r="AA100" i="5"/>
  <c r="Z100" i="5"/>
  <c r="AD100" i="5"/>
  <c r="AC100" i="5"/>
  <c r="AY68" i="5"/>
  <c r="AX68" i="5"/>
  <c r="BA68" i="5"/>
  <c r="BB68" i="5"/>
  <c r="AZ68" i="5"/>
  <c r="BG88" i="5"/>
  <c r="O95" i="5"/>
  <c r="N95" i="5"/>
  <c r="R95" i="5"/>
  <c r="Q95" i="5"/>
  <c r="P95" i="5"/>
  <c r="AM65" i="5"/>
  <c r="AO113" i="5"/>
  <c r="AL113" i="5"/>
  <c r="AP113" i="5"/>
  <c r="AO82" i="5"/>
  <c r="AY71" i="5"/>
  <c r="AX71" i="5"/>
  <c r="BB71" i="5"/>
  <c r="BF102" i="5"/>
  <c r="BI102" i="5"/>
  <c r="BH102" i="5"/>
  <c r="BJ102" i="5"/>
  <c r="AA69" i="5"/>
  <c r="BH99" i="5"/>
  <c r="BJ99" i="5"/>
  <c r="BF99" i="5"/>
  <c r="BG99" i="5"/>
  <c r="AX88" i="5"/>
  <c r="BB88" i="5"/>
  <c r="AY88" i="5"/>
  <c r="BH87" i="5"/>
  <c r="BG87" i="5"/>
  <c r="BJ87" i="5"/>
  <c r="BF87" i="5"/>
  <c r="BI87" i="5"/>
  <c r="Z114" i="5"/>
  <c r="AC114" i="5"/>
  <c r="AB114" i="5"/>
  <c r="AD114" i="5"/>
  <c r="AA94" i="5"/>
  <c r="AA97" i="5"/>
  <c r="AL85" i="5"/>
  <c r="AO85" i="5"/>
  <c r="AP85" i="5"/>
  <c r="AD63" i="5"/>
  <c r="BF78" i="5"/>
  <c r="BJ78" i="5"/>
  <c r="BH78" i="5"/>
  <c r="BG78" i="5"/>
  <c r="Z102" i="5"/>
  <c r="AC102" i="5"/>
  <c r="AD102" i="5"/>
  <c r="AB102" i="5"/>
  <c r="AO105" i="5"/>
  <c r="AL105" i="5"/>
  <c r="AP105" i="5"/>
  <c r="AZ87" i="5"/>
  <c r="AY87" i="5"/>
  <c r="AX87" i="5"/>
  <c r="BB87" i="5"/>
  <c r="BA87" i="5"/>
  <c r="AO79" i="5"/>
  <c r="BB78" i="5"/>
  <c r="AY78" i="5"/>
  <c r="AZ78" i="5"/>
  <c r="AX78" i="5"/>
  <c r="AC103" i="5"/>
  <c r="AM86" i="5"/>
  <c r="BA90" i="5"/>
  <c r="AX90" i="5"/>
  <c r="AZ90" i="5"/>
  <c r="BB90" i="5"/>
  <c r="AM81" i="5"/>
  <c r="AN109" i="5"/>
  <c r="BB82" i="5"/>
  <c r="BI105" i="5"/>
  <c r="BJ105" i="5"/>
  <c r="BF105" i="5"/>
  <c r="BH105" i="5"/>
  <c r="BA82" i="5"/>
  <c r="BB70" i="5"/>
  <c r="BI97" i="5"/>
  <c r="BF97" i="5"/>
  <c r="BH97" i="5"/>
  <c r="BJ97" i="5"/>
  <c r="O70" i="5"/>
  <c r="Q70" i="5"/>
  <c r="P70" i="5"/>
  <c r="N70" i="5"/>
  <c r="R70" i="5"/>
  <c r="BH79" i="5"/>
  <c r="AN97" i="5"/>
  <c r="BI80" i="5"/>
  <c r="BG80" i="5"/>
  <c r="BF80" i="5"/>
  <c r="BJ80" i="5"/>
  <c r="BH80" i="5"/>
  <c r="AN71" i="5"/>
  <c r="AC83" i="5"/>
  <c r="AB85" i="5"/>
  <c r="O80" i="5"/>
  <c r="Q80" i="5"/>
  <c r="N80" i="5"/>
  <c r="P80" i="5"/>
  <c r="R80" i="5"/>
  <c r="AY91" i="5"/>
  <c r="AZ91" i="5"/>
  <c r="AX91" i="5"/>
  <c r="BB91" i="5"/>
  <c r="BA91" i="5"/>
  <c r="O116" i="5"/>
  <c r="N116" i="5"/>
  <c r="P116" i="5"/>
  <c r="Q116" i="5"/>
  <c r="R116" i="5"/>
  <c r="BH96" i="5"/>
  <c r="BG96" i="5"/>
  <c r="BJ96" i="5"/>
  <c r="BF96" i="5"/>
  <c r="BI96" i="5"/>
  <c r="AB79" i="5"/>
  <c r="AY93" i="5"/>
  <c r="AM101" i="5"/>
  <c r="BH107" i="5"/>
  <c r="BG107" i="5"/>
  <c r="BF107" i="5"/>
  <c r="BJ107" i="5"/>
  <c r="AO115" i="5"/>
  <c r="AY84" i="5"/>
  <c r="AZ111" i="5"/>
  <c r="AY111" i="5"/>
  <c r="BB111" i="5"/>
  <c r="AX111" i="5"/>
  <c r="BA111" i="5"/>
  <c r="Q75" i="5"/>
  <c r="P75" i="5"/>
  <c r="R75" i="5"/>
  <c r="O75" i="5"/>
  <c r="N75" i="5"/>
  <c r="AC66" i="5"/>
  <c r="AB66" i="5"/>
  <c r="Z66" i="5"/>
  <c r="AD66" i="5"/>
  <c r="AA66" i="5"/>
  <c r="BA117" i="5"/>
  <c r="BB117" i="5"/>
  <c r="AX117" i="5"/>
  <c r="AZ88" i="5"/>
  <c r="AP64" i="5"/>
  <c r="AB87" i="5"/>
  <c r="AA87" i="5"/>
  <c r="AC87" i="5"/>
  <c r="Z87" i="5"/>
  <c r="AD87" i="5"/>
  <c r="AN74" i="5"/>
  <c r="AL74" i="5"/>
  <c r="AM74" i="5"/>
  <c r="BI79" i="5"/>
  <c r="AZ100" i="5"/>
  <c r="AY100" i="5"/>
  <c r="AX100" i="5"/>
  <c r="BA100" i="5"/>
  <c r="BB100" i="5"/>
  <c r="AN64" i="5"/>
  <c r="AM64" i="5"/>
  <c r="AL64" i="5"/>
  <c r="AO64" i="5"/>
  <c r="AN76" i="5"/>
  <c r="AO76" i="5"/>
  <c r="AL76" i="5"/>
  <c r="AP76" i="5"/>
  <c r="P88" i="5"/>
  <c r="Q88" i="5"/>
  <c r="O88" i="5"/>
  <c r="N88" i="5"/>
  <c r="R88" i="5"/>
  <c r="AA106" i="5"/>
  <c r="Q69" i="5"/>
  <c r="P69" i="5"/>
  <c r="R69" i="5"/>
  <c r="O69" i="5"/>
  <c r="N69" i="5"/>
  <c r="BA66" i="5"/>
  <c r="BF106" i="5"/>
  <c r="BI106" i="5"/>
  <c r="BH106" i="5"/>
  <c r="BJ106" i="5"/>
  <c r="R71" i="5"/>
  <c r="N71" i="5"/>
  <c r="Q71" i="5"/>
  <c r="P71" i="5"/>
  <c r="O71" i="5"/>
  <c r="BB64" i="5"/>
  <c r="AY64" i="5"/>
  <c r="AZ64" i="5"/>
  <c r="BA64" i="5"/>
  <c r="AX64" i="5"/>
  <c r="AM105" i="5"/>
  <c r="BF98" i="5"/>
  <c r="BI98" i="5"/>
  <c r="BH98" i="5"/>
  <c r="BJ98" i="5"/>
  <c r="R96" i="5"/>
  <c r="P96" i="5"/>
  <c r="O96" i="5"/>
  <c r="N96" i="5"/>
  <c r="Q96" i="5"/>
  <c r="Q86" i="5"/>
  <c r="O86" i="5"/>
  <c r="R86" i="5"/>
  <c r="N86" i="5"/>
  <c r="P86" i="5"/>
  <c r="BF110" i="5"/>
  <c r="BI110" i="5"/>
  <c r="BH110" i="5"/>
  <c r="BJ110" i="5"/>
  <c r="AY72" i="5"/>
  <c r="AX65" i="5"/>
  <c r="BA65" i="5"/>
  <c r="AZ65" i="5"/>
  <c r="AZ109" i="5"/>
  <c r="AN84" i="5"/>
  <c r="AN68" i="5"/>
  <c r="AB105" i="5"/>
  <c r="AZ75" i="5"/>
  <c r="AY75" i="5"/>
  <c r="BA75" i="5"/>
  <c r="BB75" i="5"/>
  <c r="AX75" i="5"/>
  <c r="AY81" i="5"/>
  <c r="AY92" i="5"/>
  <c r="BA92" i="5"/>
  <c r="BB92" i="5"/>
  <c r="BA107" i="5"/>
  <c r="AA102" i="5"/>
  <c r="AN101" i="5"/>
  <c r="AY102" i="5"/>
  <c r="AY90" i="5"/>
  <c r="BH116" i="5"/>
  <c r="BG116" i="5"/>
  <c r="BJ116" i="5"/>
  <c r="BI116" i="5"/>
  <c r="BF116" i="5"/>
  <c r="P103" i="5"/>
  <c r="N103" i="5"/>
  <c r="R103" i="5"/>
  <c r="Q103" i="5"/>
  <c r="O103" i="5"/>
  <c r="BG106" i="5"/>
  <c r="AN107" i="5"/>
  <c r="AM107" i="5"/>
  <c r="AL107" i="5"/>
  <c r="AP107" i="5"/>
  <c r="AC15" i="5"/>
  <c r="AB15" i="5"/>
  <c r="Z15" i="5"/>
  <c r="AA15" i="5"/>
  <c r="AD15" i="5"/>
  <c r="BG27" i="5"/>
  <c r="BH27" i="5"/>
  <c r="BF27" i="5"/>
  <c r="BJ27" i="5"/>
  <c r="AC33" i="5"/>
  <c r="R36" i="5"/>
  <c r="Q36" i="5"/>
  <c r="P36" i="5"/>
  <c r="N36" i="5"/>
  <c r="O36" i="5"/>
  <c r="BH56" i="5"/>
  <c r="BJ56" i="5"/>
  <c r="BF56" i="5"/>
  <c r="BI56" i="5"/>
  <c r="BG56" i="5"/>
  <c r="BG53" i="5"/>
  <c r="BF53" i="5"/>
  <c r="BJ53" i="5"/>
  <c r="BH53" i="5"/>
  <c r="AZ34" i="5"/>
  <c r="AY34" i="5"/>
  <c r="BB34" i="5"/>
  <c r="BA34" i="5"/>
  <c r="AX34" i="5"/>
  <c r="AL20" i="5"/>
  <c r="AP20" i="5"/>
  <c r="AN20" i="5"/>
  <c r="AO20" i="5"/>
  <c r="AM20" i="5"/>
  <c r="Z28" i="5"/>
  <c r="AA28" i="5"/>
  <c r="AB28" i="5"/>
  <c r="AC28" i="5"/>
  <c r="AB31" i="5"/>
  <c r="AC31" i="5"/>
  <c r="AA31" i="5"/>
  <c r="AD31" i="5"/>
  <c r="Z31" i="5"/>
  <c r="BA26" i="5"/>
  <c r="AZ26" i="5"/>
  <c r="AX26" i="5"/>
  <c r="AY26" i="5"/>
  <c r="Q25" i="5"/>
  <c r="P25" i="5"/>
  <c r="R25" i="5"/>
  <c r="N25" i="5"/>
  <c r="AN48" i="5"/>
  <c r="AM25" i="5"/>
  <c r="AO25" i="5"/>
  <c r="AL25" i="5"/>
  <c r="AP25" i="5"/>
  <c r="AN25" i="5"/>
  <c r="AX16" i="5"/>
  <c r="BB16" i="5"/>
  <c r="BA16" i="5"/>
  <c r="AP39" i="5"/>
  <c r="AM39" i="5"/>
  <c r="AN39" i="5"/>
  <c r="AO39" i="5"/>
  <c r="AL39" i="5"/>
  <c r="AO27" i="5"/>
  <c r="AN27" i="5"/>
  <c r="AM27" i="5"/>
  <c r="AP27" i="5"/>
  <c r="AL27" i="5"/>
  <c r="AY16" i="5"/>
  <c r="BG47" i="5"/>
  <c r="BJ47" i="5"/>
  <c r="BH47" i="5"/>
  <c r="BF47" i="5"/>
  <c r="BI47" i="5"/>
  <c r="Q33" i="5"/>
  <c r="N33" i="5"/>
  <c r="P33" i="5"/>
  <c r="O33" i="5"/>
  <c r="R33" i="5"/>
  <c r="N61" i="5"/>
  <c r="O61" i="5"/>
  <c r="AL17" i="5"/>
  <c r="AN17" i="5"/>
  <c r="AP17" i="5"/>
  <c r="AM17" i="5"/>
  <c r="BH36" i="5"/>
  <c r="BJ36" i="5"/>
  <c r="BF36" i="5"/>
  <c r="BI36" i="5"/>
  <c r="BG49" i="5"/>
  <c r="P55" i="5"/>
  <c r="R55" i="5"/>
  <c r="O55" i="5"/>
  <c r="N55" i="5"/>
  <c r="Q55" i="5"/>
  <c r="R31" i="5"/>
  <c r="Q31" i="5"/>
  <c r="O31" i="5"/>
  <c r="P31" i="5"/>
  <c r="N31" i="5"/>
  <c r="BB26" i="5"/>
  <c r="AO49" i="5"/>
  <c r="AL49" i="5"/>
  <c r="AM49" i="5"/>
  <c r="AN49" i="5"/>
  <c r="AP49" i="5"/>
  <c r="AP13" i="5"/>
  <c r="AN13" i="5"/>
  <c r="AM13" i="5"/>
  <c r="AL13" i="5"/>
  <c r="AO13" i="5"/>
  <c r="AZ18" i="5"/>
  <c r="AY18" i="5"/>
  <c r="BB18" i="5"/>
  <c r="BA18" i="5"/>
  <c r="AX18" i="5"/>
  <c r="AL58" i="5"/>
  <c r="AO58" i="5"/>
  <c r="AN58" i="5"/>
  <c r="AM58" i="5"/>
  <c r="BA25" i="5"/>
  <c r="BB25" i="5"/>
  <c r="AX25" i="5"/>
  <c r="AZ25" i="5"/>
  <c r="AY25" i="5"/>
  <c r="Z61" i="5"/>
  <c r="AD61" i="5"/>
  <c r="AB61" i="5"/>
  <c r="AC61" i="5"/>
  <c r="AA61" i="5"/>
  <c r="P16" i="5"/>
  <c r="N16" i="5"/>
  <c r="O16" i="5"/>
  <c r="R16" i="5"/>
  <c r="Q16" i="5"/>
  <c r="BA20" i="5"/>
  <c r="BB20" i="5"/>
  <c r="AX20" i="5"/>
  <c r="AL45" i="5"/>
  <c r="AO45" i="5"/>
  <c r="AN45" i="5"/>
  <c r="AM45" i="5"/>
  <c r="AP45" i="5"/>
  <c r="BH18" i="5"/>
  <c r="BJ18" i="5"/>
  <c r="BI18" i="5"/>
  <c r="BG18" i="5"/>
  <c r="BF18" i="5"/>
  <c r="AC40" i="5"/>
  <c r="BG22" i="5"/>
  <c r="BI22" i="5"/>
  <c r="BH22" i="5"/>
  <c r="BJ22" i="5"/>
  <c r="BF22" i="5"/>
  <c r="AB36" i="5"/>
  <c r="Z36" i="5"/>
  <c r="AD36" i="5"/>
  <c r="BG26" i="5"/>
  <c r="AM47" i="5"/>
  <c r="AP47" i="5"/>
  <c r="AN47" i="5"/>
  <c r="AL47" i="5"/>
  <c r="AO47" i="5"/>
  <c r="BI55" i="5"/>
  <c r="BA42" i="5"/>
  <c r="AX42" i="5"/>
  <c r="BB42" i="5"/>
  <c r="AZ42" i="5"/>
  <c r="AY42" i="5"/>
  <c r="AZ20" i="5"/>
  <c r="AP23" i="5"/>
  <c r="AL23" i="5"/>
  <c r="AM23" i="5"/>
  <c r="AO23" i="5"/>
  <c r="AN23" i="5"/>
  <c r="BI53" i="5"/>
  <c r="AX45" i="5"/>
  <c r="BA45" i="5"/>
  <c r="AY45" i="5"/>
  <c r="AZ45" i="5"/>
  <c r="BB45" i="5"/>
  <c r="AO46" i="5"/>
  <c r="AN46" i="5"/>
  <c r="AP46" i="5"/>
  <c r="AM46" i="5"/>
  <c r="AL46" i="5"/>
  <c r="BG33" i="5"/>
  <c r="AM44" i="5"/>
  <c r="AA59" i="5"/>
  <c r="AD59" i="5"/>
  <c r="Z59" i="5"/>
  <c r="AB59" i="5"/>
  <c r="BF32" i="5"/>
  <c r="BJ32" i="5"/>
  <c r="BI32" i="5"/>
  <c r="BH32" i="5"/>
  <c r="AC37" i="5"/>
  <c r="BG20" i="5"/>
  <c r="BH40" i="5"/>
  <c r="BG40" i="5"/>
  <c r="BI40" i="5"/>
  <c r="BJ40" i="5"/>
  <c r="BF40" i="5"/>
  <c r="P23" i="5"/>
  <c r="N23" i="5"/>
  <c r="R23" i="5"/>
  <c r="Q23" i="5"/>
  <c r="O23" i="5"/>
  <c r="N50" i="5"/>
  <c r="P50" i="5"/>
  <c r="O50" i="5"/>
  <c r="Q50" i="5"/>
  <c r="R50" i="5"/>
  <c r="BB24" i="5"/>
  <c r="R30" i="5"/>
  <c r="O30" i="5"/>
  <c r="N30" i="5"/>
  <c r="Q30" i="5"/>
  <c r="P30" i="5"/>
  <c r="BI31" i="5"/>
  <c r="BG31" i="5"/>
  <c r="BF31" i="5"/>
  <c r="BH31" i="5"/>
  <c r="BJ31" i="5"/>
  <c r="N28" i="5"/>
  <c r="R28" i="5"/>
  <c r="P28" i="5"/>
  <c r="Q28" i="5"/>
  <c r="O28" i="5"/>
  <c r="AA47" i="5"/>
  <c r="AD47" i="5"/>
  <c r="AB47" i="5"/>
  <c r="Z47" i="5"/>
  <c r="AC47" i="5"/>
  <c r="AL14" i="5"/>
  <c r="AO14" i="5"/>
  <c r="AP14" i="5"/>
  <c r="AM14" i="5"/>
  <c r="AN14" i="5"/>
  <c r="O46" i="5"/>
  <c r="Q46" i="5"/>
  <c r="R46" i="5"/>
  <c r="P46" i="5"/>
  <c r="N46" i="5"/>
  <c r="O49" i="5"/>
  <c r="P49" i="5"/>
  <c r="Q49" i="5"/>
  <c r="N49" i="5"/>
  <c r="R49" i="5"/>
  <c r="AC26" i="5"/>
  <c r="Z26" i="5"/>
  <c r="AB26" i="5"/>
  <c r="AA26" i="5"/>
  <c r="AX17" i="5"/>
  <c r="BB17" i="5"/>
  <c r="AZ17" i="5"/>
  <c r="AY17" i="5"/>
  <c r="N42" i="5"/>
  <c r="P42" i="5"/>
  <c r="O42" i="5"/>
  <c r="Q42" i="5"/>
  <c r="R42" i="5"/>
  <c r="AO57" i="5"/>
  <c r="BJ52" i="5"/>
  <c r="BF52" i="5"/>
  <c r="BH52" i="5"/>
  <c r="BI52" i="5"/>
  <c r="AP26" i="5"/>
  <c r="AO26" i="5"/>
  <c r="AN26" i="5"/>
  <c r="AM26" i="5"/>
  <c r="AL26" i="5"/>
  <c r="AM52" i="5"/>
  <c r="Q54" i="5"/>
  <c r="N54" i="5"/>
  <c r="R54" i="5"/>
  <c r="O54" i="5"/>
  <c r="P54" i="5"/>
  <c r="BF58" i="5"/>
  <c r="BJ58" i="5"/>
  <c r="BH58" i="5"/>
  <c r="BI58" i="5"/>
  <c r="Q44" i="5"/>
  <c r="P44" i="5"/>
  <c r="N44" i="5"/>
  <c r="R44" i="5"/>
  <c r="O44" i="5"/>
  <c r="AN44" i="5"/>
  <c r="BA29" i="5"/>
  <c r="BI49" i="5"/>
  <c r="BH49" i="5"/>
  <c r="BF49" i="5"/>
  <c r="BJ49" i="5"/>
  <c r="AL32" i="5"/>
  <c r="AN32" i="5"/>
  <c r="AP32" i="5"/>
  <c r="AM32" i="5"/>
  <c r="AO32" i="5"/>
  <c r="V122" i="5"/>
  <c r="BL53" i="1"/>
  <c r="BK36" i="1"/>
  <c r="BM58" i="1"/>
  <c r="BK18" i="1"/>
  <c r="BL49" i="1"/>
  <c r="BL15" i="1"/>
  <c r="BK8" i="1"/>
  <c r="BK29" i="1"/>
  <c r="BL6" i="1"/>
  <c r="BL43" i="1"/>
  <c r="BK32" i="1"/>
  <c r="BL55" i="1"/>
  <c r="BL47" i="1"/>
  <c r="BM31" i="1"/>
  <c r="BK30" i="1"/>
  <c r="BL34" i="1"/>
  <c r="BK61" i="1"/>
  <c r="BK40" i="1"/>
  <c r="BK26" i="1"/>
  <c r="BL21" i="1"/>
  <c r="BL11" i="1"/>
  <c r="BK7" i="1"/>
  <c r="BL24" i="1"/>
  <c r="BM29" i="1"/>
  <c r="BK45" i="1"/>
  <c r="BK42" i="1"/>
  <c r="BL13" i="1"/>
  <c r="BK21" i="1"/>
  <c r="BL46" i="1"/>
  <c r="BM59" i="1"/>
  <c r="BK38" i="1"/>
  <c r="BK12" i="1"/>
  <c r="BL25" i="1"/>
  <c r="BL41" i="1"/>
  <c r="BL9" i="1"/>
  <c r="BM11" i="1"/>
  <c r="BL29" i="1"/>
  <c r="BK23" i="1"/>
  <c r="BK11" i="1"/>
  <c r="BL59" i="1"/>
  <c r="BK44" i="1"/>
  <c r="BK33" i="1"/>
  <c r="BL54" i="1"/>
  <c r="BK27" i="1"/>
  <c r="BK16" i="1"/>
  <c r="BM50" i="1"/>
  <c r="BL10" i="1"/>
  <c r="BM41" i="1"/>
  <c r="BL26" i="1"/>
  <c r="BK6" i="1"/>
  <c r="BL5" i="1"/>
  <c r="BL61" i="1"/>
  <c r="BK22" i="1"/>
  <c r="BK17" i="1"/>
  <c r="BL52" i="1"/>
  <c r="BL40" i="1"/>
  <c r="BL56" i="1"/>
  <c r="BM38" i="1"/>
  <c r="BK57" i="1"/>
  <c r="BK15" i="1"/>
  <c r="BK28" i="1"/>
  <c r="BK52" i="1"/>
  <c r="BL7" i="1"/>
  <c r="BM49" i="1"/>
  <c r="BL28" i="1"/>
  <c r="BL18" i="1"/>
  <c r="BL8" i="1"/>
  <c r="BM51" i="1"/>
  <c r="BK50" i="1"/>
  <c r="BL23" i="1"/>
  <c r="BK39" i="1"/>
  <c r="BL20" i="1"/>
  <c r="BM61" i="1"/>
  <c r="BK51" i="1"/>
  <c r="BK48" i="1"/>
  <c r="BL19" i="1"/>
  <c r="BL44" i="1"/>
  <c r="BL30" i="1"/>
  <c r="BK47" i="1"/>
  <c r="BK49" i="1"/>
  <c r="BL27" i="1"/>
  <c r="BK54" i="1"/>
  <c r="BL32" i="1"/>
  <c r="BM44" i="1"/>
  <c r="BK31" i="1"/>
  <c r="BK55" i="1"/>
  <c r="BK35" i="1"/>
  <c r="BL22" i="1"/>
  <c r="BL42" i="1"/>
  <c r="BK58" i="1"/>
  <c r="BL31" i="1"/>
  <c r="BK34" i="1"/>
  <c r="BL57" i="1"/>
  <c r="BK20" i="1"/>
  <c r="BL48" i="1"/>
  <c r="BL58" i="1"/>
  <c r="BK24" i="1"/>
  <c r="BK14" i="1"/>
  <c r="BL38" i="1"/>
  <c r="BL36" i="1"/>
  <c r="BL35" i="1"/>
  <c r="BK5" i="1"/>
  <c r="BL17" i="1"/>
  <c r="BK25" i="1"/>
  <c r="BL37" i="1"/>
  <c r="BM40" i="1"/>
  <c r="BK56" i="1"/>
  <c r="BK9" i="1"/>
  <c r="BK53" i="1"/>
  <c r="BL51" i="1"/>
  <c r="BL45" i="1"/>
  <c r="BL14" i="1"/>
  <c r="BK46" i="1"/>
  <c r="BL12" i="1"/>
  <c r="BK19" i="1"/>
  <c r="BM22" i="1"/>
  <c r="BL16" i="1"/>
  <c r="BL50" i="1"/>
  <c r="BK10" i="1"/>
  <c r="BL33" i="1"/>
  <c r="BK59" i="1"/>
  <c r="BK41" i="1"/>
  <c r="BK13" i="1"/>
  <c r="BL39" i="1"/>
  <c r="BK43" i="1"/>
  <c r="BK37" i="1"/>
  <c r="BM54" i="1"/>
  <c r="BM33" i="1"/>
  <c r="BM56" i="1"/>
  <c r="BM30" i="1"/>
  <c r="BM16" i="1"/>
  <c r="BM20" i="1"/>
  <c r="BM21" i="1"/>
  <c r="BM37" i="1"/>
  <c r="BM52" i="1"/>
  <c r="BM9" i="1"/>
  <c r="BM12" i="1"/>
  <c r="BM42" i="1"/>
  <c r="BM24" i="1"/>
  <c r="BM17" i="1"/>
  <c r="BM23" i="1"/>
  <c r="BM13" i="1"/>
  <c r="BM25" i="1"/>
  <c r="BM19" i="1"/>
  <c r="BM26" i="1"/>
  <c r="BM53" i="1"/>
  <c r="BM45" i="1"/>
  <c r="BM14" i="1"/>
  <c r="BM48" i="1"/>
  <c r="BM18" i="1"/>
  <c r="BM32" i="1"/>
  <c r="BM7" i="1"/>
  <c r="BM39" i="1"/>
  <c r="BM57" i="1"/>
  <c r="BM6" i="1"/>
  <c r="BM10" i="1"/>
  <c r="BM47" i="1"/>
  <c r="BM35" i="1"/>
  <c r="BM15" i="1"/>
  <c r="BM5" i="1"/>
  <c r="BM34" i="1"/>
  <c r="BM55" i="1"/>
  <c r="BM27" i="1"/>
  <c r="BM43" i="1"/>
  <c r="BM36" i="1"/>
  <c r="BM46" i="1"/>
  <c r="BM8" i="1"/>
  <c r="BM28" i="1"/>
  <c r="BO47" i="1"/>
  <c r="BO61" i="1"/>
  <c r="BN61" i="1"/>
  <c r="W127" i="5"/>
  <c r="BD127" i="5"/>
  <c r="V124" i="5"/>
  <c r="V125" i="5"/>
  <c r="V126" i="5"/>
  <c r="V123" i="5"/>
  <c r="AS123" i="5"/>
  <c r="AS124" i="5"/>
  <c r="AS125" i="5"/>
  <c r="AS126" i="5"/>
  <c r="AS122" i="5"/>
  <c r="AU127" i="5"/>
  <c r="AJ127" i="5"/>
  <c r="S125" i="5"/>
  <c r="S126" i="5"/>
  <c r="S122" i="5"/>
  <c r="S123" i="5"/>
  <c r="S124" i="5"/>
  <c r="I126" i="5"/>
  <c r="I124" i="5"/>
  <c r="I122" i="5"/>
  <c r="I125" i="5"/>
  <c r="I123" i="5"/>
  <c r="K125" i="5"/>
  <c r="K123" i="5"/>
  <c r="K126" i="5"/>
  <c r="K122" i="5"/>
  <c r="K124" i="5"/>
  <c r="H126" i="5"/>
  <c r="H124" i="5"/>
  <c r="H122" i="5"/>
  <c r="H125" i="5"/>
  <c r="H123" i="5"/>
  <c r="BC127" i="5"/>
  <c r="AG127" i="5"/>
  <c r="BC123" i="5"/>
  <c r="BC124" i="5"/>
  <c r="BC125" i="5"/>
  <c r="BC122" i="5"/>
  <c r="BC126" i="5"/>
  <c r="AG125" i="5"/>
  <c r="AG126" i="5"/>
  <c r="AG122" i="5"/>
  <c r="AG123" i="5"/>
  <c r="AG124" i="5"/>
  <c r="AI127" i="5"/>
  <c r="AV126" i="5"/>
  <c r="AV122" i="5"/>
  <c r="AV123" i="5"/>
  <c r="AV124" i="5"/>
  <c r="AV125" i="5"/>
  <c r="T127" i="5"/>
  <c r="AF127" i="5"/>
  <c r="AI123" i="5"/>
  <c r="AI124" i="5"/>
  <c r="AI125" i="5"/>
  <c r="AI122" i="5"/>
  <c r="AI126" i="5"/>
  <c r="X126" i="5"/>
  <c r="X122" i="5"/>
  <c r="X123" i="5"/>
  <c r="X124" i="5"/>
  <c r="X125" i="5"/>
  <c r="AT127" i="5"/>
  <c r="X127" i="5"/>
  <c r="L127" i="5"/>
  <c r="J127" i="5"/>
  <c r="AE127" i="5"/>
  <c r="T126" i="5"/>
  <c r="T122" i="5"/>
  <c r="T123" i="5"/>
  <c r="T124" i="5"/>
  <c r="T125" i="5"/>
  <c r="AH127" i="5"/>
  <c r="AR127" i="5"/>
  <c r="W125" i="5"/>
  <c r="W126" i="5"/>
  <c r="W122" i="5"/>
  <c r="W123" i="5"/>
  <c r="W124" i="5"/>
  <c r="U127" i="5"/>
  <c r="AE123" i="5"/>
  <c r="AE124" i="5"/>
  <c r="AE125" i="5"/>
  <c r="AE122" i="5"/>
  <c r="AE126" i="5"/>
  <c r="AH126" i="5"/>
  <c r="AH122" i="5"/>
  <c r="AH123" i="5"/>
  <c r="AH124" i="5"/>
  <c r="AH125" i="5"/>
  <c r="BD124" i="5"/>
  <c r="BD125" i="5"/>
  <c r="BD126" i="5"/>
  <c r="BD122" i="5"/>
  <c r="BD123" i="5"/>
  <c r="S127" i="5"/>
  <c r="U123" i="5"/>
  <c r="U124" i="5"/>
  <c r="U125" i="5"/>
  <c r="U126" i="5"/>
  <c r="U122" i="5"/>
  <c r="V127" i="5"/>
  <c r="AJ124" i="5"/>
  <c r="AJ125" i="5"/>
  <c r="AJ126" i="5"/>
  <c r="AJ122" i="5"/>
  <c r="AJ123" i="5"/>
  <c r="AV127" i="5"/>
  <c r="J125" i="5"/>
  <c r="J123" i="5"/>
  <c r="J122" i="5"/>
  <c r="J124" i="5"/>
  <c r="J126" i="5"/>
  <c r="L126" i="5"/>
  <c r="L124" i="5"/>
  <c r="L123" i="5"/>
  <c r="L125" i="5"/>
  <c r="H127" i="5"/>
  <c r="I127" i="5"/>
  <c r="G127" i="5"/>
  <c r="AR126" i="5"/>
  <c r="AR122" i="5"/>
  <c r="AR123" i="5"/>
  <c r="AR124" i="5"/>
  <c r="AR125" i="5"/>
  <c r="AQ127" i="5"/>
  <c r="AU125" i="5"/>
  <c r="AU126" i="5"/>
  <c r="AU122" i="5"/>
  <c r="AU123" i="5"/>
  <c r="AU124" i="5"/>
  <c r="AS127" i="5"/>
  <c r="AQ125" i="5"/>
  <c r="AQ126" i="5"/>
  <c r="AQ122" i="5"/>
  <c r="AQ123" i="5"/>
  <c r="AQ124" i="5"/>
  <c r="AT124" i="5"/>
  <c r="AT125" i="5"/>
  <c r="AT126" i="5"/>
  <c r="AT122" i="5"/>
  <c r="AT123" i="5"/>
  <c r="AF124" i="5"/>
  <c r="AF125" i="5"/>
  <c r="AF126" i="5"/>
  <c r="AF122" i="5"/>
  <c r="AF123" i="5"/>
  <c r="K127" i="5"/>
  <c r="G125" i="5"/>
  <c r="G123" i="5"/>
  <c r="G126" i="5"/>
  <c r="G124" i="5"/>
  <c r="BO59" i="1"/>
  <c r="BN59" i="1"/>
  <c r="AX6" i="5"/>
  <c r="AZ6" i="5"/>
  <c r="AY6" i="5"/>
  <c r="BB6" i="5"/>
  <c r="BA6" i="5"/>
  <c r="P9" i="5"/>
  <c r="N9" i="5"/>
  <c r="R9" i="5"/>
  <c r="Q9" i="5"/>
  <c r="O9" i="5"/>
  <c r="BI12" i="5"/>
  <c r="BH12" i="5"/>
  <c r="BG12" i="5"/>
  <c r="BF12" i="5"/>
  <c r="BJ12" i="5"/>
  <c r="BI10" i="5"/>
  <c r="BH10" i="5"/>
  <c r="BG10" i="5"/>
  <c r="BJ10" i="5"/>
  <c r="BF10" i="5"/>
  <c r="AC5" i="5"/>
  <c r="Z5" i="5"/>
  <c r="AB5" i="5"/>
  <c r="AD5" i="5"/>
  <c r="AA5" i="5"/>
  <c r="AL10" i="5"/>
  <c r="AP10" i="5"/>
  <c r="AO10" i="5"/>
  <c r="AN10" i="5"/>
  <c r="AM10" i="5"/>
  <c r="P7" i="5"/>
  <c r="Q7" i="5"/>
  <c r="N7" i="5"/>
  <c r="O7" i="5"/>
  <c r="R7" i="5"/>
  <c r="AP9" i="5"/>
  <c r="AN9" i="5"/>
  <c r="AO9" i="5"/>
  <c r="AM9" i="5"/>
  <c r="AL9" i="5"/>
  <c r="AB4" i="5"/>
  <c r="AD4" i="5"/>
  <c r="AA4" i="5"/>
  <c r="AC4" i="5"/>
  <c r="Z4" i="5"/>
  <c r="AN4" i="5"/>
  <c r="AP4" i="5"/>
  <c r="AM4" i="5"/>
  <c r="AO4" i="5"/>
  <c r="AL4" i="5"/>
  <c r="BO51" i="1"/>
  <c r="BO26" i="1"/>
  <c r="BN36" i="1"/>
  <c r="BO10" i="1"/>
  <c r="BN19" i="1"/>
  <c r="BN33" i="1"/>
  <c r="BO12" i="1"/>
  <c r="BO8" i="1"/>
  <c r="BN29" i="1"/>
  <c r="BO45" i="1"/>
  <c r="BO38" i="1"/>
  <c r="BO53" i="1"/>
  <c r="BN11" i="1"/>
  <c r="BN30" i="1"/>
  <c r="BN21" i="1"/>
  <c r="BN24" i="1"/>
  <c r="BN47" i="1"/>
  <c r="BO40" i="1"/>
  <c r="BO34" i="1"/>
  <c r="BN16" i="1"/>
  <c r="BO55" i="1"/>
  <c r="BN20" i="1"/>
  <c r="BN44" i="1"/>
  <c r="BN39" i="1"/>
  <c r="BO41" i="1"/>
  <c r="BO44" i="1"/>
  <c r="BO14" i="1"/>
  <c r="BN26" i="1"/>
  <c r="BO39" i="1"/>
  <c r="BN53" i="1"/>
  <c r="BO25" i="1"/>
  <c r="BN17" i="1"/>
  <c r="BO31" i="1"/>
  <c r="BO17" i="1"/>
  <c r="BN31" i="1"/>
  <c r="BO32" i="1"/>
  <c r="BN42" i="1"/>
  <c r="BO13" i="1"/>
  <c r="BO43" i="1"/>
  <c r="BN9" i="1"/>
  <c r="BN18" i="1"/>
  <c r="BN51" i="1"/>
  <c r="BN32" i="1"/>
  <c r="BO23" i="1"/>
  <c r="BN58" i="1"/>
  <c r="BO21" i="1"/>
  <c r="BN55" i="1"/>
  <c r="BN54" i="1"/>
  <c r="BN6" i="1"/>
  <c r="BN41" i="1"/>
  <c r="BN52" i="1"/>
  <c r="BO58" i="1"/>
  <c r="BO27" i="1"/>
  <c r="BO15" i="1"/>
  <c r="BO9" i="1"/>
  <c r="BN34" i="1"/>
  <c r="BO35" i="1"/>
  <c r="BO37" i="1"/>
  <c r="BO28" i="1"/>
  <c r="BN49" i="1"/>
  <c r="BN14" i="1"/>
  <c r="BN28" i="1"/>
  <c r="BN50" i="1"/>
  <c r="BN35" i="1"/>
  <c r="BN5" i="1"/>
  <c r="BO54" i="1"/>
  <c r="BO20" i="1"/>
  <c r="BO46" i="1"/>
  <c r="BN8" i="1"/>
  <c r="BN22" i="1"/>
  <c r="BN38" i="1"/>
  <c r="BN27" i="1"/>
  <c r="BN7" i="1"/>
  <c r="BO33" i="1"/>
  <c r="BO30" i="1"/>
  <c r="BO6" i="1"/>
  <c r="BO42" i="1"/>
  <c r="BN57" i="1"/>
  <c r="BN40" i="1"/>
  <c r="BO52" i="1"/>
  <c r="BN45" i="1"/>
  <c r="BN13" i="1"/>
  <c r="BO7" i="1"/>
  <c r="BN12" i="1"/>
  <c r="BO57" i="1"/>
  <c r="BO5" i="1"/>
  <c r="BO50" i="1"/>
  <c r="BO49" i="1"/>
  <c r="BO24" i="1"/>
  <c r="BN37" i="1"/>
  <c r="BN46" i="1"/>
  <c r="BN10" i="1"/>
  <c r="BN56" i="1"/>
  <c r="BO56" i="1"/>
  <c r="BO18" i="1"/>
  <c r="BN25" i="1"/>
  <c r="BO36" i="1"/>
  <c r="BO22" i="1"/>
  <c r="BN43" i="1"/>
  <c r="BN23" i="1"/>
  <c r="BO16" i="1"/>
  <c r="BN15" i="1"/>
  <c r="BN48" i="1"/>
  <c r="BO48" i="1"/>
  <c r="BO29" i="1"/>
  <c r="BO19" i="1"/>
  <c r="BO11" i="1"/>
  <c r="BL4" i="1"/>
  <c r="BO4" i="1"/>
  <c r="BM4" i="1"/>
  <c r="BK4" i="1"/>
  <c r="BN4" i="1"/>
  <c r="P4" i="5"/>
  <c r="R4" i="5"/>
  <c r="Q4" i="5"/>
  <c r="N4" i="5"/>
  <c r="O4" i="5"/>
  <c r="BA7" i="5"/>
  <c r="AY7" i="5"/>
  <c r="AX7" i="5"/>
  <c r="AZ7" i="5"/>
  <c r="BB7" i="5"/>
  <c r="AX9" i="5"/>
  <c r="AZ9" i="5"/>
  <c r="BA9" i="5"/>
  <c r="AY9" i="5"/>
  <c r="BB9" i="5"/>
  <c r="AB7" i="5"/>
  <c r="AD7" i="5"/>
  <c r="AC7" i="5"/>
  <c r="Z7" i="5"/>
  <c r="AA7" i="5"/>
  <c r="AO8" i="5"/>
  <c r="AM8" i="5"/>
  <c r="AL8" i="5"/>
  <c r="AN8" i="5"/>
  <c r="AP8" i="5"/>
  <c r="AM6" i="5"/>
  <c r="AL6" i="5"/>
  <c r="AP6" i="5"/>
  <c r="AN6" i="5"/>
  <c r="AO6" i="5"/>
  <c r="AD10" i="5"/>
  <c r="AB10" i="5"/>
  <c r="AC10" i="5"/>
  <c r="AA10" i="5"/>
  <c r="Z10" i="5"/>
  <c r="P11" i="5"/>
  <c r="O11" i="5"/>
  <c r="Q11" i="5"/>
  <c r="R11" i="5"/>
  <c r="N11" i="5"/>
  <c r="BJ9" i="5"/>
  <c r="BG9" i="5"/>
  <c r="BH9" i="5"/>
  <c r="BI9" i="5"/>
  <c r="BF9" i="5"/>
  <c r="P8" i="5"/>
  <c r="O8" i="5"/>
  <c r="Q8" i="5"/>
  <c r="R8" i="5"/>
  <c r="N8" i="5"/>
  <c r="AZ5" i="5"/>
  <c r="AX5" i="5"/>
  <c r="BB5" i="5"/>
  <c r="BA5" i="5"/>
  <c r="AY5" i="5"/>
  <c r="AN11" i="5"/>
  <c r="AL11" i="5"/>
  <c r="AM11" i="5"/>
  <c r="AP11" i="5"/>
  <c r="AO11" i="5"/>
  <c r="BA11" i="5"/>
  <c r="AY11" i="5"/>
  <c r="AZ11" i="5"/>
  <c r="AX11" i="5"/>
  <c r="BB11" i="5"/>
  <c r="BG8" i="5"/>
  <c r="BF8" i="5"/>
  <c r="BH8" i="5"/>
  <c r="BJ8" i="5"/>
  <c r="BI8" i="5"/>
  <c r="BB10" i="5"/>
  <c r="AY10" i="5"/>
  <c r="BA10" i="5"/>
  <c r="AZ10" i="5"/>
  <c r="AX10" i="5"/>
  <c r="AB12" i="5"/>
  <c r="AD12" i="5"/>
  <c r="Z12" i="5"/>
  <c r="AA12" i="5"/>
  <c r="AC12" i="5"/>
  <c r="AC11" i="5"/>
  <c r="AD11" i="5"/>
  <c r="AB11" i="5"/>
  <c r="AA11" i="5"/>
  <c r="Z11" i="5"/>
  <c r="BA12" i="5"/>
  <c r="AY12" i="5"/>
  <c r="AX12" i="5"/>
  <c r="AZ12" i="5"/>
  <c r="BB12" i="5"/>
  <c r="BH11" i="5"/>
  <c r="BF11" i="5"/>
  <c r="BG11" i="5"/>
  <c r="BJ11" i="5"/>
  <c r="BI11" i="5"/>
  <c r="P12" i="5"/>
  <c r="O12" i="5"/>
  <c r="Q12" i="5"/>
  <c r="N12" i="5"/>
  <c r="R12" i="5"/>
  <c r="BH4" i="5"/>
  <c r="BI4" i="5"/>
  <c r="BF4" i="5"/>
  <c r="BJ4" i="5"/>
  <c r="BG4" i="5"/>
  <c r="AN7" i="5"/>
  <c r="AM7" i="5"/>
  <c r="AL7" i="5"/>
  <c r="AP7" i="5"/>
  <c r="AO7" i="5"/>
  <c r="AN5" i="5"/>
  <c r="AO5" i="5"/>
  <c r="AM5" i="5"/>
  <c r="AL5" i="5"/>
  <c r="AP5" i="5"/>
  <c r="P6" i="5"/>
  <c r="R6" i="5"/>
  <c r="O6" i="5"/>
  <c r="Q6" i="5"/>
  <c r="N6" i="5"/>
  <c r="BI6" i="5"/>
  <c r="BG6" i="5"/>
  <c r="BH6" i="5"/>
  <c r="BF6" i="5"/>
  <c r="BJ6" i="5"/>
  <c r="BI7" i="5"/>
  <c r="BF7" i="5"/>
  <c r="BH7" i="5"/>
  <c r="BJ7" i="5"/>
  <c r="BG7" i="5"/>
  <c r="AL12" i="5"/>
  <c r="AP12" i="5"/>
  <c r="AN12" i="5"/>
  <c r="AO12" i="5"/>
  <c r="AM12" i="5"/>
  <c r="AZ4" i="5"/>
  <c r="AY4" i="5"/>
  <c r="AX4" i="5"/>
  <c r="BB4" i="5"/>
  <c r="BA4" i="5"/>
  <c r="AA9" i="5"/>
  <c r="AC9" i="5"/>
  <c r="AD9" i="5"/>
  <c r="AB9" i="5"/>
  <c r="Z9" i="5"/>
  <c r="BG5" i="5"/>
  <c r="BH5" i="5"/>
  <c r="BI5" i="5"/>
  <c r="BJ5" i="5"/>
  <c r="BF5" i="5"/>
  <c r="AX8" i="5"/>
  <c r="BB8" i="5"/>
  <c r="AY8" i="5"/>
  <c r="AZ8" i="5"/>
  <c r="BA8" i="5"/>
  <c r="AD6" i="5"/>
  <c r="AA6" i="5"/>
  <c r="AB6" i="5"/>
  <c r="Z6" i="5"/>
  <c r="AC6" i="5"/>
  <c r="P10" i="5"/>
  <c r="Q10" i="5"/>
  <c r="O10" i="5"/>
  <c r="N10" i="5"/>
  <c r="R10" i="5"/>
  <c r="P5" i="5"/>
  <c r="O5" i="5"/>
  <c r="R5" i="5"/>
  <c r="Q5" i="5"/>
  <c r="N5" i="5"/>
  <c r="AC8" i="5"/>
  <c r="AB8" i="5"/>
  <c r="AD8" i="5"/>
  <c r="AA8" i="5"/>
  <c r="Z8" i="5"/>
  <c r="BN63" i="3"/>
  <c r="BL63" i="3"/>
  <c r="BK63" i="3"/>
  <c r="AS128" i="5" l="1"/>
  <c r="AS131" i="5" s="1"/>
  <c r="AE128" i="5"/>
  <c r="AE131" i="5" s="1"/>
  <c r="BP60" i="1"/>
  <c r="BQ60" i="1" s="1"/>
  <c r="U128" i="5"/>
  <c r="U131" i="5" s="1"/>
  <c r="T128" i="5"/>
  <c r="T131" i="5" s="1"/>
  <c r="BP4" i="1"/>
  <c r="BP9" i="1"/>
  <c r="BP25" i="1"/>
  <c r="BP34" i="1"/>
  <c r="BP49" i="1"/>
  <c r="BP15" i="1"/>
  <c r="BP27" i="1"/>
  <c r="BP12" i="1"/>
  <c r="BP21" i="1"/>
  <c r="BP29" i="1"/>
  <c r="BP18" i="1"/>
  <c r="BP13" i="1"/>
  <c r="BP10" i="1"/>
  <c r="BP19" i="1"/>
  <c r="BP56" i="1"/>
  <c r="BP35" i="1"/>
  <c r="BP47" i="1"/>
  <c r="BP48" i="1"/>
  <c r="BP39" i="1"/>
  <c r="BP57" i="1"/>
  <c r="BP11" i="1"/>
  <c r="BP38" i="1"/>
  <c r="BP26" i="1"/>
  <c r="BP30" i="1"/>
  <c r="BP32" i="1"/>
  <c r="BP8" i="1"/>
  <c r="BP37" i="1"/>
  <c r="BP41" i="1"/>
  <c r="BP5" i="1"/>
  <c r="BP14" i="1"/>
  <c r="BP20" i="1"/>
  <c r="BP58" i="1"/>
  <c r="BP55" i="1"/>
  <c r="BP54" i="1"/>
  <c r="BP51" i="1"/>
  <c r="BP52" i="1"/>
  <c r="BP17" i="1"/>
  <c r="BP6" i="1"/>
  <c r="BP33" i="1"/>
  <c r="BP23" i="1"/>
  <c r="BP42" i="1"/>
  <c r="BP7" i="1"/>
  <c r="BP40" i="1"/>
  <c r="BP36" i="1"/>
  <c r="BP43" i="1"/>
  <c r="BP59" i="1"/>
  <c r="BP46" i="1"/>
  <c r="BP53" i="1"/>
  <c r="BP24" i="1"/>
  <c r="BP31" i="1"/>
  <c r="BP50" i="1"/>
  <c r="BP28" i="1"/>
  <c r="BP22" i="1"/>
  <c r="BP16" i="1"/>
  <c r="BP44" i="1"/>
  <c r="BP45" i="1"/>
  <c r="BP61" i="1"/>
  <c r="BO62" i="1"/>
  <c r="BN62" i="1"/>
  <c r="BL62" i="1"/>
  <c r="BK62" i="1"/>
  <c r="BM62" i="1"/>
  <c r="L129" i="5"/>
  <c r="L130" i="5" s="1"/>
  <c r="AT129" i="5"/>
  <c r="AT130" i="5" s="1"/>
  <c r="AG128" i="5"/>
  <c r="AG131" i="5" s="1"/>
  <c r="AR129" i="5"/>
  <c r="AR130" i="5" s="1"/>
  <c r="U129" i="5"/>
  <c r="U130" i="5" s="1"/>
  <c r="AF129" i="5"/>
  <c r="AF130" i="5" s="1"/>
  <c r="AR128" i="5"/>
  <c r="AR131" i="5" s="1"/>
  <c r="J128" i="5"/>
  <c r="J131" i="5" s="1"/>
  <c r="AJ129" i="5"/>
  <c r="AJ130" i="5" s="1"/>
  <c r="BD129" i="5"/>
  <c r="BD130" i="5" s="1"/>
  <c r="X129" i="5"/>
  <c r="X130" i="5" s="1"/>
  <c r="AI128" i="5"/>
  <c r="AI131" i="5" s="1"/>
  <c r="AV129" i="5"/>
  <c r="AV130" i="5" s="1"/>
  <c r="BC128" i="5"/>
  <c r="BC131" i="5" s="1"/>
  <c r="K128" i="5"/>
  <c r="K131" i="5" s="1"/>
  <c r="AI129" i="5"/>
  <c r="AI130" i="5" s="1"/>
  <c r="G128" i="5"/>
  <c r="G131" i="5" s="1"/>
  <c r="H128" i="5"/>
  <c r="H131" i="5" s="1"/>
  <c r="AQ128" i="5"/>
  <c r="AQ131" i="5" s="1"/>
  <c r="AQ129" i="5"/>
  <c r="AQ130" i="5" s="1"/>
  <c r="AH128" i="5"/>
  <c r="AH131" i="5" s="1"/>
  <c r="AE129" i="5"/>
  <c r="AE130" i="5" s="1"/>
  <c r="BC129" i="5"/>
  <c r="BC130" i="5" s="1"/>
  <c r="I129" i="5"/>
  <c r="I130" i="5" s="1"/>
  <c r="S128" i="5"/>
  <c r="S131" i="5" s="1"/>
  <c r="AS129" i="5"/>
  <c r="AS130" i="5" s="1"/>
  <c r="V128" i="5"/>
  <c r="V131" i="5" s="1"/>
  <c r="AF128" i="5"/>
  <c r="AF131" i="5" s="1"/>
  <c r="G129" i="5"/>
  <c r="G130" i="5" s="1"/>
  <c r="J129" i="5"/>
  <c r="J130" i="5" s="1"/>
  <c r="AJ128" i="5"/>
  <c r="AJ131" i="5" s="1"/>
  <c r="BD128" i="5"/>
  <c r="BD131" i="5" s="1"/>
  <c r="AH129" i="5"/>
  <c r="AH130" i="5" s="1"/>
  <c r="W128" i="5"/>
  <c r="W131" i="5" s="1"/>
  <c r="W129" i="5"/>
  <c r="W130" i="5" s="1"/>
  <c r="T129" i="5"/>
  <c r="T130" i="5" s="1"/>
  <c r="AG129" i="5"/>
  <c r="AG130" i="5" s="1"/>
  <c r="I128" i="5"/>
  <c r="I131" i="5" s="1"/>
  <c r="AT128" i="5"/>
  <c r="AT131" i="5" s="1"/>
  <c r="AU128" i="5"/>
  <c r="AU131" i="5" s="1"/>
  <c r="AU129" i="5"/>
  <c r="AU130" i="5" s="1"/>
  <c r="L128" i="5"/>
  <c r="L131" i="5" s="1"/>
  <c r="X128" i="5"/>
  <c r="X131" i="5" s="1"/>
  <c r="AV128" i="5"/>
  <c r="AV131" i="5" s="1"/>
  <c r="H129" i="5"/>
  <c r="H130" i="5" s="1"/>
  <c r="K129" i="5"/>
  <c r="K130" i="5" s="1"/>
  <c r="S129" i="5"/>
  <c r="S130" i="5" s="1"/>
  <c r="V129" i="5"/>
  <c r="V130" i="5" s="1"/>
  <c r="BB121" i="5"/>
  <c r="R121" i="5"/>
  <c r="AP121" i="5"/>
  <c r="AD121" i="5"/>
  <c r="BO63" i="3"/>
  <c r="BP63" i="3" s="1"/>
  <c r="A4" i="1"/>
  <c r="A5" i="1" s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BP62" i="1"/>
  <c r="AK125" i="5"/>
  <c r="BI121" i="5"/>
  <c r="BF121" i="5"/>
  <c r="Q121" i="5"/>
  <c r="N121" i="5"/>
  <c r="AY121" i="5"/>
  <c r="AZ121" i="5"/>
  <c r="AM121" i="5"/>
  <c r="AB121" i="5"/>
  <c r="AL121" i="5"/>
  <c r="AA121" i="5"/>
  <c r="BG121" i="5"/>
  <c r="P121" i="5"/>
  <c r="AX121" i="5"/>
  <c r="BA121" i="5"/>
  <c r="Z121" i="5"/>
  <c r="AO121" i="5"/>
  <c r="O121" i="5"/>
  <c r="AN121" i="5"/>
  <c r="BH121" i="5"/>
  <c r="AC121" i="5"/>
  <c r="BJ121" i="5"/>
  <c r="BE124" i="5"/>
  <c r="BE123" i="5"/>
  <c r="BE125" i="5"/>
  <c r="BE127" i="5"/>
  <c r="BE126" i="5"/>
  <c r="BE122" i="5"/>
  <c r="AW126" i="5"/>
  <c r="AW125" i="5"/>
  <c r="AW127" i="5"/>
  <c r="AW123" i="5"/>
  <c r="AW124" i="5"/>
  <c r="AW122" i="5"/>
  <c r="AK122" i="5"/>
  <c r="AK127" i="5"/>
  <c r="AK123" i="5"/>
  <c r="AK124" i="5"/>
  <c r="AK126" i="5"/>
  <c r="Y123" i="5"/>
  <c r="Y125" i="5"/>
  <c r="Y122" i="5"/>
  <c r="Y126" i="5"/>
  <c r="Y124" i="5"/>
  <c r="Y127" i="5"/>
  <c r="M126" i="5"/>
  <c r="M125" i="5"/>
  <c r="M127" i="5"/>
  <c r="M123" i="5"/>
  <c r="M122" i="5"/>
  <c r="M124" i="5"/>
  <c r="A59" i="1" l="1"/>
  <c r="A60" i="1" s="1"/>
  <c r="A61" i="1" s="1"/>
  <c r="BE129" i="5"/>
  <c r="BE130" i="5" s="1"/>
  <c r="Y129" i="5"/>
  <c r="Y130" i="5" s="1"/>
  <c r="AK129" i="5"/>
  <c r="AK130" i="5" s="1"/>
  <c r="BE128" i="5"/>
  <c r="BE131" i="5" s="1"/>
  <c r="M128" i="5"/>
  <c r="M131" i="5" s="1"/>
  <c r="Y128" i="5"/>
  <c r="Y131" i="5" s="1"/>
  <c r="M129" i="5"/>
  <c r="M130" i="5" s="1"/>
  <c r="AK128" i="5"/>
  <c r="AK131" i="5" s="1"/>
  <c r="AW128" i="5"/>
  <c r="AW131" i="5" s="1"/>
  <c r="AW129" i="5"/>
  <c r="AW130" i="5" s="1"/>
</calcChain>
</file>

<file path=xl/sharedStrings.xml><?xml version="1.0" encoding="utf-8"?>
<sst xmlns="http://schemas.openxmlformats.org/spreadsheetml/2006/main" count="4317" uniqueCount="274">
  <si>
    <t>Agent id</t>
  </si>
  <si>
    <t xml:space="preserve">Agent Name </t>
  </si>
  <si>
    <t>TL Name</t>
  </si>
  <si>
    <t>Gender</t>
  </si>
  <si>
    <t>Campaign</t>
  </si>
  <si>
    <t>HD</t>
  </si>
  <si>
    <t>LP</t>
  </si>
  <si>
    <t>Agent Choice WO</t>
  </si>
  <si>
    <t>TL Choice WO</t>
  </si>
  <si>
    <t>Total Weekoff</t>
  </si>
  <si>
    <t>Dritm01</t>
  </si>
  <si>
    <t>Ankita</t>
  </si>
  <si>
    <t>Naina</t>
  </si>
  <si>
    <t>F</t>
  </si>
  <si>
    <t>Inbound</t>
  </si>
  <si>
    <t>7:00-14:30</t>
  </si>
  <si>
    <t>Dritm03</t>
  </si>
  <si>
    <t>Meena Kumari</t>
  </si>
  <si>
    <t>Himseva manual preview</t>
  </si>
  <si>
    <t>Dritm07</t>
  </si>
  <si>
    <t>Renu Ghai</t>
  </si>
  <si>
    <t>Officer Helpdesk</t>
  </si>
  <si>
    <t>10:00-17:30</t>
  </si>
  <si>
    <t>Dritm10</t>
  </si>
  <si>
    <t>Pooja Devi</t>
  </si>
  <si>
    <t>Dritm13</t>
  </si>
  <si>
    <t>Monika Chandrayan</t>
  </si>
  <si>
    <t>Dritm15</t>
  </si>
  <si>
    <t>Ravinder</t>
  </si>
  <si>
    <t>M</t>
  </si>
  <si>
    <t>22:00-7:00</t>
  </si>
  <si>
    <t>Dritm16</t>
  </si>
  <si>
    <t>Deepti Mattu</t>
  </si>
  <si>
    <t>Dritm17</t>
  </si>
  <si>
    <t>Asha Pawar</t>
  </si>
  <si>
    <t>Dritm20</t>
  </si>
  <si>
    <t>Suman</t>
  </si>
  <si>
    <t>Dritm24</t>
  </si>
  <si>
    <t>Kumari Anju</t>
  </si>
  <si>
    <t>Dritm29</t>
  </si>
  <si>
    <t>Pradeep Kumar</t>
  </si>
  <si>
    <t>Disaster</t>
  </si>
  <si>
    <t>Dritm30</t>
  </si>
  <si>
    <t>Uma</t>
  </si>
  <si>
    <t>Dritm32</t>
  </si>
  <si>
    <t>Preeti Sharma</t>
  </si>
  <si>
    <t>DDTG</t>
  </si>
  <si>
    <t>10:00-17:00</t>
  </si>
  <si>
    <t>Dritm34</t>
  </si>
  <si>
    <t>Rama Devi</t>
  </si>
  <si>
    <t>Dritm35</t>
  </si>
  <si>
    <t>Damini Mattu</t>
  </si>
  <si>
    <t>Dritm36</t>
  </si>
  <si>
    <t xml:space="preserve">Riya Nautiyal </t>
  </si>
  <si>
    <t>Dritm37</t>
  </si>
  <si>
    <t>Pushpa</t>
  </si>
  <si>
    <t>Dritm38</t>
  </si>
  <si>
    <t>Sarswati Bhardwaj</t>
  </si>
  <si>
    <t>Dritm39</t>
  </si>
  <si>
    <t>Manoj</t>
  </si>
  <si>
    <t>Dritm40</t>
  </si>
  <si>
    <t>Sanjay Kumar</t>
  </si>
  <si>
    <t xml:space="preserve">Excise &amp; Taxation </t>
  </si>
  <si>
    <t>Dritm43</t>
  </si>
  <si>
    <t>Muskan Sharma</t>
  </si>
  <si>
    <t>Dritm54</t>
  </si>
  <si>
    <t>Deepika Rana</t>
  </si>
  <si>
    <t>HRTC</t>
  </si>
  <si>
    <t>Dritm65</t>
  </si>
  <si>
    <t>Aarti</t>
  </si>
  <si>
    <t>Dritm66</t>
  </si>
  <si>
    <t>Mukesh Kumar</t>
  </si>
  <si>
    <t>Dritm69</t>
  </si>
  <si>
    <t>Suresh Kumar</t>
  </si>
  <si>
    <t>Dritm74</t>
  </si>
  <si>
    <t>Jyoti Thapa</t>
  </si>
  <si>
    <t>Dritm76</t>
  </si>
  <si>
    <t>Preet Pal Kaur</t>
  </si>
  <si>
    <t>FCS</t>
  </si>
  <si>
    <t>Dritm77</t>
  </si>
  <si>
    <t>Nisha Kumari</t>
  </si>
  <si>
    <t>Dritm84</t>
  </si>
  <si>
    <t>Anuja</t>
  </si>
  <si>
    <t>Dritm86</t>
  </si>
  <si>
    <t>Dimple Sharma</t>
  </si>
  <si>
    <t>Dritm88</t>
  </si>
  <si>
    <t>Kameshwar</t>
  </si>
  <si>
    <t>Dritm91</t>
  </si>
  <si>
    <t>Santosh Pal</t>
  </si>
  <si>
    <t>Dritm92</t>
  </si>
  <si>
    <t>Dritm98</t>
  </si>
  <si>
    <t>Priti Thakur</t>
  </si>
  <si>
    <t>Dritm99</t>
  </si>
  <si>
    <t>Mamta Kumari</t>
  </si>
  <si>
    <t>Dritm100</t>
  </si>
  <si>
    <t>Priya Thakur</t>
  </si>
  <si>
    <t>Dritm102</t>
  </si>
  <si>
    <t>Mahima</t>
  </si>
  <si>
    <t>Dritm103</t>
  </si>
  <si>
    <t>Anjana Thakur</t>
  </si>
  <si>
    <t>Dritm108</t>
  </si>
  <si>
    <t xml:space="preserve">Sarojani Sharma </t>
  </si>
  <si>
    <t>Dritm113</t>
  </si>
  <si>
    <t xml:space="preserve">Kiran Sharma </t>
  </si>
  <si>
    <t>Dritm115</t>
  </si>
  <si>
    <t>Sita Devi</t>
  </si>
  <si>
    <t>Dritm116</t>
  </si>
  <si>
    <t>Pooja  Thakur</t>
  </si>
  <si>
    <t>Dritm120</t>
  </si>
  <si>
    <t>Shabnam</t>
  </si>
  <si>
    <t>Dritm121</t>
  </si>
  <si>
    <t>Ranjana</t>
  </si>
  <si>
    <t>Dritm125</t>
  </si>
  <si>
    <t>Rita</t>
  </si>
  <si>
    <t>Dritm127</t>
  </si>
  <si>
    <t>Kiran</t>
  </si>
  <si>
    <t>Dritm137</t>
  </si>
  <si>
    <t>Priyanka</t>
  </si>
  <si>
    <t>Dritm141</t>
  </si>
  <si>
    <t>Puneet Chauhan</t>
  </si>
  <si>
    <t>Dritm142</t>
  </si>
  <si>
    <t>Bhawana</t>
  </si>
  <si>
    <t>Dritm143</t>
  </si>
  <si>
    <t>Renu Daniel</t>
  </si>
  <si>
    <t>Dritm147</t>
  </si>
  <si>
    <t>Kiran Bhrota</t>
  </si>
  <si>
    <t>Himseva manual Inbound</t>
  </si>
  <si>
    <t>Dritm151</t>
  </si>
  <si>
    <t>Priyanshi</t>
  </si>
  <si>
    <t>Dritm152</t>
  </si>
  <si>
    <t>Jeenat Thakur</t>
  </si>
  <si>
    <t>Dritm140</t>
  </si>
  <si>
    <t>Anjana</t>
  </si>
  <si>
    <t>Dritm14</t>
  </si>
  <si>
    <t>14:30-22:00</t>
  </si>
  <si>
    <t>Total  Head Count</t>
  </si>
  <si>
    <t>Left</t>
  </si>
  <si>
    <t>Total Present Count</t>
  </si>
  <si>
    <t>Total absent Count</t>
  </si>
  <si>
    <t>Shrinkage</t>
  </si>
  <si>
    <t>Adherence</t>
  </si>
  <si>
    <t>Wk -1</t>
  </si>
  <si>
    <t>Wk -2</t>
  </si>
  <si>
    <t>Wk -3</t>
  </si>
  <si>
    <t>Wk -4</t>
  </si>
  <si>
    <t>Wk -5</t>
  </si>
  <si>
    <t xml:space="preserve">Sanjesh </t>
  </si>
  <si>
    <t>Dritm11</t>
  </si>
  <si>
    <t>Hiteshwar Sharma</t>
  </si>
  <si>
    <t>Dritm12</t>
  </si>
  <si>
    <t>Labh Singh</t>
  </si>
  <si>
    <t>Dritm21</t>
  </si>
  <si>
    <t>Vishal Thakur</t>
  </si>
  <si>
    <t>Dritm22</t>
  </si>
  <si>
    <t xml:space="preserve">Arun Lal </t>
  </si>
  <si>
    <t>Dritm26</t>
  </si>
  <si>
    <t>Mohan Gopal</t>
  </si>
  <si>
    <t>Dritm42</t>
  </si>
  <si>
    <t>Dritm41</t>
  </si>
  <si>
    <t xml:space="preserve">Anuj Gunjeta </t>
  </si>
  <si>
    <t>Dritm44</t>
  </si>
  <si>
    <t>Manita Thakur</t>
  </si>
  <si>
    <t>Dritm45</t>
  </si>
  <si>
    <t>Shivani</t>
  </si>
  <si>
    <t>Dritm47</t>
  </si>
  <si>
    <t>Harsha</t>
  </si>
  <si>
    <t>Dritm48</t>
  </si>
  <si>
    <t>Dritm51</t>
  </si>
  <si>
    <t>Arun Sharma</t>
  </si>
  <si>
    <t>Dritm53</t>
  </si>
  <si>
    <t>Amit</t>
  </si>
  <si>
    <t>Dritm58</t>
  </si>
  <si>
    <t>Bhupender</t>
  </si>
  <si>
    <t>Dritm59</t>
  </si>
  <si>
    <t>Bhanu Priya</t>
  </si>
  <si>
    <t>Dritm60</t>
  </si>
  <si>
    <t>Sourabh Kumar Sharma</t>
  </si>
  <si>
    <t>Dritm61</t>
  </si>
  <si>
    <t>Aman Nanak</t>
  </si>
  <si>
    <t>Dritm71</t>
  </si>
  <si>
    <t>Monika Kaushal</t>
  </si>
  <si>
    <t>Dritm78</t>
  </si>
  <si>
    <t>Jyoti Sharma</t>
  </si>
  <si>
    <t>Dritm79</t>
  </si>
  <si>
    <t>Pooja</t>
  </si>
  <si>
    <t>Dritm81</t>
  </si>
  <si>
    <t>Akshay Kumar</t>
  </si>
  <si>
    <t>Dritm82</t>
  </si>
  <si>
    <t>Dritm83</t>
  </si>
  <si>
    <t>Sapna</t>
  </si>
  <si>
    <t>Dritm85</t>
  </si>
  <si>
    <t>Mukesh</t>
  </si>
  <si>
    <t>Dritm89</t>
  </si>
  <si>
    <t>Mamta</t>
  </si>
  <si>
    <t>Dritm93</t>
  </si>
  <si>
    <t> Aarushi</t>
  </si>
  <si>
    <t>Dritm96</t>
  </si>
  <si>
    <t>Deepak Kumar</t>
  </si>
  <si>
    <t>Dritm104</t>
  </si>
  <si>
    <t>Neksha</t>
  </si>
  <si>
    <t>Dritm105</t>
  </si>
  <si>
    <t xml:space="preserve">Priyanka Singh </t>
  </si>
  <si>
    <t>Dritm106</t>
  </si>
  <si>
    <t>Mansi Verma</t>
  </si>
  <si>
    <t>Dritm107</t>
  </si>
  <si>
    <t xml:space="preserve">Priyanka </t>
  </si>
  <si>
    <t>Dritm109</t>
  </si>
  <si>
    <t>Himani Sharma</t>
  </si>
  <si>
    <t>Dritm112</t>
  </si>
  <si>
    <t>Diksha Sharma</t>
  </si>
  <si>
    <t>Dritm126</t>
  </si>
  <si>
    <t>Duni Chand</t>
  </si>
  <si>
    <t>Dritm129</t>
  </si>
  <si>
    <t>Prerna kaliya</t>
  </si>
  <si>
    <t>Dritm135</t>
  </si>
  <si>
    <t>Vijay Kapoor</t>
  </si>
  <si>
    <t>Dritm138</t>
  </si>
  <si>
    <t>Sachin</t>
  </si>
  <si>
    <t>Dritm144</t>
  </si>
  <si>
    <t>Karuna Devi</t>
  </si>
  <si>
    <t>Dritm145</t>
  </si>
  <si>
    <t>Saurav Dhanta</t>
  </si>
  <si>
    <t>Dritm148</t>
  </si>
  <si>
    <t>Priya Devi</t>
  </si>
  <si>
    <t>Dritm123</t>
  </si>
  <si>
    <t>Anita Devi</t>
  </si>
  <si>
    <t>Dritm154</t>
  </si>
  <si>
    <t>Hemlata Sharma</t>
  </si>
  <si>
    <t>Dritm156</t>
  </si>
  <si>
    <t xml:space="preserve">Promila </t>
  </si>
  <si>
    <t>Dritm157</t>
  </si>
  <si>
    <t xml:space="preserve">Diksha </t>
  </si>
  <si>
    <t>Dritm158</t>
  </si>
  <si>
    <t>Geeta Verma</t>
  </si>
  <si>
    <t>Dritm159</t>
  </si>
  <si>
    <t>Shivani Parihar</t>
  </si>
  <si>
    <t>Dritm160</t>
  </si>
  <si>
    <t xml:space="preserve">Deepika Kumari </t>
  </si>
  <si>
    <t>Dritm161</t>
  </si>
  <si>
    <t xml:space="preserve">Niketna </t>
  </si>
  <si>
    <t>Total</t>
  </si>
  <si>
    <t>Dritm162</t>
  </si>
  <si>
    <t>Muskan</t>
  </si>
  <si>
    <t>WK-2</t>
  </si>
  <si>
    <t>Dritm163</t>
  </si>
  <si>
    <t>Sanjivani Chauhan</t>
  </si>
  <si>
    <t>Dritm164</t>
  </si>
  <si>
    <t>Priyanka Raj</t>
  </si>
  <si>
    <t>CL</t>
  </si>
  <si>
    <t>Nikita Verma</t>
  </si>
  <si>
    <t>Dritm165</t>
  </si>
  <si>
    <t>Dritm167</t>
  </si>
  <si>
    <t>Jagariti</t>
  </si>
  <si>
    <t xml:space="preserve"> Dritm168</t>
  </si>
  <si>
    <t>Anjali Rawat</t>
  </si>
  <si>
    <t xml:space="preserve"> </t>
  </si>
  <si>
    <t>Vinod Kumar</t>
  </si>
  <si>
    <t>Dritm169</t>
  </si>
  <si>
    <t>Dritm170</t>
  </si>
  <si>
    <t>CO</t>
  </si>
  <si>
    <t>Holiday</t>
  </si>
  <si>
    <t xml:space="preserve">Preeti </t>
  </si>
  <si>
    <t xml:space="preserve"> Dritm171</t>
  </si>
  <si>
    <t>Total Leave</t>
  </si>
  <si>
    <t>Dritm172</t>
  </si>
  <si>
    <t>Dixha</t>
  </si>
  <si>
    <t xml:space="preserve"> Dritm173</t>
  </si>
  <si>
    <t xml:space="preserve">Shivani </t>
  </si>
  <si>
    <t>Dritm174</t>
  </si>
  <si>
    <t>Kritika</t>
  </si>
  <si>
    <t>Dritm175</t>
  </si>
  <si>
    <t>Dritm176</t>
  </si>
  <si>
    <t>Kamna Verma</t>
  </si>
  <si>
    <t>Radha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</si>
</sst>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13">
    <font>
      <sz val="11"/>
      <color theme="1"/>
      <name val="Aptos Narrow"/>
      <family val="2"/>
      <scheme val="minor"/>
    </font>
    <font>
      <sz val="8"/>
      <color rgb="FF000000"/>
      <name val="Abyssinica SIL"/>
      <charset val="1"/>
    </font>
    <font>
      <b/>
      <sz val="8"/>
      <color rgb="FF000000"/>
      <name val="Abyssinica SIL"/>
      <charset val="1"/>
    </font>
    <font>
      <b/>
      <sz val="8"/>
      <color rgb="FF000000"/>
      <name val="Abyssinica SIL"/>
    </font>
    <font>
      <b/>
      <sz val="8"/>
      <color theme="0"/>
      <name val="Abyssinica SIL"/>
    </font>
    <font>
      <b/>
      <sz val="8"/>
      <color theme="0"/>
      <name val="Abyssinica SIL"/>
      <charset val="1"/>
    </font>
    <font>
      <b/>
      <sz val="8"/>
      <name val="Abyssinica SIL"/>
    </font>
    <font>
      <sz val="8"/>
      <color theme="1"/>
      <name val="Tahoma"/>
      <family val="2"/>
      <charset val="1"/>
    </font>
    <font>
      <b/>
      <sz val="9"/>
      <color theme="0"/>
      <name val="Arial"/>
      <family val="2"/>
    </font>
    <font>
      <sz val="8"/>
      <color theme="1"/>
      <name val="Tahoma"/>
      <family val="2"/>
    </font>
    <font>
      <b/>
      <sz val="8"/>
      <color theme="1"/>
      <name val="Abyssinica SIL"/>
      <charset val="1"/>
    </font>
    <font>
      <sz val="8"/>
      <color theme="1"/>
      <name val="Aptos Narrow"/>
      <family val="2"/>
      <scheme val="minor"/>
    </font>
    <font>
      <b/>
      <sz val="8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5" tint="0.79998168889431442"/>
        <bgColor rgb="FFFFFF00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rgb="FFFFFF00"/>
      </patternFill>
    </fill>
    <fill>
      <patternFill patternType="solid">
        <fgColor theme="2" tint="-0.249977111117893"/>
        <bgColor rgb="FFED7D3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59999389629810485"/>
        <bgColor rgb="FFFFFF00"/>
      </patternFill>
    </fill>
    <fill>
      <patternFill patternType="solid">
        <fgColor rgb="FFCCFF33"/>
        <bgColor rgb="FFFFFF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top"/>
    </xf>
    <xf numFmtId="164" fontId="2" fillId="7" borderId="1" xfId="0" applyNumberFormat="1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4" fillId="9" borderId="0" xfId="0" applyFont="1" applyFill="1" applyAlignment="1">
      <alignment horizontal="center" vertical="top"/>
    </xf>
    <xf numFmtId="0" fontId="6" fillId="11" borderId="0" xfId="0" applyFont="1" applyFill="1" applyAlignment="1">
      <alignment horizontal="center" vertical="top"/>
    </xf>
    <xf numFmtId="0" fontId="5" fillId="12" borderId="1" xfId="0" applyFont="1" applyFill="1" applyBorder="1" applyAlignment="1">
      <alignment horizontal="center" vertical="top"/>
    </xf>
    <xf numFmtId="0" fontId="7" fillId="13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 vertical="top"/>
    </xf>
    <xf numFmtId="0" fontId="9" fillId="19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18" fontId="4" fillId="9" borderId="0" xfId="0" applyNumberFormat="1" applyFont="1" applyFill="1" applyAlignment="1">
      <alignment horizontal="center" vertical="top"/>
    </xf>
    <xf numFmtId="0" fontId="2" fillId="20" borderId="1" xfId="0" applyFont="1" applyFill="1" applyBorder="1" applyAlignment="1">
      <alignment horizontal="center" vertical="top"/>
    </xf>
    <xf numFmtId="0" fontId="2" fillId="17" borderId="5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4" fillId="10" borderId="1" xfId="0" applyFont="1" applyFill="1" applyBorder="1" applyAlignment="1">
      <alignment horizontal="center" vertical="top"/>
    </xf>
    <xf numFmtId="0" fontId="11" fillId="0" borderId="1" xfId="0" applyFont="1" applyBorder="1"/>
    <xf numFmtId="0" fontId="0" fillId="0" borderId="1" xfId="0" applyBorder="1"/>
    <xf numFmtId="0" fontId="2" fillId="0" borderId="0" xfId="0" applyFont="1" applyAlignment="1">
      <alignment horizontal="center" vertical="top"/>
    </xf>
    <xf numFmtId="18" fontId="1" fillId="0" borderId="0" xfId="0" applyNumberFormat="1" applyFont="1" applyAlignment="1">
      <alignment horizontal="center" vertical="top"/>
    </xf>
    <xf numFmtId="164" fontId="10" fillId="18" borderId="2" xfId="0" applyNumberFormat="1" applyFont="1" applyFill="1" applyBorder="1" applyAlignment="1">
      <alignment horizontal="center" vertical="top"/>
    </xf>
    <xf numFmtId="164" fontId="10" fillId="18" borderId="3" xfId="0" applyNumberFormat="1" applyFont="1" applyFill="1" applyBorder="1" applyAlignment="1">
      <alignment horizontal="center" vertical="top"/>
    </xf>
    <xf numFmtId="164" fontId="10" fillId="18" borderId="4" xfId="0" applyNumberFormat="1" applyFont="1" applyFill="1" applyBorder="1" applyAlignment="1">
      <alignment horizontal="center" vertical="top"/>
    </xf>
    <xf numFmtId="164" fontId="2" fillId="2" borderId="2" xfId="0" applyNumberFormat="1" applyFont="1" applyFill="1" applyBorder="1" applyAlignment="1">
      <alignment horizontal="center" vertical="top"/>
    </xf>
    <xf numFmtId="164" fontId="2" fillId="2" borderId="3" xfId="0" applyNumberFormat="1" applyFont="1" applyFill="1" applyBorder="1" applyAlignment="1">
      <alignment horizontal="center" vertical="top"/>
    </xf>
    <xf numFmtId="164" fontId="2" fillId="2" borderId="4" xfId="0" applyNumberFormat="1" applyFont="1" applyFill="1" applyBorder="1" applyAlignment="1">
      <alignment horizontal="center" vertical="top"/>
    </xf>
    <xf numFmtId="164" fontId="10" fillId="18" borderId="1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50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ont>
        <color theme="0"/>
      </font>
      <fill>
        <patternFill>
          <bgColor theme="3" tint="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996600"/>
        </patternFill>
      </fill>
    </dxf>
    <dxf>
      <fill>
        <patternFill>
          <bgColor theme="9" tint="0.59996337778862885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66FFFF"/>
        </patternFill>
      </fill>
    </dxf>
    <dxf>
      <fill>
        <patternFill>
          <bgColor rgb="FF99CC00"/>
        </patternFill>
      </fill>
    </dxf>
    <dxf>
      <font>
        <color theme="1"/>
      </font>
      <fill>
        <patternFill>
          <bgColor rgb="FFFF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1"/>
      </font>
      <fill>
        <patternFill>
          <bgColor rgb="FFFFCCFF"/>
        </patternFill>
      </fill>
    </dxf>
    <dxf>
      <fill>
        <patternFill>
          <bgColor rgb="FF99CC00"/>
        </patternFill>
      </fill>
    </dxf>
    <dxf>
      <fill>
        <patternFill>
          <bgColor rgb="FF66FFFF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3" tint="0.89996032593768116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0.24994659260841701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9966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ill>
        <patternFill>
          <bgColor theme="9" tint="0.59996337778862885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996600"/>
        </patternFill>
      </fill>
    </dxf>
    <dxf>
      <fill>
        <patternFill>
          <bgColor rgb="FF99CC00"/>
        </patternFill>
      </fill>
    </dxf>
    <dxf>
      <fill>
        <patternFill>
          <bgColor theme="3" tint="0.89996032593768116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66FFFF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996600"/>
        </patternFill>
      </fill>
    </dxf>
    <dxf>
      <fill>
        <patternFill>
          <bgColor theme="3" tint="0.89996032593768116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66FFFF"/>
        </patternFill>
      </fill>
    </dxf>
    <dxf>
      <fill>
        <patternFill>
          <bgColor rgb="FF99CC00"/>
        </patternFill>
      </fill>
    </dxf>
    <dxf>
      <font>
        <color theme="1"/>
      </font>
      <fill>
        <patternFill>
          <bgColor rgb="FFFFCCFF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996600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66FFFF"/>
        </patternFill>
      </fill>
    </dxf>
    <dxf>
      <fill>
        <patternFill>
          <bgColor rgb="FF99CC00"/>
        </patternFill>
      </fill>
    </dxf>
    <dxf>
      <font>
        <color theme="1"/>
      </font>
      <fill>
        <patternFill>
          <bgColor rgb="FFFFCCFF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ill>
        <patternFill>
          <bgColor theme="3" tint="0.89996032593768116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rgb="FF99CC00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8" tint="0.59996337778862885"/>
        </patternFill>
      </fill>
    </dxf>
    <dxf>
      <fill>
        <patternFill>
          <bgColor rgb="FFFF9933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6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rgb="FF66FFFF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CC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ont>
        <color theme="0"/>
      </font>
      <fill>
        <patternFill>
          <bgColor theme="3" tint="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ont>
        <color theme="0"/>
      </font>
      <fill>
        <patternFill>
          <bgColor rgb="FF996600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66FFFF"/>
        </patternFill>
      </fill>
    </dxf>
    <dxf>
      <fill>
        <patternFill>
          <bgColor rgb="FF99CC00"/>
        </patternFill>
      </fill>
    </dxf>
    <dxf>
      <font>
        <color theme="1"/>
      </font>
      <fill>
        <patternFill>
          <bgColor rgb="FFFFCCFF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9966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66FFFF"/>
        </patternFill>
      </fill>
    </dxf>
    <dxf>
      <fill>
        <patternFill>
          <bgColor rgb="FF99CC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patternFill>
          <bgColor rgb="FF66FFFF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rgb="FF99CC00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ill>
        <patternFill>
          <bgColor rgb="FFFFFF99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996600"/>
        </patternFill>
      </fill>
    </dxf>
    <dxf>
      <font>
        <color theme="1"/>
      </font>
      <fill>
        <patternFill>
          <bgColor rgb="FFFFCCFF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color theme="0"/>
      </font>
      <fill>
        <patternFill>
          <bgColor theme="8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rgb="FF99CC00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8" tint="0.59996337778862885"/>
        </patternFill>
      </fill>
    </dxf>
    <dxf>
      <fill>
        <patternFill>
          <bgColor rgb="FFFF9933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66FFFF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rgb="FFCC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34900967436750391"/>
          </stop>
        </gradient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ont>
        <color theme="0"/>
      </font>
      <fill>
        <patternFill>
          <bgColor theme="3" tint="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FFFF99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ont>
        <color theme="0"/>
      </font>
      <fill>
        <patternFill>
          <bgColor rgb="FF996600"/>
        </patternFill>
      </fill>
    </dxf>
    <dxf>
      <fill>
        <patternFill>
          <bgColor rgb="FF99CC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patternFill>
          <bgColor rgb="FF66FF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lor theme="0"/>
      </font>
      <fill>
        <patternFill>
          <bgColor rgb="FFFF5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patternFill>
          <bgColor rgb="FF66FFFF"/>
        </patternFill>
      </fill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rgb="FF996600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ont>
        <color theme="0"/>
      </font>
      <fill>
        <patternFill>
          <bgColor theme="3" tint="0.24994659260841701"/>
        </patternFill>
      </fill>
    </dxf>
    <dxf>
      <fill>
        <patternFill>
          <bgColor theme="9" tint="0.59996337778862885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99CC00"/>
        </patternFill>
      </fill>
    </dxf>
    <dxf>
      <font>
        <color theme="1"/>
      </font>
      <fill>
        <patternFill>
          <bgColor rgb="FFFFCCF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505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CFF33"/>
          </stop>
        </gradientFill>
      </fill>
    </dxf>
    <dxf>
      <font>
        <color theme="0"/>
      </font>
      <fill>
        <patternFill>
          <bgColor rgb="FFFF5050"/>
        </patternFill>
      </fill>
    </dxf>
    <dxf>
      <fill>
        <patternFill>
          <bgColor rgb="FF99CC00"/>
        </patternFill>
      </fill>
    </dxf>
    <dxf>
      <font>
        <color theme="1"/>
      </font>
      <fill>
        <patternFill>
          <bgColor rgb="FFFFCCFF"/>
        </patternFill>
      </fill>
    </dxf>
    <dxf>
      <fill>
        <patternFill>
          <bgColor theme="3" tint="0.89996032593768116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0" tint="-0.25098422193060094"/>
          </stop>
        </gradient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theme="6" tint="0.40000610370189521"/>
          </stop>
        </gradient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rgb="FF996600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66FFFF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8" tint="0.59996337778862885"/>
        </patternFill>
      </fill>
    </dxf>
    <dxf>
      <fill>
        <patternFill>
          <bgColor rgb="FFFF9933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8" tint="-0.499984740745262"/>
        </patternFill>
      </fill>
    </dxf>
    <dxf>
      <fill>
        <patternFill>
          <bgColor theme="4" tint="0.79998168889431442"/>
        </patternFill>
      </fill>
    </dxf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patternFill>
          <bgColor rgb="FF99CC00"/>
        </patternFill>
      </fill>
    </dxf>
    <dxf>
      <fill>
        <patternFill>
          <bgColor theme="8" tint="0.79998168889431442"/>
        </patternFill>
      </fill>
    </dxf>
    <dxf>
      <fill>
        <patternFill>
          <bgColor rgb="FF66FFFF"/>
        </patternFill>
      </fill>
    </dxf>
    <dxf>
      <font>
        <color theme="1"/>
      </font>
      <fill>
        <patternFill>
          <bgColor rgb="FFCCFF66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00"/>
      <color rgb="FFCCFF33"/>
      <color rgb="FF9999FF"/>
      <color rgb="FFFF00FF"/>
      <color rgb="FFFF5050"/>
      <color rgb="FF996600"/>
      <color rgb="FFFFCCFF"/>
      <color rgb="FF009900"/>
      <color rgb="FF0000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1"/>
  <sheetViews>
    <sheetView tabSelected="1" zoomScale="91" zoomScaleNormal="91" workbookViewId="0">
      <pane xSplit="6" ySplit="3" topLeftCell="AU4" activePane="bottomRight" state="frozen"/>
      <selection pane="topRight" activeCell="G1" sqref="G1"/>
      <selection pane="bottomLeft" activeCell="A4" sqref="A4"/>
      <selection pane="bottomRight" activeCell="AU4" sqref="AU4"/>
    </sheetView>
  </sheetViews>
  <sheetFormatPr defaultRowHeight="15"/>
  <cols>
    <col min="1" max="2" width="7.7109375" bestFit="1" customWidth="1"/>
    <col min="3" max="3" width="18.5703125" bestFit="1" customWidth="1"/>
    <col min="4" max="4" width="8" bestFit="1" customWidth="1"/>
    <col min="5" max="5" width="6.85546875" bestFit="1" customWidth="1"/>
    <col min="6" max="6" width="37.85546875" customWidth="1"/>
    <col min="7" max="14" width="14.7109375" hidden="1" customWidth="1"/>
    <col min="15" max="15" width="11.85546875" hidden="1" customWidth="1"/>
    <col min="16" max="16" width="3.140625" hidden="1" customWidth="1"/>
    <col min="17" max="17" width="3.28515625" hidden="1" customWidth="1"/>
    <col min="18" max="18" width="3.140625" hidden="1" customWidth="1"/>
    <col min="19" max="26" width="14.7109375" hidden="1" customWidth="1"/>
    <col min="27" max="27" width="11.85546875" hidden="1" customWidth="1"/>
    <col min="28" max="28" width="3.140625" hidden="1" customWidth="1"/>
    <col min="29" max="29" width="3.28515625" hidden="1" customWidth="1"/>
    <col min="30" max="30" width="3.140625" hidden="1" customWidth="1"/>
    <col min="31" max="36" width="14.7109375" hidden="1" customWidth="1"/>
    <col min="37" max="37" width="20.42578125" hidden="1" customWidth="1"/>
    <col min="38" max="38" width="13" hidden="1" customWidth="1"/>
    <col min="39" max="39" width="12.28515625" hidden="1" customWidth="1"/>
    <col min="40" max="40" width="3.140625" hidden="1" customWidth="1"/>
    <col min="41" max="41" width="3.28515625" hidden="1" customWidth="1"/>
    <col min="42" max="42" width="3.140625" hidden="1" customWidth="1"/>
    <col min="43" max="46" width="14.7109375" hidden="1" customWidth="1"/>
    <col min="47" max="50" width="14.7109375" bestFit="1" customWidth="1"/>
    <col min="51" max="51" width="11.85546875" bestFit="1" customWidth="1"/>
    <col min="52" max="52" width="3.140625" bestFit="1" customWidth="1"/>
    <col min="53" max="53" width="3.28515625" bestFit="1" customWidth="1"/>
    <col min="54" max="54" width="3.140625" bestFit="1" customWidth="1"/>
    <col min="55" max="56" width="14.7109375" bestFit="1" customWidth="1"/>
    <col min="57" max="57" width="14.7109375" hidden="1" customWidth="1"/>
    <col min="58" max="58" width="14.7109375" bestFit="1" customWidth="1"/>
    <col min="59" max="59" width="11.85546875" bestFit="1" customWidth="1"/>
    <col min="60" max="60" width="3.140625" bestFit="1" customWidth="1"/>
    <col min="61" max="61" width="3.28515625" bestFit="1" customWidth="1"/>
    <col min="62" max="62" width="3.140625" bestFit="1" customWidth="1"/>
  </cols>
  <sheetData>
    <row r="1" spans="1:62" ht="15.75" customHeight="1">
      <c r="A1" s="1"/>
      <c r="B1" s="1"/>
      <c r="C1" s="1"/>
      <c r="D1" s="1"/>
      <c r="E1" s="1"/>
      <c r="F1" s="1"/>
      <c r="G1" s="14" t="str">
        <f>"Wk-"&amp;WEEKNUM(DAY(G2))</f>
        <v>Wk-1</v>
      </c>
      <c r="H1" s="14" t="str">
        <f t="shared" ref="H1:M1" si="0">"Wk-"&amp;WEEKNUM(DAY(H2))</f>
        <v>Wk-1</v>
      </c>
      <c r="I1" s="14" t="str">
        <f t="shared" si="0"/>
        <v>Wk-1</v>
      </c>
      <c r="J1" s="14" t="str">
        <f t="shared" si="0"/>
        <v>Wk-1</v>
      </c>
      <c r="K1" s="14" t="str">
        <f t="shared" si="0"/>
        <v>Wk-1</v>
      </c>
      <c r="L1" s="14" t="str">
        <f t="shared" si="0"/>
        <v>Wk-1</v>
      </c>
      <c r="M1" s="14" t="str">
        <f t="shared" si="0"/>
        <v>Wk-1</v>
      </c>
      <c r="N1" s="1"/>
      <c r="O1" s="1"/>
      <c r="P1" s="1"/>
      <c r="Q1" s="1"/>
      <c r="R1" s="1"/>
      <c r="S1" s="14" t="str">
        <f>"Wk-"&amp;WEEKNUM(DAY(S2))</f>
        <v>Wk-2</v>
      </c>
      <c r="T1" s="14" t="str">
        <f t="shared" ref="T1:Y1" si="1">"Wk-"&amp;WEEKNUM(DAY(T2))</f>
        <v>Wk-2</v>
      </c>
      <c r="U1" s="14" t="str">
        <f t="shared" si="1"/>
        <v>Wk-2</v>
      </c>
      <c r="V1" s="14" t="str">
        <f t="shared" si="1"/>
        <v>Wk-2</v>
      </c>
      <c r="W1" s="14" t="str">
        <f t="shared" si="1"/>
        <v>Wk-2</v>
      </c>
      <c r="X1" s="14" t="str">
        <f t="shared" si="1"/>
        <v>Wk-2</v>
      </c>
      <c r="Y1" s="14" t="str">
        <f t="shared" si="1"/>
        <v>Wk-2</v>
      </c>
      <c r="Z1" s="1"/>
      <c r="AA1" s="1"/>
      <c r="AB1" s="1"/>
      <c r="AC1" s="1"/>
      <c r="AD1" s="1"/>
      <c r="AE1" s="14" t="str">
        <f>"Wk-"&amp;WEEKNUM(DAY(AE2))</f>
        <v>Wk-3</v>
      </c>
      <c r="AF1" s="14" t="str">
        <f t="shared" ref="AF1:AK1" si="2">"Wk-"&amp;WEEKNUM(DAY(AF2))</f>
        <v>Wk-3</v>
      </c>
      <c r="AG1" s="14" t="str">
        <f t="shared" si="2"/>
        <v>Wk-3</v>
      </c>
      <c r="AH1" s="14" t="str">
        <f t="shared" si="2"/>
        <v>Wk-3</v>
      </c>
      <c r="AI1" s="14" t="str">
        <f t="shared" si="2"/>
        <v>Wk-3</v>
      </c>
      <c r="AJ1" s="14" t="str">
        <f t="shared" si="2"/>
        <v>Wk-3</v>
      </c>
      <c r="AK1" s="14" t="str">
        <f t="shared" si="2"/>
        <v>Wk-3</v>
      </c>
      <c r="AL1" s="1"/>
      <c r="AM1" s="1"/>
      <c r="AN1" s="1"/>
      <c r="AO1" s="1"/>
      <c r="AP1" s="1"/>
      <c r="AQ1" s="14" t="str">
        <f>"Wk-"&amp;WEEKNUM(DAY(AQ2))</f>
        <v>Wk-4</v>
      </c>
      <c r="AR1" s="14" t="str">
        <f t="shared" ref="AR1:AW1" si="3">"Wk-"&amp;WEEKNUM(DAY(AR2))</f>
        <v>Wk-4</v>
      </c>
      <c r="AS1" s="14" t="str">
        <f t="shared" si="3"/>
        <v>Wk-4</v>
      </c>
      <c r="AT1" s="14" t="str">
        <f t="shared" si="3"/>
        <v>Wk-4</v>
      </c>
      <c r="AU1" s="14" t="str">
        <f t="shared" si="3"/>
        <v>Wk-4</v>
      </c>
      <c r="AV1" s="14" t="str">
        <f t="shared" si="3"/>
        <v>Wk-4</v>
      </c>
      <c r="AW1" s="14" t="str">
        <f t="shared" si="3"/>
        <v>Wk-4</v>
      </c>
      <c r="AX1" s="1"/>
      <c r="AY1" s="1"/>
      <c r="AZ1" s="1"/>
      <c r="BA1" s="1"/>
      <c r="BB1" s="1"/>
      <c r="BC1" s="14" t="str">
        <f>"Wk-"&amp;WEEKNUM(DAY(BC2))</f>
        <v>Wk-5</v>
      </c>
      <c r="BD1" s="14" t="str">
        <f t="shared" ref="BD1:BE1" si="4">"Wk-"&amp;WEEKNUM(DAY(BD2))</f>
        <v>Wk-5</v>
      </c>
      <c r="BE1" s="14" t="str">
        <f t="shared" si="4"/>
        <v>Wk-1</v>
      </c>
      <c r="BF1" s="1"/>
      <c r="BG1" s="1"/>
      <c r="BH1" s="1"/>
      <c r="BI1" s="1"/>
      <c r="BJ1" s="1"/>
    </row>
    <row r="2" spans="1:62">
      <c r="A2" s="8" t="s">
        <v>255</v>
      </c>
      <c r="B2" s="9" t="s">
        <v>0</v>
      </c>
      <c r="C2" s="9" t="s">
        <v>1</v>
      </c>
      <c r="D2" s="8" t="s">
        <v>2</v>
      </c>
      <c r="E2" s="8" t="s">
        <v>3</v>
      </c>
      <c r="F2" s="10" t="s">
        <v>4</v>
      </c>
      <c r="G2" s="8">
        <v>46266</v>
      </c>
      <c r="H2" s="8">
        <f>G2+1</f>
        <v>46267</v>
      </c>
      <c r="I2" s="8">
        <f t="shared" ref="I2:M2" si="5">H2+1</f>
        <v>46268</v>
      </c>
      <c r="J2" s="8">
        <f t="shared" si="5"/>
        <v>46269</v>
      </c>
      <c r="K2" s="8">
        <f t="shared" si="5"/>
        <v>46270</v>
      </c>
      <c r="L2" s="8">
        <f t="shared" si="5"/>
        <v>46271</v>
      </c>
      <c r="M2" s="8">
        <f t="shared" si="5"/>
        <v>46272</v>
      </c>
      <c r="N2" s="36" t="s">
        <v>141</v>
      </c>
      <c r="O2" s="37"/>
      <c r="P2" s="37"/>
      <c r="Q2" s="37"/>
      <c r="R2" s="38"/>
      <c r="S2" s="8">
        <f>M2+1</f>
        <v>46273</v>
      </c>
      <c r="T2" s="8">
        <f>S2+1</f>
        <v>46274</v>
      </c>
      <c r="U2" s="8">
        <f t="shared" ref="U2:Y2" si="6">T2+1</f>
        <v>46275</v>
      </c>
      <c r="V2" s="8">
        <f t="shared" si="6"/>
        <v>46276</v>
      </c>
      <c r="W2" s="8">
        <f t="shared" si="6"/>
        <v>46277</v>
      </c>
      <c r="X2" s="8">
        <f t="shared" si="6"/>
        <v>46278</v>
      </c>
      <c r="Y2" s="8">
        <f t="shared" si="6"/>
        <v>46279</v>
      </c>
      <c r="Z2" s="36" t="s">
        <v>142</v>
      </c>
      <c r="AA2" s="37"/>
      <c r="AB2" s="37"/>
      <c r="AC2" s="37"/>
      <c r="AD2" s="38"/>
      <c r="AE2" s="8">
        <f>Y2+1</f>
        <v>46280</v>
      </c>
      <c r="AF2" s="8">
        <f>AE2+1</f>
        <v>46281</v>
      </c>
      <c r="AG2" s="8">
        <f t="shared" ref="AG2:AK2" si="7">AF2+1</f>
        <v>46282</v>
      </c>
      <c r="AH2" s="8">
        <f t="shared" si="7"/>
        <v>46283</v>
      </c>
      <c r="AI2" s="8">
        <f t="shared" si="7"/>
        <v>46284</v>
      </c>
      <c r="AJ2" s="8">
        <f t="shared" si="7"/>
        <v>46285</v>
      </c>
      <c r="AK2" s="8">
        <f t="shared" si="7"/>
        <v>46286</v>
      </c>
      <c r="AL2" s="36" t="s">
        <v>143</v>
      </c>
      <c r="AM2" s="37"/>
      <c r="AN2" s="37"/>
      <c r="AO2" s="37"/>
      <c r="AP2" s="38"/>
      <c r="AQ2" s="8">
        <f>AK2+1</f>
        <v>46287</v>
      </c>
      <c r="AR2" s="8">
        <f>AQ2+1</f>
        <v>46288</v>
      </c>
      <c r="AS2" s="8">
        <f t="shared" ref="AS2:AW2" si="8">AR2+1</f>
        <v>46289</v>
      </c>
      <c r="AT2" s="8">
        <f t="shared" si="8"/>
        <v>46290</v>
      </c>
      <c r="AU2" s="8">
        <f t="shared" si="8"/>
        <v>46291</v>
      </c>
      <c r="AV2" s="8">
        <f t="shared" si="8"/>
        <v>46292</v>
      </c>
      <c r="AW2" s="8">
        <f t="shared" si="8"/>
        <v>46293</v>
      </c>
      <c r="AX2" s="36" t="s">
        <v>144</v>
      </c>
      <c r="AY2" s="37"/>
      <c r="AZ2" s="37"/>
      <c r="BA2" s="37"/>
      <c r="BB2" s="38"/>
      <c r="BC2" s="8">
        <f>AW2+1</f>
        <v>46294</v>
      </c>
      <c r="BD2" s="8">
        <f>BC2+1</f>
        <v>46295</v>
      </c>
      <c r="BE2" s="8">
        <f t="shared" ref="BE2" si="9">BD2+1</f>
        <v>46296</v>
      </c>
      <c r="BF2" s="36" t="s">
        <v>145</v>
      </c>
      <c r="BG2" s="37"/>
      <c r="BH2" s="37"/>
      <c r="BI2" s="37"/>
      <c r="BJ2" s="38"/>
    </row>
    <row r="3" spans="1:62">
      <c r="A3" s="11"/>
      <c r="B3" s="11"/>
      <c r="C3" s="11"/>
      <c r="D3" s="11"/>
      <c r="E3" s="11"/>
      <c r="F3" s="11"/>
      <c r="G3" s="12" t="str">
        <f>UPPER(TEXT(G2,"ddd"))</f>
        <v>TUE</v>
      </c>
      <c r="H3" s="12" t="str">
        <f t="shared" ref="H3:M3" si="10">UPPER(TEXT(H2,"ddd"))</f>
        <v>WED</v>
      </c>
      <c r="I3" s="12" t="str">
        <f t="shared" si="10"/>
        <v>THU</v>
      </c>
      <c r="J3" s="12" t="str">
        <f t="shared" si="10"/>
        <v>FRI</v>
      </c>
      <c r="K3" s="12" t="str">
        <f t="shared" si="10"/>
        <v>SAT</v>
      </c>
      <c r="L3" s="12" t="str">
        <f t="shared" si="10"/>
        <v>SUN</v>
      </c>
      <c r="M3" s="12" t="str">
        <f t="shared" si="10"/>
        <v>MON</v>
      </c>
      <c r="N3" s="3" t="s">
        <v>7</v>
      </c>
      <c r="O3" s="3" t="s">
        <v>8</v>
      </c>
      <c r="P3" s="3" t="s">
        <v>248</v>
      </c>
      <c r="Q3" s="3" t="s">
        <v>5</v>
      </c>
      <c r="R3" s="3" t="s">
        <v>6</v>
      </c>
      <c r="S3" s="12" t="str">
        <f>UPPER(TEXT(S2,"ddd"))</f>
        <v>TUE</v>
      </c>
      <c r="T3" s="12" t="str">
        <f t="shared" ref="T3:Y3" si="11">UPPER(TEXT(T2,"ddd"))</f>
        <v>WED</v>
      </c>
      <c r="U3" s="12" t="str">
        <f t="shared" si="11"/>
        <v>THU</v>
      </c>
      <c r="V3" s="12" t="str">
        <f t="shared" si="11"/>
        <v>FRI</v>
      </c>
      <c r="W3" s="12" t="str">
        <f t="shared" si="11"/>
        <v>SAT</v>
      </c>
      <c r="X3" s="12" t="str">
        <f t="shared" si="11"/>
        <v>SUN</v>
      </c>
      <c r="Y3" s="12" t="str">
        <f t="shared" si="11"/>
        <v>MON</v>
      </c>
      <c r="Z3" s="3" t="s">
        <v>7</v>
      </c>
      <c r="AA3" s="3" t="s">
        <v>8</v>
      </c>
      <c r="AB3" s="3" t="s">
        <v>248</v>
      </c>
      <c r="AC3" s="3" t="s">
        <v>5</v>
      </c>
      <c r="AD3" s="3" t="s">
        <v>6</v>
      </c>
      <c r="AE3" s="12" t="str">
        <f>UPPER(TEXT(AE2,"ddd"))</f>
        <v>TUE</v>
      </c>
      <c r="AF3" s="12" t="str">
        <f t="shared" ref="AF3:AK3" si="12">UPPER(TEXT(AF2,"ddd"))</f>
        <v>WED</v>
      </c>
      <c r="AG3" s="12" t="str">
        <f t="shared" si="12"/>
        <v>THU</v>
      </c>
      <c r="AH3" s="12" t="str">
        <f t="shared" si="12"/>
        <v>FRI</v>
      </c>
      <c r="AI3" s="12" t="str">
        <f t="shared" si="12"/>
        <v>SAT</v>
      </c>
      <c r="AJ3" s="12" t="str">
        <f t="shared" si="12"/>
        <v>SUN</v>
      </c>
      <c r="AK3" s="12" t="str">
        <f t="shared" si="12"/>
        <v>MON</v>
      </c>
      <c r="AL3" s="3" t="s">
        <v>7</v>
      </c>
      <c r="AM3" s="3" t="s">
        <v>8</v>
      </c>
      <c r="AN3" s="3" t="s">
        <v>248</v>
      </c>
      <c r="AO3" s="3" t="s">
        <v>5</v>
      </c>
      <c r="AP3" s="3" t="s">
        <v>6</v>
      </c>
      <c r="AQ3" s="12" t="str">
        <f>UPPER(TEXT(AQ2,"ddd"))</f>
        <v>TUE</v>
      </c>
      <c r="AR3" s="12" t="str">
        <f t="shared" ref="AR3:AW3" si="13">UPPER(TEXT(AR2,"ddd"))</f>
        <v>WED</v>
      </c>
      <c r="AS3" s="12" t="str">
        <f t="shared" si="13"/>
        <v>THU</v>
      </c>
      <c r="AT3" s="12" t="str">
        <f t="shared" si="13"/>
        <v>FRI</v>
      </c>
      <c r="AU3" s="12" t="str">
        <f t="shared" si="13"/>
        <v>SAT</v>
      </c>
      <c r="AV3" s="12" t="str">
        <f t="shared" si="13"/>
        <v>SUN</v>
      </c>
      <c r="AW3" s="12" t="str">
        <f t="shared" si="13"/>
        <v>MON</v>
      </c>
      <c r="AX3" s="3" t="s">
        <v>7</v>
      </c>
      <c r="AY3" s="3" t="s">
        <v>8</v>
      </c>
      <c r="AZ3" s="3" t="s">
        <v>248</v>
      </c>
      <c r="BA3" s="3" t="s">
        <v>5</v>
      </c>
      <c r="BB3" s="3" t="s">
        <v>6</v>
      </c>
      <c r="BC3" s="12" t="str">
        <f>UPPER(TEXT(BC2,"ddd"))</f>
        <v>TUE</v>
      </c>
      <c r="BD3" s="12" t="str">
        <f t="shared" ref="BD3:BE3" si="14">UPPER(TEXT(BD2,"ddd"))</f>
        <v>WED</v>
      </c>
      <c r="BE3" s="12" t="str">
        <f t="shared" si="14"/>
        <v>THU</v>
      </c>
      <c r="BF3" s="3" t="s">
        <v>7</v>
      </c>
      <c r="BG3" s="3" t="s">
        <v>8</v>
      </c>
      <c r="BH3" s="3" t="s">
        <v>248</v>
      </c>
      <c r="BI3" s="3" t="s">
        <v>5</v>
      </c>
      <c r="BJ3" s="3" t="s">
        <v>6</v>
      </c>
    </row>
    <row r="4" spans="1:62">
      <c r="A4" s="17">
        <v>1</v>
      </c>
      <c r="B4" s="16" t="str">
        <f>Morning_Shift!$B4</f>
        <v>Dritm65</v>
      </c>
      <c r="C4" s="21" t="str">
        <f>IF(IFERROR(VLOOKUP(B4,Morning_Shift!B:C,2,0),"")="",IFERROR(VLOOKUP(B4,Evening_Shift!B:C,2,0),""),IFERROR(VLOOKUP(B4,Morning_Shift!B:C,2,0),""))</f>
        <v>Aarti</v>
      </c>
      <c r="D4" s="15" t="str">
        <f>IF(IFERROR(VLOOKUP(B4,Morning_Shift!B:D,3,0),"")="",IFERROR(VLOOKUP(B4,Evening_Shift!B:D,3,0),""),IFERROR(VLOOKUP(B4,Morning_Shift!B:D,3,0),""))</f>
        <v>Naina</v>
      </c>
      <c r="E4" s="4" t="str">
        <f>IF(IFERROR(VLOOKUP(B4,Morning_Shift!B:E,4,0),"")="",IFERROR(VLOOKUP(B4,Evening_Shift!B:E,4,0),""),IFERROR(VLOOKUP(B4,Morning_Shift!B:E,4,0),""))</f>
        <v>F</v>
      </c>
      <c r="F4" s="5" t="str">
        <f>IF(IFERROR(VLOOKUP(B4,Morning_Shift!B:F,5,0),"")="",IFERROR(VLOOKUP(B4,Evening_Shift!B:F,5,0),""),IFERROR(VLOOKUP(B4,Morning_Shift!B:F,5,0),""))</f>
        <v>Inbound</v>
      </c>
      <c r="G4" s="2" t="str">
        <f>IF(IFERROR(VLOOKUP($B4,Morning_Shift!$B$4:$BJ$61,MATCH(Both_Shift_Roster!G$2,Morning_Shift!$B$2:$BJ$2,0),0),"")="",IFERROR(VLOOKUP($B4,Evening_Shift!$B$4:$BJ$62,MATCH(Both_Shift_Roster!G$2,Evening_Shift!$B$2:$BJ$2,0),0),""),IFERROR(VLOOKUP($B4,Morning_Shift!$B$4:$BJ$61,MATCH(Both_Shift_Roster!G$2,Morning_Shift!$B$2:$BJ$2,0),0),""))</f>
        <v>7:00-14:30</v>
      </c>
      <c r="H4" s="2" t="str">
        <f>IF(IFERROR(VLOOKUP($B4,Morning_Shift!$B$4:$BJ$61,MATCH(Both_Shift_Roster!H$2,Morning_Shift!$B$2:$BJ$2,0),0),"")="",IFERROR(VLOOKUP($B4,Evening_Shift!$B$4:$BJ$62,MATCH(Both_Shift_Roster!H$2,Evening_Shift!$B$2:$BJ$2,0),0),""),IFERROR(VLOOKUP($B4,Morning_Shift!$B$4:$BJ$61,MATCH(Both_Shift_Roster!H$2,Morning_Shift!$B$2:$BJ$2,0),0),""))</f>
        <v>7:00-14:30</v>
      </c>
      <c r="I4" s="2" t="str">
        <f>IF(IFERROR(VLOOKUP($B4,Morning_Shift!$B$4:$BJ$61,MATCH(Both_Shift_Roster!I$2,Morning_Shift!$B$2:$BJ$2,0),0),"")="",IFERROR(VLOOKUP($B4,Evening_Shift!$B$4:$BJ$62,MATCH(Both_Shift_Roster!I$2,Evening_Shift!$B$2:$BJ$2,0),0),""),IFERROR(VLOOKUP($B4,Morning_Shift!$B$4:$BJ$61,MATCH(Both_Shift_Roster!I$2,Morning_Shift!$B$2:$BJ$2,0),0),""))</f>
        <v>7:00-14:30</v>
      </c>
      <c r="J4" s="2" t="str">
        <f>IF(IFERROR(VLOOKUP($B4,Morning_Shift!$B$4:$BJ$61,MATCH(Both_Shift_Roster!J$2,Morning_Shift!$B$2:$BJ$2,0),0),"")="",IFERROR(VLOOKUP($B4,Evening_Shift!$B$4:$BJ$62,MATCH(Both_Shift_Roster!J$2,Evening_Shift!$B$2:$BJ$2,0),0),""),IFERROR(VLOOKUP($B4,Morning_Shift!$B$4:$BJ$61,MATCH(Both_Shift_Roster!J$2,Morning_Shift!$B$2:$BJ$2,0),0),""))</f>
        <v>7:00-14:30</v>
      </c>
      <c r="K4" s="2" t="str">
        <f>IF(IFERROR(VLOOKUP($B4,Morning_Shift!$B$4:$BJ$61,MATCH(Both_Shift_Roster!K$2,Morning_Shift!$B$2:$BJ$2,0),0),"")="",IFERROR(VLOOKUP($B4,Evening_Shift!$B$4:$BJ$62,MATCH(Both_Shift_Roster!K$2,Evening_Shift!$B$2:$BJ$2,0),0),""),IFERROR(VLOOKUP($B4,Morning_Shift!$B$4:$BJ$61,MATCH(Both_Shift_Roster!K$2,Morning_Shift!$B$2:$BJ$2,0),0),""))</f>
        <v>7:00-14:30</v>
      </c>
      <c r="L4" s="2" t="str">
        <f>IF(IFERROR(VLOOKUP($B4,Morning_Shift!$B$4:$BJ$61,MATCH(Both_Shift_Roster!L$2,Morning_Shift!$B$2:$BJ$2,0),0),"")="",IFERROR(VLOOKUP($B4,Evening_Shift!$B$4:$BJ$62,MATCH(Both_Shift_Roster!L$2,Evening_Shift!$B$2:$BJ$2,0),0),""),IFERROR(VLOOKUP($B4,Morning_Shift!$B$4:$BJ$61,MATCH(Both_Shift_Roster!L$2,Morning_Shift!$B$2:$BJ$2,0),0),""))</f>
        <v>7:00-14:30</v>
      </c>
      <c r="M4" s="2" t="str">
        <f>IF(IFERROR(VLOOKUP($B4,Morning_Shift!$B$4:$BJ$61,MATCH(Both_Shift_Roster!M$2,Morning_Shift!$B$2:$BJ$2,0),0),"")="",IFERROR(VLOOKUP($B4,Evening_Shift!$B$4:$BJ$62,MATCH(Both_Shift_Roster!M$2,Evening_Shift!$B$2:$BJ$2,0),0),""),IFERROR(VLOOKUP($B4,Morning_Shift!$B$4:$BJ$61,MATCH(Both_Shift_Roster!M$2,Morning_Shift!$B$2:$BJ$2,0),0),""))</f>
        <v>7:00-14:30</v>
      </c>
      <c r="N4" s="2">
        <f>COUNTIF($G4:$M4,"Agent Choice WO")</f>
        <v>0</v>
      </c>
      <c r="O4" s="2">
        <f>COUNTIF($G4:$M4,"TL Choice WO")</f>
        <v>0</v>
      </c>
      <c r="P4" s="2">
        <f>COUNTIF($G4:$M4,"CL")</f>
        <v>0</v>
      </c>
      <c r="Q4" s="2">
        <f>COUNTIF($G4:$M4,"HD")</f>
        <v>0</v>
      </c>
      <c r="R4" s="2">
        <f>COUNTIF($G4:$M4,"LP")</f>
        <v>0</v>
      </c>
      <c r="S4" s="2" t="str">
        <f>IF(IFERROR(VLOOKUP($B4,Morning_Shift!$B$4:$BJ$61,MATCH(Both_Shift_Roster!S$2,Morning_Shift!$B$2:$BJ$2,0),0),"")="",IFERROR(VLOOKUP($B4,Evening_Shift!$B$4:$BJ$62,MATCH(Both_Shift_Roster!S$2,Evening_Shift!$B$2:$BJ$2,0),0),""),IFERROR(VLOOKUP($B4,Morning_Shift!$B$4:$BJ$61,MATCH(Both_Shift_Roster!S$2,Morning_Shift!$B$2:$BJ$2,0),0),""))</f>
        <v>7:00-14:30</v>
      </c>
      <c r="T4" s="2" t="str">
        <f>IF(IFERROR(VLOOKUP($B4,Morning_Shift!$B$4:$BJ$61,MATCH(Both_Shift_Roster!T$2,Morning_Shift!$B$2:$BJ$2,0),0),"")="",IFERROR(VLOOKUP($B4,Evening_Shift!$B$4:$BJ$62,MATCH(Both_Shift_Roster!T$2,Evening_Shift!$B$2:$BJ$2,0),0),""),IFERROR(VLOOKUP($B4,Morning_Shift!$B$4:$BJ$61,MATCH(Both_Shift_Roster!T$2,Morning_Shift!$B$2:$BJ$2,0),0),""))</f>
        <v>7:00-14:30</v>
      </c>
      <c r="U4" s="2" t="str">
        <f>IF(IFERROR(VLOOKUP($B4,Morning_Shift!$B$4:$BJ$61,MATCH(Both_Shift_Roster!U$2,Morning_Shift!$B$2:$BJ$2,0),0),"")="",IFERROR(VLOOKUP($B4,Evening_Shift!$B$4:$BJ$62,MATCH(Both_Shift_Roster!U$2,Evening_Shift!$B$2:$BJ$2,0),0),""),IFERROR(VLOOKUP($B4,Morning_Shift!$B$4:$BJ$61,MATCH(Both_Shift_Roster!U$2,Morning_Shift!$B$2:$BJ$2,0),0),""))</f>
        <v>Agent Choice WO</v>
      </c>
      <c r="V4" s="2" t="str">
        <f>IF(IFERROR(VLOOKUP($B4,Morning_Shift!$B$4:$BJ$61,MATCH(Both_Shift_Roster!V$2,Morning_Shift!$B$2:$BJ$2,0),0),"")="",IFERROR(VLOOKUP($B4,Evening_Shift!$B$4:$BJ$62,MATCH(Both_Shift_Roster!V$2,Evening_Shift!$B$2:$BJ$2,0),0),""),IFERROR(VLOOKUP($B4,Morning_Shift!$B$4:$BJ$61,MATCH(Both_Shift_Roster!V$2,Morning_Shift!$B$2:$BJ$2,0),0),""))</f>
        <v>7:00-14:30</v>
      </c>
      <c r="W4" s="2" t="str">
        <f>IF(IFERROR(VLOOKUP($B4,Morning_Shift!$B$4:$BJ$61,MATCH(Both_Shift_Roster!W$2,Morning_Shift!$B$2:$BJ$2,0),0),"")="",IFERROR(VLOOKUP($B4,Evening_Shift!$B$4:$BJ$62,MATCH(Both_Shift_Roster!W$2,Evening_Shift!$B$2:$BJ$2,0),0),""),IFERROR(VLOOKUP($B4,Morning_Shift!$B$4:$BJ$61,MATCH(Both_Shift_Roster!W$2,Morning_Shift!$B$2:$BJ$2,0),0),""))</f>
        <v>7:00-14:30</v>
      </c>
      <c r="X4" s="2" t="str">
        <f>IF(IFERROR(VLOOKUP($B4,Morning_Shift!$B$4:$BJ$61,MATCH(Both_Shift_Roster!X$2,Morning_Shift!$B$2:$BJ$2,0),0),"")="",IFERROR(VLOOKUP($B4,Evening_Shift!$B$4:$BJ$62,MATCH(Both_Shift_Roster!X$2,Evening_Shift!$B$2:$BJ$2,0),0),""),IFERROR(VLOOKUP($B4,Morning_Shift!$B$4:$BJ$61,MATCH(Both_Shift_Roster!X$2,Morning_Shift!$B$2:$BJ$2,0),0),""))</f>
        <v>7:00-14:30</v>
      </c>
      <c r="Y4" s="2" t="str">
        <f>IF(IFERROR(VLOOKUP($B4,Morning_Shift!$B$4:$BJ$61,MATCH(Both_Shift_Roster!Y$2,Morning_Shift!$B$2:$BJ$2,0),0),"")="",IFERROR(VLOOKUP($B4,Evening_Shift!$B$4:$BJ$62,MATCH(Both_Shift_Roster!Y$2,Evening_Shift!$B$2:$BJ$2,0),0),""),IFERROR(VLOOKUP($B4,Morning_Shift!$B$4:$BJ$61,MATCH(Both_Shift_Roster!Y$2,Morning_Shift!$B$2:$BJ$2,0),0),""))</f>
        <v>7:00-14:30</v>
      </c>
      <c r="Z4" s="2">
        <f>COUNTIF($S4:$Y4,"Agent Choice WO")</f>
        <v>1</v>
      </c>
      <c r="AA4" s="2">
        <f>COUNTIF($S4:$Y4,"TL Choice WO")</f>
        <v>0</v>
      </c>
      <c r="AB4" s="2">
        <f>COUNTIF($S4:$Y4,"CL")</f>
        <v>0</v>
      </c>
      <c r="AC4" s="2">
        <f>COUNTIF($S4:$Y4,"HD")</f>
        <v>0</v>
      </c>
      <c r="AD4" s="2">
        <f>COUNTIF($S4:$Y4,"LP")</f>
        <v>0</v>
      </c>
      <c r="AE4" s="2" t="str">
        <f>IF(IFERROR(VLOOKUP($B4,Morning_Shift!$B$4:$BJ$61,MATCH(Both_Shift_Roster!AE$2,Morning_Shift!$B$2:$BJ$2,0),0),"")="",IFERROR(VLOOKUP($B4,Evening_Shift!$B$4:$BJ$62,MATCH(Both_Shift_Roster!AE$2,Evening_Shift!$B$2:$BJ$2,0),0),""),IFERROR(VLOOKUP($B4,Morning_Shift!$B$4:$BJ$61,MATCH(Both_Shift_Roster!AE$2,Morning_Shift!$B$2:$BJ$2,0),0),""))</f>
        <v>Agent Choice WO</v>
      </c>
      <c r="AF4" s="2" t="str">
        <f>IF(IFERROR(VLOOKUP($B4,Morning_Shift!$B$4:$BJ$61,MATCH(Both_Shift_Roster!AF$2,Morning_Shift!$B$2:$BJ$2,0),0),"")="",IFERROR(VLOOKUP($B4,Evening_Shift!$B$4:$BJ$62,MATCH(Both_Shift_Roster!AF$2,Evening_Shift!$B$2:$BJ$2,0),0),""),IFERROR(VLOOKUP($B4,Morning_Shift!$B$4:$BJ$61,MATCH(Both_Shift_Roster!AF$2,Morning_Shift!$B$2:$BJ$2,0),0),""))</f>
        <v>7:00-14:30</v>
      </c>
      <c r="AG4" s="2" t="str">
        <f>IF(IFERROR(VLOOKUP($B4,Morning_Shift!$B$4:$BJ$61,MATCH(Both_Shift_Roster!AG$2,Morning_Shift!$B$2:$BJ$2,0),0),"")="",IFERROR(VLOOKUP($B4,Evening_Shift!$B$4:$BJ$62,MATCH(Both_Shift_Roster!AG$2,Evening_Shift!$B$2:$BJ$2,0),0),""),IFERROR(VLOOKUP($B4,Morning_Shift!$B$4:$BJ$61,MATCH(Both_Shift_Roster!AG$2,Morning_Shift!$B$2:$BJ$2,0),0),""))</f>
        <v>7:00-14:30</v>
      </c>
      <c r="AH4" s="2" t="str">
        <f>IF(IFERROR(VLOOKUP($B4,Morning_Shift!$B$4:$BJ$61,MATCH(Both_Shift_Roster!AH$2,Morning_Shift!$B$2:$BJ$2,0),0),"")="",IFERROR(VLOOKUP($B4,Evening_Shift!$B$4:$BJ$62,MATCH(Both_Shift_Roster!AH$2,Evening_Shift!$B$2:$BJ$2,0),0),""),IFERROR(VLOOKUP($B4,Morning_Shift!$B$4:$BJ$61,MATCH(Both_Shift_Roster!AH$2,Morning_Shift!$B$2:$BJ$2,0),0),""))</f>
        <v>7:00-14:30</v>
      </c>
      <c r="AI4" s="2" t="str">
        <f>IF(IFERROR(VLOOKUP($B4,Morning_Shift!$B$4:$BJ$61,MATCH(Both_Shift_Roster!AI$2,Morning_Shift!$B$2:$BJ$2,0),0),"")="",IFERROR(VLOOKUP($B4,Evening_Shift!$B$4:$BJ$62,MATCH(Both_Shift_Roster!AI$2,Evening_Shift!$B$2:$BJ$2,0),0),""),IFERROR(VLOOKUP($B4,Morning_Shift!$B$4:$BJ$61,MATCH(Both_Shift_Roster!AI$2,Morning_Shift!$B$2:$BJ$2,0),0),""))</f>
        <v>7:00-14:30</v>
      </c>
      <c r="AJ4" s="2" t="str">
        <f>IF(IFERROR(VLOOKUP($B4,Morning_Shift!$B$4:$BJ$61,MATCH(Both_Shift_Roster!AJ$2,Morning_Shift!$B$2:$BJ$2,0),0),"")="",IFERROR(VLOOKUP($B4,Evening_Shift!$B$4:$BJ$62,MATCH(Both_Shift_Roster!AJ$2,Evening_Shift!$B$2:$BJ$2,0),0),""),IFERROR(VLOOKUP($B4,Morning_Shift!$B$4:$BJ$61,MATCH(Both_Shift_Roster!AJ$2,Morning_Shift!$B$2:$BJ$2,0),0),""))</f>
        <v>7:00-14:30</v>
      </c>
      <c r="AK4" s="2" t="str">
        <f>IF(IFERROR(VLOOKUP($B4,Morning_Shift!$B$4:$BJ$61,MATCH(Both_Shift_Roster!AK$2,Morning_Shift!$B$2:$BJ$2,0),0),"")="",IFERROR(VLOOKUP($B4,Evening_Shift!$B$4:$BJ$62,MATCH(Both_Shift_Roster!AK$2,Evening_Shift!$B$2:$BJ$2,0),0),""),IFERROR(VLOOKUP($B4,Morning_Shift!$B$4:$BJ$61,MATCH(Both_Shift_Roster!AK$2,Morning_Shift!$B$2:$BJ$2,0),0),""))</f>
        <v>7:00-14:30</v>
      </c>
      <c r="AL4" s="2">
        <f>COUNTIF($AE4:$AK4,"Agent Choice WO")</f>
        <v>1</v>
      </c>
      <c r="AM4" s="2">
        <f>COUNTIF($AE4:$AK4,"TL Choice WO")</f>
        <v>0</v>
      </c>
      <c r="AN4" s="2">
        <f>COUNTIF($AE4:$AK4,"CL")</f>
        <v>0</v>
      </c>
      <c r="AO4" s="2">
        <f>COUNTIF($AE4:$AK4,"HD")</f>
        <v>0</v>
      </c>
      <c r="AP4" s="2">
        <f>COUNTIF($AE4:$AK4,"LP")</f>
        <v>0</v>
      </c>
      <c r="AQ4" s="2" t="str">
        <f>IF(IFERROR(VLOOKUP($B4,Morning_Shift!$B$4:$BJ$61,MATCH(Both_Shift_Roster!AQ$2,Morning_Shift!$B$2:$BJ$2,0),0),"")="",IFERROR(VLOOKUP($B4,Evening_Shift!$B$4:$BJ$62,MATCH(Both_Shift_Roster!AQ$2,Evening_Shift!$B$2:$BJ$2,0),0),""),IFERROR(VLOOKUP($B4,Morning_Shift!$B$4:$BJ$61,MATCH(Both_Shift_Roster!AQ$2,Morning_Shift!$B$2:$BJ$2,0),0),""))</f>
        <v>7:00-14:30</v>
      </c>
      <c r="AR4" s="2" t="str">
        <f>IF(IFERROR(VLOOKUP($B4,Morning_Shift!$B$4:$BJ$61,MATCH(Both_Shift_Roster!AR$2,Morning_Shift!$B$2:$BJ$2,0),0),"")="",IFERROR(VLOOKUP($B4,Evening_Shift!$B$4:$BJ$62,MATCH(Both_Shift_Roster!AR$2,Evening_Shift!$B$2:$BJ$2,0),0),""),IFERROR(VLOOKUP($B4,Morning_Shift!$B$4:$BJ$61,MATCH(Both_Shift_Roster!AR$2,Morning_Shift!$B$2:$BJ$2,0),0),""))</f>
        <v>7:00-14:30</v>
      </c>
      <c r="AS4" s="2" t="str">
        <f>IF(IFERROR(VLOOKUP($B4,Morning_Shift!$B$4:$BJ$61,MATCH(Both_Shift_Roster!AS$2,Morning_Shift!$B$2:$BJ$2,0),0),"")="",IFERROR(VLOOKUP($B4,Evening_Shift!$B$4:$BJ$62,MATCH(Both_Shift_Roster!AS$2,Evening_Shift!$B$2:$BJ$2,0),0),""),IFERROR(VLOOKUP($B4,Morning_Shift!$B$4:$BJ$61,MATCH(Both_Shift_Roster!AS$2,Morning_Shift!$B$2:$BJ$2,0),0),""))</f>
        <v>Agent Choice WO</v>
      </c>
      <c r="AT4" s="2" t="str">
        <f>IF(IFERROR(VLOOKUP($B4,Morning_Shift!$B$4:$BJ$61,MATCH(Both_Shift_Roster!AT$2,Morning_Shift!$B$2:$BJ$2,0),0),"")="",IFERROR(VLOOKUP($B4,Evening_Shift!$B$4:$BJ$62,MATCH(Both_Shift_Roster!AT$2,Evening_Shift!$B$2:$BJ$2,0),0),""),IFERROR(VLOOKUP($B4,Morning_Shift!$B$4:$BJ$61,MATCH(Both_Shift_Roster!AT$2,Morning_Shift!$B$2:$BJ$2,0),0),""))</f>
        <v>Agent Choice WO</v>
      </c>
      <c r="AU4" s="2" t="str">
        <f>IF(IFERROR(VLOOKUP($B4,Morning_Shift!$B$4:$BJ$61,MATCH(Both_Shift_Roster!AU$2,Morning_Shift!$B$2:$BJ$2,0),0),"")="",IFERROR(VLOOKUP($B4,Evening_Shift!$B$4:$BJ$62,MATCH(Both_Shift_Roster!AU$2,Evening_Shift!$B$2:$BJ$2,0),0),""),IFERROR(VLOOKUP($B4,Morning_Shift!$B$4:$BJ$61,MATCH(Both_Shift_Roster!AU$2,Morning_Shift!$B$2:$BJ$2,0),0),""))</f>
        <v>7:00-14:30</v>
      </c>
      <c r="AV4" s="2" t="str">
        <f>IF(IFERROR(VLOOKUP($B4,Morning_Shift!$B$4:$BJ$61,MATCH(Both_Shift_Roster!AV$2,Morning_Shift!$B$2:$BJ$2,0),0),"")="",IFERROR(VLOOKUP($B4,Evening_Shift!$B$4:$BJ$62,MATCH(Both_Shift_Roster!AV$2,Evening_Shift!$B$2:$BJ$2,0),0),""),IFERROR(VLOOKUP($B4,Morning_Shift!$B$4:$BJ$61,MATCH(Both_Shift_Roster!AV$2,Morning_Shift!$B$2:$BJ$2,0),0),""))</f>
        <v>7:00-14:30</v>
      </c>
      <c r="AW4" s="2" t="str">
        <f>IF(IFERROR(VLOOKUP($B4,Morning_Shift!$B$4:$BJ$61,MATCH(Both_Shift_Roster!AW$2,Morning_Shift!$B$2:$BJ$2,0),0),"")="",IFERROR(VLOOKUP($B4,Evening_Shift!$B$4:$BJ$62,MATCH(Both_Shift_Roster!AW$2,Evening_Shift!$B$2:$BJ$2,0),0),""),IFERROR(VLOOKUP($B4,Morning_Shift!$B$4:$BJ$61,MATCH(Both_Shift_Roster!AW$2,Morning_Shift!$B$2:$BJ$2,0),0),""))</f>
        <v>7:00-14:30</v>
      </c>
      <c r="AX4" s="2">
        <f>COUNTIF($AQ4:$AW4,"Agent Choice WO")</f>
        <v>2</v>
      </c>
      <c r="AY4" s="2">
        <f>COUNTIF($AQ4:$AW4,"TL Choice WO")</f>
        <v>0</v>
      </c>
      <c r="AZ4" s="2">
        <f>COUNTIF($AQ4:$AW4,"CL")</f>
        <v>0</v>
      </c>
      <c r="BA4" s="2">
        <f>COUNTIF($AQ4:$AW4,"HD")</f>
        <v>0</v>
      </c>
      <c r="BB4" s="2">
        <f>COUNTIF($AQ4:$AW4,"LP")</f>
        <v>0</v>
      </c>
      <c r="BC4" s="2" t="str">
        <f>IF(IFERROR(VLOOKUP($B4,Morning_Shift!$B$4:$BJ$61,MATCH(Both_Shift_Roster!BC$2,Morning_Shift!$B$2:$BJ$2,0),0),"")="",IFERROR(VLOOKUP($B4,Evening_Shift!$B$4:$BJ$62,MATCH(Both_Shift_Roster!BC$2,Evening_Shift!$B$2:$BJ$2,0),0),""),IFERROR(VLOOKUP($B4,Morning_Shift!$B$4:$BJ$61,MATCH(Both_Shift_Roster!BC$2,Morning_Shift!$B$2:$BJ$2,0),0),""))</f>
        <v>7:00-14:30</v>
      </c>
      <c r="BD4" s="2" t="str">
        <f>IF(IFERROR(VLOOKUP($B4,Morning_Shift!$B$4:$BJ$61,MATCH(Both_Shift_Roster!BD$2,Morning_Shift!$B$2:$BJ$2,0),0),"")="",IFERROR(VLOOKUP($B4,Evening_Shift!$B$4:$BJ$62,MATCH(Both_Shift_Roster!BD$2,Evening_Shift!$B$2:$BJ$2,0),0),""),IFERROR(VLOOKUP($B4,Morning_Shift!$B$4:$BJ$61,MATCH(Both_Shift_Roster!BD$2,Morning_Shift!$B$2:$BJ$2,0),0),""))</f>
        <v>CL</v>
      </c>
      <c r="BE4" s="2" t="str">
        <f>IF(IFERROR(VLOOKUP($B4,Morning_Shift!$B$4:$BJ$61,MATCH(Both_Shift_Roster!BE$2,Morning_Shift!$B$2:$BJ$2,0),0),"")="",IFERROR(VLOOKUP($B4,Evening_Shift!$B$4:$BJ$59,MATCH(Both_Shift_Roster!BE$2,Evening_Shift!$B$2:$BJ$2,0),0),""),IFERROR(VLOOKUP($B4,Morning_Shift!$B$4:$BJ$61,MATCH(Both_Shift_Roster!BE$2,Morning_Shift!$B$2:$BJ$2,0),0),""))</f>
        <v>7:00-14:30</v>
      </c>
      <c r="BF4" s="2">
        <f>COUNTIF($BC4:$BE4,"Agent Choice WO")</f>
        <v>0</v>
      </c>
      <c r="BG4" s="2">
        <f>COUNTIF($BC4:$BE4,"TL Choice WO")</f>
        <v>0</v>
      </c>
      <c r="BH4" s="2">
        <f>COUNTIF($BC4:$BE4,"CL")</f>
        <v>1</v>
      </c>
      <c r="BI4" s="2">
        <f>COUNTIF($BC4:$BE4,"HD")</f>
        <v>0</v>
      </c>
      <c r="BJ4" s="2">
        <f>COUNTIF($BC4:$BE4,"LP")</f>
        <v>0</v>
      </c>
    </row>
    <row r="5" spans="1:62">
      <c r="A5" s="17">
        <f>A4+1</f>
        <v>2</v>
      </c>
      <c r="B5" s="16" t="str">
        <f>Morning_Shift!$B5</f>
        <v>Dritm140</v>
      </c>
      <c r="C5" s="21" t="str">
        <f>IF(IFERROR(VLOOKUP(B5,Morning_Shift!B:C,2,0),"")="",IFERROR(VLOOKUP(B5,Evening_Shift!B:C,2,0),""),IFERROR(VLOOKUP(B5,Morning_Shift!B:C,2,0),""))</f>
        <v>Anjana</v>
      </c>
      <c r="D5" s="15" t="str">
        <f>IF(IFERROR(VLOOKUP(B5,Morning_Shift!B:D,3,0),"")="",IFERROR(VLOOKUP(B5,Evening_Shift!B:D,3,0),""),IFERROR(VLOOKUP(B5,Morning_Shift!B:D,3,0),""))</f>
        <v>Naina</v>
      </c>
      <c r="E5" s="4" t="str">
        <f>IF(IFERROR(VLOOKUP(B5,Morning_Shift!B:E,4,0),"")="",IFERROR(VLOOKUP(B5,Evening_Shift!B:E,4,0),""),IFERROR(VLOOKUP(B5,Morning_Shift!B:E,4,0),""))</f>
        <v>F</v>
      </c>
      <c r="F5" s="5" t="str">
        <f>IF(IFERROR(VLOOKUP(B5,Morning_Shift!B:F,5,0),"")="",IFERROR(VLOOKUP(B5,Evening_Shift!B:F,5,0),""),IFERROR(VLOOKUP(B5,Morning_Shift!B:F,5,0),""))</f>
        <v>Inbound</v>
      </c>
      <c r="G5" s="2" t="str">
        <f>IF(IFERROR(VLOOKUP($B5,Morning_Shift!$B$4:$BJ$61,MATCH(Both_Shift_Roster!G$2,Morning_Shift!$B$2:$BJ$2,0),0),"")="",IFERROR(VLOOKUP($B5,Evening_Shift!$B$4:$BJ$62,MATCH(Both_Shift_Roster!G$2,Evening_Shift!$B$2:$BJ$2,0),0),""),IFERROR(VLOOKUP($B5,Morning_Shift!$B$4:$BJ$61,MATCH(Both_Shift_Roster!G$2,Morning_Shift!$B$2:$BJ$2,0),0),""))</f>
        <v>7:00-14:30</v>
      </c>
      <c r="H5" s="2" t="str">
        <f>IF(IFERROR(VLOOKUP($B5,Morning_Shift!$B$4:$BJ$61,MATCH(Both_Shift_Roster!H$2,Morning_Shift!$B$2:$BJ$2,0),0),"")="",IFERROR(VLOOKUP($B5,Evening_Shift!$B$4:$BJ$62,MATCH(Both_Shift_Roster!H$2,Evening_Shift!$B$2:$BJ$2,0),0),""),IFERROR(VLOOKUP($B5,Morning_Shift!$B$4:$BJ$61,MATCH(Both_Shift_Roster!H$2,Morning_Shift!$B$2:$BJ$2,0),0),""))</f>
        <v>7:00-14:30</v>
      </c>
      <c r="I5" s="2" t="str">
        <f>IF(IFERROR(VLOOKUP($B5,Morning_Shift!$B$4:$BJ$61,MATCH(Both_Shift_Roster!I$2,Morning_Shift!$B$2:$BJ$2,0),0),"")="",IFERROR(VLOOKUP($B5,Evening_Shift!$B$4:$BJ$62,MATCH(Both_Shift_Roster!I$2,Evening_Shift!$B$2:$BJ$2,0),0),""),IFERROR(VLOOKUP($B5,Morning_Shift!$B$4:$BJ$61,MATCH(Both_Shift_Roster!I$2,Morning_Shift!$B$2:$BJ$2,0),0),""))</f>
        <v>Agent Choice WO</v>
      </c>
      <c r="J5" s="2" t="str">
        <f>IF(IFERROR(VLOOKUP($B5,Morning_Shift!$B$4:$BJ$61,MATCH(Both_Shift_Roster!J$2,Morning_Shift!$B$2:$BJ$2,0),0),"")="",IFERROR(VLOOKUP($B5,Evening_Shift!$B$4:$BJ$62,MATCH(Both_Shift_Roster!J$2,Evening_Shift!$B$2:$BJ$2,0),0),""),IFERROR(VLOOKUP($B5,Morning_Shift!$B$4:$BJ$61,MATCH(Both_Shift_Roster!J$2,Morning_Shift!$B$2:$BJ$2,0),0),""))</f>
        <v>7:00-14:30</v>
      </c>
      <c r="K5" s="2" t="str">
        <f>IF(IFERROR(VLOOKUP($B5,Morning_Shift!$B$4:$BJ$61,MATCH(Both_Shift_Roster!K$2,Morning_Shift!$B$2:$BJ$2,0),0),"")="",IFERROR(VLOOKUP($B5,Evening_Shift!$B$4:$BJ$62,MATCH(Both_Shift_Roster!K$2,Evening_Shift!$B$2:$BJ$2,0),0),""),IFERROR(VLOOKUP($B5,Morning_Shift!$B$4:$BJ$61,MATCH(Both_Shift_Roster!K$2,Morning_Shift!$B$2:$BJ$2,0),0),""))</f>
        <v>7:00-14:30</v>
      </c>
      <c r="L5" s="2" t="str">
        <f>IF(IFERROR(VLOOKUP($B5,Morning_Shift!$B$4:$BJ$61,MATCH(Both_Shift_Roster!L$2,Morning_Shift!$B$2:$BJ$2,0),0),"")="",IFERROR(VLOOKUP($B5,Evening_Shift!$B$4:$BJ$62,MATCH(Both_Shift_Roster!L$2,Evening_Shift!$B$2:$BJ$2,0),0),""),IFERROR(VLOOKUP($B5,Morning_Shift!$B$4:$BJ$61,MATCH(Both_Shift_Roster!L$2,Morning_Shift!$B$2:$BJ$2,0),0),""))</f>
        <v>7:00-14:30</v>
      </c>
      <c r="M5" s="2" t="str">
        <f>IF(IFERROR(VLOOKUP($B5,Morning_Shift!$B$4:$BJ$61,MATCH(Both_Shift_Roster!M$2,Morning_Shift!$B$2:$BJ$2,0),0),"")="",IFERROR(VLOOKUP($B5,Evening_Shift!$B$4:$BJ$62,MATCH(Both_Shift_Roster!M$2,Evening_Shift!$B$2:$BJ$2,0),0),""),IFERROR(VLOOKUP($B5,Morning_Shift!$B$4:$BJ$61,MATCH(Both_Shift_Roster!M$2,Morning_Shift!$B$2:$BJ$2,0),0),""))</f>
        <v>7:00-14:30</v>
      </c>
      <c r="N5" s="2">
        <f t="shared" ref="N5:N68" si="15">COUNTIF($G5:$M5,"Agent Choice WO")</f>
        <v>1</v>
      </c>
      <c r="O5" s="2">
        <f t="shared" ref="O5:O68" si="16">COUNTIF($G5:$M5,"TL Choice WO")</f>
        <v>0</v>
      </c>
      <c r="P5" s="2">
        <f t="shared" ref="P5:P68" si="17">COUNTIF($G5:$M5,"CL")</f>
        <v>0</v>
      </c>
      <c r="Q5" s="2">
        <f t="shared" ref="Q5:Q68" si="18">COUNTIF($G5:$M5,"HD")</f>
        <v>0</v>
      </c>
      <c r="R5" s="2">
        <f t="shared" ref="R5:R68" si="19">COUNTIF($G5:$M5,"LP")</f>
        <v>0</v>
      </c>
      <c r="S5" s="2" t="str">
        <f>IF(IFERROR(VLOOKUP($B5,Morning_Shift!$B$4:$BJ$61,MATCH(Both_Shift_Roster!S$2,Morning_Shift!$B$2:$BJ$2,0),0),"")="",IFERROR(VLOOKUP($B5,Evening_Shift!$B$4:$BJ$62,MATCH(Both_Shift_Roster!S$2,Evening_Shift!$B$2:$BJ$2,0),0),""),IFERROR(VLOOKUP($B5,Morning_Shift!$B$4:$BJ$61,MATCH(Both_Shift_Roster!S$2,Morning_Shift!$B$2:$BJ$2,0),0),""))</f>
        <v>7:00-14:30</v>
      </c>
      <c r="T5" s="2" t="str">
        <f>IF(IFERROR(VLOOKUP($B5,Morning_Shift!$B$4:$BJ$61,MATCH(Both_Shift_Roster!T$2,Morning_Shift!$B$2:$BJ$2,0),0),"")="",IFERROR(VLOOKUP($B5,Evening_Shift!$B$4:$BJ$62,MATCH(Both_Shift_Roster!T$2,Evening_Shift!$B$2:$BJ$2,0),0),""),IFERROR(VLOOKUP($B5,Morning_Shift!$B$4:$BJ$61,MATCH(Both_Shift_Roster!T$2,Morning_Shift!$B$2:$BJ$2,0),0),""))</f>
        <v>7:00-14:30</v>
      </c>
      <c r="U5" s="2" t="str">
        <f>IF(IFERROR(VLOOKUP($B5,Morning_Shift!$B$4:$BJ$61,MATCH(Both_Shift_Roster!U$2,Morning_Shift!$B$2:$BJ$2,0),0),"")="",IFERROR(VLOOKUP($B5,Evening_Shift!$B$4:$BJ$62,MATCH(Both_Shift_Roster!U$2,Evening_Shift!$B$2:$BJ$2,0),0),""),IFERROR(VLOOKUP($B5,Morning_Shift!$B$4:$BJ$61,MATCH(Both_Shift_Roster!U$2,Morning_Shift!$B$2:$BJ$2,0),0),""))</f>
        <v>7:00-14:30</v>
      </c>
      <c r="V5" s="2" t="str">
        <f>IF(IFERROR(VLOOKUP($B5,Morning_Shift!$B$4:$BJ$61,MATCH(Both_Shift_Roster!V$2,Morning_Shift!$B$2:$BJ$2,0),0),"")="",IFERROR(VLOOKUP($B5,Evening_Shift!$B$4:$BJ$62,MATCH(Both_Shift_Roster!V$2,Evening_Shift!$B$2:$BJ$2,0),0),""),IFERROR(VLOOKUP($B5,Morning_Shift!$B$4:$BJ$61,MATCH(Both_Shift_Roster!V$2,Morning_Shift!$B$2:$BJ$2,0),0),""))</f>
        <v>7:00-14:30</v>
      </c>
      <c r="W5" s="2" t="str">
        <f>IF(IFERROR(VLOOKUP($B5,Morning_Shift!$B$4:$BJ$61,MATCH(Both_Shift_Roster!W$2,Morning_Shift!$B$2:$BJ$2,0),0),"")="",IFERROR(VLOOKUP($B5,Evening_Shift!$B$4:$BJ$62,MATCH(Both_Shift_Roster!W$2,Evening_Shift!$B$2:$BJ$2,0),0),""),IFERROR(VLOOKUP($B5,Morning_Shift!$B$4:$BJ$61,MATCH(Both_Shift_Roster!W$2,Morning_Shift!$B$2:$BJ$2,0),0),""))</f>
        <v>7:00-14:30</v>
      </c>
      <c r="X5" s="2" t="str">
        <f>IF(IFERROR(VLOOKUP($B5,Morning_Shift!$B$4:$BJ$61,MATCH(Both_Shift_Roster!X$2,Morning_Shift!$B$2:$BJ$2,0),0),"")="",IFERROR(VLOOKUP($B5,Evening_Shift!$B$4:$BJ$62,MATCH(Both_Shift_Roster!X$2,Evening_Shift!$B$2:$BJ$2,0),0),""),IFERROR(VLOOKUP($B5,Morning_Shift!$B$4:$BJ$61,MATCH(Both_Shift_Roster!X$2,Morning_Shift!$B$2:$BJ$2,0),0),""))</f>
        <v>7:00-14:30</v>
      </c>
      <c r="Y5" s="2" t="str">
        <f>IF(IFERROR(VLOOKUP($B5,Morning_Shift!$B$4:$BJ$61,MATCH(Both_Shift_Roster!Y$2,Morning_Shift!$B$2:$BJ$2,0),0),"")="",IFERROR(VLOOKUP($B5,Evening_Shift!$B$4:$BJ$62,MATCH(Both_Shift_Roster!Y$2,Evening_Shift!$B$2:$BJ$2,0),0),""),IFERROR(VLOOKUP($B5,Morning_Shift!$B$4:$BJ$61,MATCH(Both_Shift_Roster!Y$2,Morning_Shift!$B$2:$BJ$2,0),0),""))</f>
        <v>7:00-14:30</v>
      </c>
      <c r="Z5" s="2">
        <f t="shared" ref="Z5:Z68" si="20">COUNTIF($S5:$Y5,"Agent Choice WO")</f>
        <v>0</v>
      </c>
      <c r="AA5" s="2">
        <f t="shared" ref="AA5:AA68" si="21">COUNTIF($S5:$Y5,"TL Choice WO")</f>
        <v>0</v>
      </c>
      <c r="AB5" s="2">
        <f t="shared" ref="AB5:AB68" si="22">COUNTIF($S5:$Y5,"CL")</f>
        <v>0</v>
      </c>
      <c r="AC5" s="2">
        <f t="shared" ref="AC5:AC68" si="23">COUNTIF($S5:$Y5,"HD")</f>
        <v>0</v>
      </c>
      <c r="AD5" s="2">
        <f t="shared" ref="AD5:AD68" si="24">COUNTIF($S5:$Y5,"LP")</f>
        <v>0</v>
      </c>
      <c r="AE5" s="2" t="str">
        <f>IF(IFERROR(VLOOKUP($B5,Morning_Shift!$B$4:$BJ$61,MATCH(Both_Shift_Roster!AE$2,Morning_Shift!$B$2:$BJ$2,0),0),"")="",IFERROR(VLOOKUP($B5,Evening_Shift!$B$4:$BJ$62,MATCH(Both_Shift_Roster!AE$2,Evening_Shift!$B$2:$BJ$2,0),0),""),IFERROR(VLOOKUP($B5,Morning_Shift!$B$4:$BJ$61,MATCH(Both_Shift_Roster!AE$2,Morning_Shift!$B$2:$BJ$2,0),0),""))</f>
        <v>7:00-14:30</v>
      </c>
      <c r="AF5" s="2" t="str">
        <f>IF(IFERROR(VLOOKUP($B5,Morning_Shift!$B$4:$BJ$61,MATCH(Both_Shift_Roster!AF$2,Morning_Shift!$B$2:$BJ$2,0),0),"")="",IFERROR(VLOOKUP($B5,Evening_Shift!$B$4:$BJ$62,MATCH(Both_Shift_Roster!AF$2,Evening_Shift!$B$2:$BJ$2,0),0),""),IFERROR(VLOOKUP($B5,Morning_Shift!$B$4:$BJ$61,MATCH(Both_Shift_Roster!AF$2,Morning_Shift!$B$2:$BJ$2,0),0),""))</f>
        <v>7:00-14:30</v>
      </c>
      <c r="AG5" s="2" t="str">
        <f>IF(IFERROR(VLOOKUP($B5,Morning_Shift!$B$4:$BJ$61,MATCH(Both_Shift_Roster!AG$2,Morning_Shift!$B$2:$BJ$2,0),0),"")="",IFERROR(VLOOKUP($B5,Evening_Shift!$B$4:$BJ$62,MATCH(Both_Shift_Roster!AG$2,Evening_Shift!$B$2:$BJ$2,0),0),""),IFERROR(VLOOKUP($B5,Morning_Shift!$B$4:$BJ$61,MATCH(Both_Shift_Roster!AG$2,Morning_Shift!$B$2:$BJ$2,0),0),""))</f>
        <v>7:00-14:30</v>
      </c>
      <c r="AH5" s="2" t="str">
        <f>IF(IFERROR(VLOOKUP($B5,Morning_Shift!$B$4:$BJ$61,MATCH(Both_Shift_Roster!AH$2,Morning_Shift!$B$2:$BJ$2,0),0),"")="",IFERROR(VLOOKUP($B5,Evening_Shift!$B$4:$BJ$62,MATCH(Both_Shift_Roster!AH$2,Evening_Shift!$B$2:$BJ$2,0),0),""),IFERROR(VLOOKUP($B5,Morning_Shift!$B$4:$BJ$61,MATCH(Both_Shift_Roster!AH$2,Morning_Shift!$B$2:$BJ$2,0),0),""))</f>
        <v>7:00-14:30</v>
      </c>
      <c r="AI5" s="2" t="str">
        <f>IF(IFERROR(VLOOKUP($B5,Morning_Shift!$B$4:$BJ$61,MATCH(Both_Shift_Roster!AI$2,Morning_Shift!$B$2:$BJ$2,0),0),"")="",IFERROR(VLOOKUP($B5,Evening_Shift!$B$4:$BJ$62,MATCH(Both_Shift_Roster!AI$2,Evening_Shift!$B$2:$BJ$2,0),0),""),IFERROR(VLOOKUP($B5,Morning_Shift!$B$4:$BJ$61,MATCH(Both_Shift_Roster!AI$2,Morning_Shift!$B$2:$BJ$2,0),0),""))</f>
        <v>7:00-14:30</v>
      </c>
      <c r="AJ5" s="2" t="str">
        <f>IF(IFERROR(VLOOKUP($B5,Morning_Shift!$B$4:$BJ$61,MATCH(Both_Shift_Roster!AJ$2,Morning_Shift!$B$2:$BJ$2,0),0),"")="",IFERROR(VLOOKUP($B5,Evening_Shift!$B$4:$BJ$62,MATCH(Both_Shift_Roster!AJ$2,Evening_Shift!$B$2:$BJ$2,0),0),""),IFERROR(VLOOKUP($B5,Morning_Shift!$B$4:$BJ$61,MATCH(Both_Shift_Roster!AJ$2,Morning_Shift!$B$2:$BJ$2,0),0),""))</f>
        <v>7:00-14:30</v>
      </c>
      <c r="AK5" s="2" t="str">
        <f>IF(IFERROR(VLOOKUP($B5,Morning_Shift!$B$4:$BJ$61,MATCH(Both_Shift_Roster!AK$2,Morning_Shift!$B$2:$BJ$2,0),0),"")="",IFERROR(VLOOKUP($B5,Evening_Shift!$B$4:$BJ$62,MATCH(Both_Shift_Roster!AK$2,Evening_Shift!$B$2:$BJ$2,0),0),""),IFERROR(VLOOKUP($B5,Morning_Shift!$B$4:$BJ$61,MATCH(Both_Shift_Roster!AK$2,Morning_Shift!$B$2:$BJ$2,0),0),""))</f>
        <v>7:00-14:30</v>
      </c>
      <c r="AL5" s="2">
        <f t="shared" ref="AL5:AL68" si="25">COUNTIF($AE5:$AK5,"Agent Choice WO")</f>
        <v>0</v>
      </c>
      <c r="AM5" s="2">
        <f t="shared" ref="AM5:AM68" si="26">COUNTIF($AE5:$AK5,"TL Choice WO")</f>
        <v>0</v>
      </c>
      <c r="AN5" s="2">
        <f t="shared" ref="AN5:AN68" si="27">COUNTIF($AE5:$AK5,"CL")</f>
        <v>0</v>
      </c>
      <c r="AO5" s="2">
        <f t="shared" ref="AO5:AO68" si="28">COUNTIF($AE5:$AK5,"HD")</f>
        <v>0</v>
      </c>
      <c r="AP5" s="2">
        <f t="shared" ref="AP5:AP68" si="29">COUNTIF($AE5:$AK5,"LP")</f>
        <v>0</v>
      </c>
      <c r="AQ5" s="2" t="str">
        <f>IF(IFERROR(VLOOKUP($B5,Morning_Shift!$B$4:$BJ$61,MATCH(Both_Shift_Roster!AQ$2,Morning_Shift!$B$2:$BJ$2,0),0),"")="",IFERROR(VLOOKUP($B5,Evening_Shift!$B$4:$BJ$62,MATCH(Both_Shift_Roster!AQ$2,Evening_Shift!$B$2:$BJ$2,0),0),""),IFERROR(VLOOKUP($B5,Morning_Shift!$B$4:$BJ$61,MATCH(Both_Shift_Roster!AQ$2,Morning_Shift!$B$2:$BJ$2,0),0),""))</f>
        <v>Agent Choice WO</v>
      </c>
      <c r="AR5" s="2" t="str">
        <f>IF(IFERROR(VLOOKUP($B5,Morning_Shift!$B$4:$BJ$61,MATCH(Both_Shift_Roster!AR$2,Morning_Shift!$B$2:$BJ$2,0),0),"")="",IFERROR(VLOOKUP($B5,Evening_Shift!$B$4:$BJ$62,MATCH(Both_Shift_Roster!AR$2,Evening_Shift!$B$2:$BJ$2,0),0),""),IFERROR(VLOOKUP($B5,Morning_Shift!$B$4:$BJ$61,MATCH(Both_Shift_Roster!AR$2,Morning_Shift!$B$2:$BJ$2,0),0),""))</f>
        <v>Agent Choice WO</v>
      </c>
      <c r="AS5" s="2" t="str">
        <f>IF(IFERROR(VLOOKUP($B5,Morning_Shift!$B$4:$BJ$61,MATCH(Both_Shift_Roster!AS$2,Morning_Shift!$B$2:$BJ$2,0),0),"")="",IFERROR(VLOOKUP($B5,Evening_Shift!$B$4:$BJ$62,MATCH(Both_Shift_Roster!AS$2,Evening_Shift!$B$2:$BJ$2,0),0),""),IFERROR(VLOOKUP($B5,Morning_Shift!$B$4:$BJ$61,MATCH(Both_Shift_Roster!AS$2,Morning_Shift!$B$2:$BJ$2,0),0),""))</f>
        <v>Agent Choice WO</v>
      </c>
      <c r="AT5" s="2" t="str">
        <f>IF(IFERROR(VLOOKUP($B5,Morning_Shift!$B$4:$BJ$61,MATCH(Both_Shift_Roster!AT$2,Morning_Shift!$B$2:$BJ$2,0),0),"")="",IFERROR(VLOOKUP($B5,Evening_Shift!$B$4:$BJ$62,MATCH(Both_Shift_Roster!AT$2,Evening_Shift!$B$2:$BJ$2,0),0),""),IFERROR(VLOOKUP($B5,Morning_Shift!$B$4:$BJ$61,MATCH(Both_Shift_Roster!AT$2,Morning_Shift!$B$2:$BJ$2,0),0),""))</f>
        <v>CL</v>
      </c>
      <c r="AU5" s="2" t="str">
        <f>IF(IFERROR(VLOOKUP($B5,Morning_Shift!$B$4:$BJ$61,MATCH(Both_Shift_Roster!AU$2,Morning_Shift!$B$2:$BJ$2,0),0),"")="",IFERROR(VLOOKUP($B5,Evening_Shift!$B$4:$BJ$62,MATCH(Both_Shift_Roster!AU$2,Evening_Shift!$B$2:$BJ$2,0),0),""),IFERROR(VLOOKUP($B5,Morning_Shift!$B$4:$BJ$61,MATCH(Both_Shift_Roster!AU$2,Morning_Shift!$B$2:$BJ$2,0),0),""))</f>
        <v>7:00-14:30</v>
      </c>
      <c r="AV5" s="2" t="str">
        <f>IF(IFERROR(VLOOKUP($B5,Morning_Shift!$B$4:$BJ$61,MATCH(Both_Shift_Roster!AV$2,Morning_Shift!$B$2:$BJ$2,0),0),"")="",IFERROR(VLOOKUP($B5,Evening_Shift!$B$4:$BJ$62,MATCH(Both_Shift_Roster!AV$2,Evening_Shift!$B$2:$BJ$2,0),0),""),IFERROR(VLOOKUP($B5,Morning_Shift!$B$4:$BJ$61,MATCH(Both_Shift_Roster!AV$2,Morning_Shift!$B$2:$BJ$2,0),0),""))</f>
        <v>7:00-14:30</v>
      </c>
      <c r="AW5" s="2" t="str">
        <f>IF(IFERROR(VLOOKUP($B5,Morning_Shift!$B$4:$BJ$61,MATCH(Both_Shift_Roster!AW$2,Morning_Shift!$B$2:$BJ$2,0),0),"")="",IFERROR(VLOOKUP($B5,Evening_Shift!$B$4:$BJ$62,MATCH(Both_Shift_Roster!AW$2,Evening_Shift!$B$2:$BJ$2,0),0),""),IFERROR(VLOOKUP($B5,Morning_Shift!$B$4:$BJ$61,MATCH(Both_Shift_Roster!AW$2,Morning_Shift!$B$2:$BJ$2,0),0),""))</f>
        <v>7:00-14:30</v>
      </c>
      <c r="AX5" s="2">
        <f t="shared" ref="AX5:AX68" si="30">COUNTIF($AQ5:$AW5,"Agent Choice WO")</f>
        <v>3</v>
      </c>
      <c r="AY5" s="2">
        <f t="shared" ref="AY5:AY68" si="31">COUNTIF($AQ5:$AW5,"TL Choice WO")</f>
        <v>0</v>
      </c>
      <c r="AZ5" s="2">
        <f t="shared" ref="AZ5:AZ68" si="32">COUNTIF($AQ5:$AW5,"CL")</f>
        <v>1</v>
      </c>
      <c r="BA5" s="2">
        <f t="shared" ref="BA5:BA68" si="33">COUNTIF($AQ5:$AW5,"HD")</f>
        <v>0</v>
      </c>
      <c r="BB5" s="2">
        <f t="shared" ref="BB5:BB68" si="34">COUNTIF($AQ5:$AW5,"LP")</f>
        <v>0</v>
      </c>
      <c r="BC5" s="2" t="str">
        <f>IF(IFERROR(VLOOKUP($B5,Morning_Shift!$B$4:$BJ$61,MATCH(Both_Shift_Roster!BC$2,Morning_Shift!$B$2:$BJ$2,0),0),"")="",IFERROR(VLOOKUP($B5,Evening_Shift!$B$4:$BJ$62,MATCH(Both_Shift_Roster!BC$2,Evening_Shift!$B$2:$BJ$2,0),0),""),IFERROR(VLOOKUP($B5,Morning_Shift!$B$4:$BJ$61,MATCH(Both_Shift_Roster!BC$2,Morning_Shift!$B$2:$BJ$2,0),0),""))</f>
        <v>7:00-14:30</v>
      </c>
      <c r="BD5" s="2" t="str">
        <f>IF(IFERROR(VLOOKUP($B5,Morning_Shift!$B$4:$BJ$61,MATCH(Both_Shift_Roster!BD$2,Morning_Shift!$B$2:$BJ$2,0),0),"")="",IFERROR(VLOOKUP($B5,Evening_Shift!$B$4:$BJ$62,MATCH(Both_Shift_Roster!BD$2,Evening_Shift!$B$2:$BJ$2,0),0),""),IFERROR(VLOOKUP($B5,Morning_Shift!$B$4:$BJ$61,MATCH(Both_Shift_Roster!BD$2,Morning_Shift!$B$2:$BJ$2,0),0),""))</f>
        <v>7:00-14:30</v>
      </c>
      <c r="BE5" s="2" t="str">
        <f>IF(IFERROR(VLOOKUP($B5,Morning_Shift!$B$4:$BJ$61,MATCH(Both_Shift_Roster!BE$2,Morning_Shift!$B$2:$BJ$2,0),0),"")="",IFERROR(VLOOKUP($B5,Evening_Shift!$B$4:$BJ$59,MATCH(Both_Shift_Roster!BE$2,Evening_Shift!$B$2:$BJ$2,0),0),""),IFERROR(VLOOKUP($B5,Morning_Shift!$B$4:$BJ$61,MATCH(Both_Shift_Roster!BE$2,Morning_Shift!$B$2:$BJ$2,0),0),""))</f>
        <v>7:00-14:30</v>
      </c>
      <c r="BF5" s="2">
        <f t="shared" ref="BF5:BF68" si="35">COUNTIF($BC5:$BE5,"Agent Choice WO")</f>
        <v>0</v>
      </c>
      <c r="BG5" s="2">
        <f t="shared" ref="BG5:BG68" si="36">COUNTIF($BC5:$BE5,"TL Choice WO")</f>
        <v>0</v>
      </c>
      <c r="BH5" s="2">
        <f t="shared" ref="BH5:BH68" si="37">COUNTIF($BC5:$BE5,"CL")</f>
        <v>0</v>
      </c>
      <c r="BI5" s="2">
        <f t="shared" ref="BI5:BI68" si="38">COUNTIF($BC5:$BE5,"HD")</f>
        <v>0</v>
      </c>
      <c r="BJ5" s="2">
        <f t="shared" ref="BJ5:BJ68" si="39">COUNTIF($BC5:$BE5,"LP")</f>
        <v>0</v>
      </c>
    </row>
    <row r="6" spans="1:62">
      <c r="A6" s="17">
        <f t="shared" ref="A6:A69" si="40">A5+1</f>
        <v>3</v>
      </c>
      <c r="B6" s="16" t="str">
        <f>Morning_Shift!$B6</f>
        <v>Dritm14</v>
      </c>
      <c r="C6" s="21" t="str">
        <f>IF(IFERROR(VLOOKUP(B6,Morning_Shift!B:C,2,0),"")="",IFERROR(VLOOKUP(B6,Evening_Shift!B:C,2,0),""),IFERROR(VLOOKUP(B6,Morning_Shift!B:C,2,0),""))</f>
        <v>Anjana</v>
      </c>
      <c r="D6" s="15" t="str">
        <f>IF(IFERROR(VLOOKUP(B6,Morning_Shift!B:D,3,0),"")="",IFERROR(VLOOKUP(B6,Evening_Shift!B:D,3,0),""),IFERROR(VLOOKUP(B6,Morning_Shift!B:D,3,0),""))</f>
        <v>Naina</v>
      </c>
      <c r="E6" s="4" t="str">
        <f>IF(IFERROR(VLOOKUP(B6,Morning_Shift!B:E,4,0),"")="",IFERROR(VLOOKUP(B6,Evening_Shift!B:E,4,0),""),IFERROR(VLOOKUP(B6,Morning_Shift!B:E,4,0),""))</f>
        <v>F</v>
      </c>
      <c r="F6" s="5" t="str">
        <f>IF(IFERROR(VLOOKUP(B6,Morning_Shift!B:F,5,0),"")="",IFERROR(VLOOKUP(B6,Evening_Shift!B:F,5,0),""),IFERROR(VLOOKUP(B6,Morning_Shift!B:F,5,0),""))</f>
        <v>Himseva manual Inbound</v>
      </c>
      <c r="G6" s="2" t="str">
        <f>IF(IFERROR(VLOOKUP($B6,Morning_Shift!$B$4:$BJ$61,MATCH(Both_Shift_Roster!G$2,Morning_Shift!$B$2:$BJ$2,0),0),"")="",IFERROR(VLOOKUP($B6,Evening_Shift!$B$4:$BJ$62,MATCH(Both_Shift_Roster!G$2,Evening_Shift!$B$2:$BJ$2,0),0),""),IFERROR(VLOOKUP($B6,Morning_Shift!$B$4:$BJ$61,MATCH(Both_Shift_Roster!G$2,Morning_Shift!$B$2:$BJ$2,0),0),""))</f>
        <v>10:00-17:30</v>
      </c>
      <c r="H6" s="2" t="str">
        <f>IF(IFERROR(VLOOKUP($B6,Morning_Shift!$B$4:$BJ$61,MATCH(Both_Shift_Roster!H$2,Morning_Shift!$B$2:$BJ$2,0),0),"")="",IFERROR(VLOOKUP($B6,Evening_Shift!$B$4:$BJ$62,MATCH(Both_Shift_Roster!H$2,Evening_Shift!$B$2:$BJ$2,0),0),""),IFERROR(VLOOKUP($B6,Morning_Shift!$B$4:$BJ$61,MATCH(Both_Shift_Roster!H$2,Morning_Shift!$B$2:$BJ$2,0),0),""))</f>
        <v>10:00-17:30</v>
      </c>
      <c r="I6" s="2" t="str">
        <f>IF(IFERROR(VLOOKUP($B6,Morning_Shift!$B$4:$BJ$61,MATCH(Both_Shift_Roster!I$2,Morning_Shift!$B$2:$BJ$2,0),0),"")="",IFERROR(VLOOKUP($B6,Evening_Shift!$B$4:$BJ$62,MATCH(Both_Shift_Roster!I$2,Evening_Shift!$B$2:$BJ$2,0),0),""),IFERROR(VLOOKUP($B6,Morning_Shift!$B$4:$BJ$61,MATCH(Both_Shift_Roster!I$2,Morning_Shift!$B$2:$BJ$2,0),0),""))</f>
        <v>10:00-17:30</v>
      </c>
      <c r="J6" s="2" t="str">
        <f>IF(IFERROR(VLOOKUP($B6,Morning_Shift!$B$4:$BJ$61,MATCH(Both_Shift_Roster!J$2,Morning_Shift!$B$2:$BJ$2,0),0),"")="",IFERROR(VLOOKUP($B6,Evening_Shift!$B$4:$BJ$62,MATCH(Both_Shift_Roster!J$2,Evening_Shift!$B$2:$BJ$2,0),0),""),IFERROR(VLOOKUP($B6,Morning_Shift!$B$4:$BJ$61,MATCH(Both_Shift_Roster!J$2,Morning_Shift!$B$2:$BJ$2,0),0),""))</f>
        <v>10:00-17:30</v>
      </c>
      <c r="K6" s="2" t="str">
        <f>IF(IFERROR(VLOOKUP($B6,Morning_Shift!$B$4:$BJ$61,MATCH(Both_Shift_Roster!K$2,Morning_Shift!$B$2:$BJ$2,0),0),"")="",IFERROR(VLOOKUP($B6,Evening_Shift!$B$4:$BJ$62,MATCH(Both_Shift_Roster!K$2,Evening_Shift!$B$2:$BJ$2,0),0),""),IFERROR(VLOOKUP($B6,Morning_Shift!$B$4:$BJ$61,MATCH(Both_Shift_Roster!K$2,Morning_Shift!$B$2:$BJ$2,0),0),""))</f>
        <v>10:00-17:30</v>
      </c>
      <c r="L6" s="2" t="str">
        <f>IF(IFERROR(VLOOKUP($B6,Morning_Shift!$B$4:$BJ$61,MATCH(Both_Shift_Roster!L$2,Morning_Shift!$B$2:$BJ$2,0),0),"")="",IFERROR(VLOOKUP($B6,Evening_Shift!$B$4:$BJ$62,MATCH(Both_Shift_Roster!L$2,Evening_Shift!$B$2:$BJ$2,0),0),""),IFERROR(VLOOKUP($B6,Morning_Shift!$B$4:$BJ$61,MATCH(Both_Shift_Roster!L$2,Morning_Shift!$B$2:$BJ$2,0),0),""))</f>
        <v>10:00-17:30</v>
      </c>
      <c r="M6" s="2" t="str">
        <f>IF(IFERROR(VLOOKUP($B6,Morning_Shift!$B$4:$BJ$61,MATCH(Both_Shift_Roster!M$2,Morning_Shift!$B$2:$BJ$2,0),0),"")="",IFERROR(VLOOKUP($B6,Evening_Shift!$B$4:$BJ$62,MATCH(Both_Shift_Roster!M$2,Evening_Shift!$B$2:$BJ$2,0),0),""),IFERROR(VLOOKUP($B6,Morning_Shift!$B$4:$BJ$61,MATCH(Both_Shift_Roster!M$2,Morning_Shift!$B$2:$BJ$2,0),0),""))</f>
        <v>10:00-17:30</v>
      </c>
      <c r="N6" s="2">
        <f t="shared" si="15"/>
        <v>0</v>
      </c>
      <c r="O6" s="2">
        <f t="shared" si="16"/>
        <v>0</v>
      </c>
      <c r="P6" s="2">
        <f t="shared" si="17"/>
        <v>0</v>
      </c>
      <c r="Q6" s="2">
        <f t="shared" si="18"/>
        <v>0</v>
      </c>
      <c r="R6" s="2">
        <f t="shared" si="19"/>
        <v>0</v>
      </c>
      <c r="S6" s="2" t="str">
        <f>IF(IFERROR(VLOOKUP($B6,Morning_Shift!$B$4:$BJ$61,MATCH(Both_Shift_Roster!S$2,Morning_Shift!$B$2:$BJ$2,0),0),"")="",IFERROR(VLOOKUP($B6,Evening_Shift!$B$4:$BJ$62,MATCH(Both_Shift_Roster!S$2,Evening_Shift!$B$2:$BJ$2,0),0),""),IFERROR(VLOOKUP($B6,Morning_Shift!$B$4:$BJ$61,MATCH(Both_Shift_Roster!S$2,Morning_Shift!$B$2:$BJ$2,0),0),""))</f>
        <v>10:00-17:30</v>
      </c>
      <c r="T6" s="2" t="str">
        <f>IF(IFERROR(VLOOKUP($B6,Morning_Shift!$B$4:$BJ$61,MATCH(Both_Shift_Roster!T$2,Morning_Shift!$B$2:$BJ$2,0),0),"")="",IFERROR(VLOOKUP($B6,Evening_Shift!$B$4:$BJ$62,MATCH(Both_Shift_Roster!T$2,Evening_Shift!$B$2:$BJ$2,0),0),""),IFERROR(VLOOKUP($B6,Morning_Shift!$B$4:$BJ$61,MATCH(Both_Shift_Roster!T$2,Morning_Shift!$B$2:$BJ$2,0),0),""))</f>
        <v>Agent Choice WO</v>
      </c>
      <c r="U6" s="2" t="str">
        <f>IF(IFERROR(VLOOKUP($B6,Morning_Shift!$B$4:$BJ$61,MATCH(Both_Shift_Roster!U$2,Morning_Shift!$B$2:$BJ$2,0),0),"")="",IFERROR(VLOOKUP($B6,Evening_Shift!$B$4:$BJ$62,MATCH(Both_Shift_Roster!U$2,Evening_Shift!$B$2:$BJ$2,0),0),""),IFERROR(VLOOKUP($B6,Morning_Shift!$B$4:$BJ$61,MATCH(Both_Shift_Roster!U$2,Morning_Shift!$B$2:$BJ$2,0),0),""))</f>
        <v>10:00-17:30</v>
      </c>
      <c r="V6" s="2" t="str">
        <f>IF(IFERROR(VLOOKUP($B6,Morning_Shift!$B$4:$BJ$61,MATCH(Both_Shift_Roster!V$2,Morning_Shift!$B$2:$BJ$2,0),0),"")="",IFERROR(VLOOKUP($B6,Evening_Shift!$B$4:$BJ$62,MATCH(Both_Shift_Roster!V$2,Evening_Shift!$B$2:$BJ$2,0),0),""),IFERROR(VLOOKUP($B6,Morning_Shift!$B$4:$BJ$61,MATCH(Both_Shift_Roster!V$2,Morning_Shift!$B$2:$BJ$2,0),0),""))</f>
        <v>10:00-17:30</v>
      </c>
      <c r="W6" s="2" t="str">
        <f>IF(IFERROR(VLOOKUP($B6,Morning_Shift!$B$4:$BJ$61,MATCH(Both_Shift_Roster!W$2,Morning_Shift!$B$2:$BJ$2,0),0),"")="",IFERROR(VLOOKUP($B6,Evening_Shift!$B$4:$BJ$62,MATCH(Both_Shift_Roster!W$2,Evening_Shift!$B$2:$BJ$2,0),0),""),IFERROR(VLOOKUP($B6,Morning_Shift!$B$4:$BJ$61,MATCH(Both_Shift_Roster!W$2,Morning_Shift!$B$2:$BJ$2,0),0),""))</f>
        <v>10:00-17:30</v>
      </c>
      <c r="X6" s="2" t="str">
        <f>IF(IFERROR(VLOOKUP($B6,Morning_Shift!$B$4:$BJ$61,MATCH(Both_Shift_Roster!X$2,Morning_Shift!$B$2:$BJ$2,0),0),"")="",IFERROR(VLOOKUP($B6,Evening_Shift!$B$4:$BJ$62,MATCH(Both_Shift_Roster!X$2,Evening_Shift!$B$2:$BJ$2,0),0),""),IFERROR(VLOOKUP($B6,Morning_Shift!$B$4:$BJ$61,MATCH(Both_Shift_Roster!X$2,Morning_Shift!$B$2:$BJ$2,0),0),""))</f>
        <v>Agent Choice WO</v>
      </c>
      <c r="Y6" s="2" t="str">
        <f>IF(IFERROR(VLOOKUP($B6,Morning_Shift!$B$4:$BJ$61,MATCH(Both_Shift_Roster!Y$2,Morning_Shift!$B$2:$BJ$2,0),0),"")="",IFERROR(VLOOKUP($B6,Evening_Shift!$B$4:$BJ$62,MATCH(Both_Shift_Roster!Y$2,Evening_Shift!$B$2:$BJ$2,0),0),""),IFERROR(VLOOKUP($B6,Morning_Shift!$B$4:$BJ$61,MATCH(Both_Shift_Roster!Y$2,Morning_Shift!$B$2:$BJ$2,0),0),""))</f>
        <v>TL Choice WO</v>
      </c>
      <c r="Z6" s="2">
        <f t="shared" si="20"/>
        <v>2</v>
      </c>
      <c r="AA6" s="2">
        <f t="shared" si="21"/>
        <v>1</v>
      </c>
      <c r="AB6" s="2">
        <f t="shared" si="22"/>
        <v>0</v>
      </c>
      <c r="AC6" s="2">
        <f t="shared" si="23"/>
        <v>0</v>
      </c>
      <c r="AD6" s="2">
        <f t="shared" si="24"/>
        <v>0</v>
      </c>
      <c r="AE6" s="2" t="str">
        <f>IF(IFERROR(VLOOKUP($B6,Morning_Shift!$B$4:$BJ$61,MATCH(Both_Shift_Roster!AE$2,Morning_Shift!$B$2:$BJ$2,0),0),"")="",IFERROR(VLOOKUP($B6,Evening_Shift!$B$4:$BJ$62,MATCH(Both_Shift_Roster!AE$2,Evening_Shift!$B$2:$BJ$2,0),0),""),IFERROR(VLOOKUP($B6,Morning_Shift!$B$4:$BJ$61,MATCH(Both_Shift_Roster!AE$2,Morning_Shift!$B$2:$BJ$2,0),0),""))</f>
        <v>10:00-17:30</v>
      </c>
      <c r="AF6" s="2" t="str">
        <f>IF(IFERROR(VLOOKUP($B6,Morning_Shift!$B$4:$BJ$61,MATCH(Both_Shift_Roster!AF$2,Morning_Shift!$B$2:$BJ$2,0),0),"")="",IFERROR(VLOOKUP($B6,Evening_Shift!$B$4:$BJ$62,MATCH(Both_Shift_Roster!AF$2,Evening_Shift!$B$2:$BJ$2,0),0),""),IFERROR(VLOOKUP($B6,Morning_Shift!$B$4:$BJ$61,MATCH(Both_Shift_Roster!AF$2,Morning_Shift!$B$2:$BJ$2,0),0),""))</f>
        <v>10:00-17:30</v>
      </c>
      <c r="AG6" s="2" t="str">
        <f>IF(IFERROR(VLOOKUP($B6,Morning_Shift!$B$4:$BJ$61,MATCH(Both_Shift_Roster!AG$2,Morning_Shift!$B$2:$BJ$2,0),0),"")="",IFERROR(VLOOKUP($B6,Evening_Shift!$B$4:$BJ$62,MATCH(Both_Shift_Roster!AG$2,Evening_Shift!$B$2:$BJ$2,0),0),""),IFERROR(VLOOKUP($B6,Morning_Shift!$B$4:$BJ$61,MATCH(Both_Shift_Roster!AG$2,Morning_Shift!$B$2:$BJ$2,0),0),""))</f>
        <v>10:00-17:30</v>
      </c>
      <c r="AH6" s="2" t="str">
        <f>IF(IFERROR(VLOOKUP($B6,Morning_Shift!$B$4:$BJ$61,MATCH(Both_Shift_Roster!AH$2,Morning_Shift!$B$2:$BJ$2,0),0),"")="",IFERROR(VLOOKUP($B6,Evening_Shift!$B$4:$BJ$62,MATCH(Both_Shift_Roster!AH$2,Evening_Shift!$B$2:$BJ$2,0),0),""),IFERROR(VLOOKUP($B6,Morning_Shift!$B$4:$BJ$61,MATCH(Both_Shift_Roster!AH$2,Morning_Shift!$B$2:$BJ$2,0),0),""))</f>
        <v>10:00-17:30</v>
      </c>
      <c r="AI6" s="2" t="str">
        <f>IF(IFERROR(VLOOKUP($B6,Morning_Shift!$B$4:$BJ$61,MATCH(Both_Shift_Roster!AI$2,Morning_Shift!$B$2:$BJ$2,0),0),"")="",IFERROR(VLOOKUP($B6,Evening_Shift!$B$4:$BJ$62,MATCH(Both_Shift_Roster!AI$2,Evening_Shift!$B$2:$BJ$2,0),0),""),IFERROR(VLOOKUP($B6,Morning_Shift!$B$4:$BJ$61,MATCH(Both_Shift_Roster!AI$2,Morning_Shift!$B$2:$BJ$2,0),0),""))</f>
        <v>10:00-17:30</v>
      </c>
      <c r="AJ6" s="2" t="str">
        <f>IF(IFERROR(VLOOKUP($B6,Morning_Shift!$B$4:$BJ$61,MATCH(Both_Shift_Roster!AJ$2,Morning_Shift!$B$2:$BJ$2,0),0),"")="",IFERROR(VLOOKUP($B6,Evening_Shift!$B$4:$BJ$62,MATCH(Both_Shift_Roster!AJ$2,Evening_Shift!$B$2:$BJ$2,0),0),""),IFERROR(VLOOKUP($B6,Morning_Shift!$B$4:$BJ$61,MATCH(Both_Shift_Roster!AJ$2,Morning_Shift!$B$2:$BJ$2,0),0),""))</f>
        <v>Agent Choice WO</v>
      </c>
      <c r="AK6" s="2" t="str">
        <f>IF(IFERROR(VLOOKUP($B6,Morning_Shift!$B$4:$BJ$61,MATCH(Both_Shift_Roster!AK$2,Morning_Shift!$B$2:$BJ$2,0),0),"")="",IFERROR(VLOOKUP($B6,Evening_Shift!$B$4:$BJ$62,MATCH(Both_Shift_Roster!AK$2,Evening_Shift!$B$2:$BJ$2,0),0),""),IFERROR(VLOOKUP($B6,Morning_Shift!$B$4:$BJ$61,MATCH(Both_Shift_Roster!AK$2,Morning_Shift!$B$2:$BJ$2,0),0),""))</f>
        <v>10:00-17:30</v>
      </c>
      <c r="AL6" s="2">
        <f t="shared" si="25"/>
        <v>1</v>
      </c>
      <c r="AM6" s="2">
        <f t="shared" si="26"/>
        <v>0</v>
      </c>
      <c r="AN6" s="2">
        <f t="shared" si="27"/>
        <v>0</v>
      </c>
      <c r="AO6" s="2">
        <f t="shared" si="28"/>
        <v>0</v>
      </c>
      <c r="AP6" s="2">
        <f t="shared" si="29"/>
        <v>0</v>
      </c>
      <c r="AQ6" s="2" t="str">
        <f>IF(IFERROR(VLOOKUP($B6,Morning_Shift!$B$4:$BJ$61,MATCH(Both_Shift_Roster!AQ$2,Morning_Shift!$B$2:$BJ$2,0),0),"")="",IFERROR(VLOOKUP($B6,Evening_Shift!$B$4:$BJ$62,MATCH(Both_Shift_Roster!AQ$2,Evening_Shift!$B$2:$BJ$2,0),0),""),IFERROR(VLOOKUP($B6,Morning_Shift!$B$4:$BJ$61,MATCH(Both_Shift_Roster!AQ$2,Morning_Shift!$B$2:$BJ$2,0),0),""))</f>
        <v>10:00-17:30</v>
      </c>
      <c r="AR6" s="2" t="str">
        <f>IF(IFERROR(VLOOKUP($B6,Morning_Shift!$B$4:$BJ$61,MATCH(Both_Shift_Roster!AR$2,Morning_Shift!$B$2:$BJ$2,0),0),"")="",IFERROR(VLOOKUP($B6,Evening_Shift!$B$4:$BJ$62,MATCH(Both_Shift_Roster!AR$2,Evening_Shift!$B$2:$BJ$2,0),0),""),IFERROR(VLOOKUP($B6,Morning_Shift!$B$4:$BJ$61,MATCH(Both_Shift_Roster!AR$2,Morning_Shift!$B$2:$BJ$2,0),0),""))</f>
        <v>10:00-17:30</v>
      </c>
      <c r="AS6" s="2" t="str">
        <f>IF(IFERROR(VLOOKUP($B6,Morning_Shift!$B$4:$BJ$61,MATCH(Both_Shift_Roster!AS$2,Morning_Shift!$B$2:$BJ$2,0),0),"")="",IFERROR(VLOOKUP($B6,Evening_Shift!$B$4:$BJ$62,MATCH(Both_Shift_Roster!AS$2,Evening_Shift!$B$2:$BJ$2,0),0),""),IFERROR(VLOOKUP($B6,Morning_Shift!$B$4:$BJ$61,MATCH(Both_Shift_Roster!AS$2,Morning_Shift!$B$2:$BJ$2,0),0),""))</f>
        <v>10:00-17:30</v>
      </c>
      <c r="AT6" s="2" t="str">
        <f>IF(IFERROR(VLOOKUP($B6,Morning_Shift!$B$4:$BJ$61,MATCH(Both_Shift_Roster!AT$2,Morning_Shift!$B$2:$BJ$2,0),0),"")="",IFERROR(VLOOKUP($B6,Evening_Shift!$B$4:$BJ$62,MATCH(Both_Shift_Roster!AT$2,Evening_Shift!$B$2:$BJ$2,0),0),""),IFERROR(VLOOKUP($B6,Morning_Shift!$B$4:$BJ$61,MATCH(Both_Shift_Roster!AT$2,Morning_Shift!$B$2:$BJ$2,0),0),""))</f>
        <v>10:00-17:30</v>
      </c>
      <c r="AU6" s="2" t="str">
        <f>IF(IFERROR(VLOOKUP($B6,Morning_Shift!$B$4:$BJ$61,MATCH(Both_Shift_Roster!AU$2,Morning_Shift!$B$2:$BJ$2,0),0),"")="",IFERROR(VLOOKUP($B6,Evening_Shift!$B$4:$BJ$62,MATCH(Both_Shift_Roster!AU$2,Evening_Shift!$B$2:$BJ$2,0),0),""),IFERROR(VLOOKUP($B6,Morning_Shift!$B$4:$BJ$61,MATCH(Both_Shift_Roster!AU$2,Morning_Shift!$B$2:$BJ$2,0),0),""))</f>
        <v>10:00-17:30</v>
      </c>
      <c r="AV6" s="2" t="str">
        <f>IF(IFERROR(VLOOKUP($B6,Morning_Shift!$B$4:$BJ$61,MATCH(Both_Shift_Roster!AV$2,Morning_Shift!$B$2:$BJ$2,0),0),"")="",IFERROR(VLOOKUP($B6,Evening_Shift!$B$4:$BJ$62,MATCH(Both_Shift_Roster!AV$2,Evening_Shift!$B$2:$BJ$2,0),0),""),IFERROR(VLOOKUP($B6,Morning_Shift!$B$4:$BJ$61,MATCH(Both_Shift_Roster!AV$2,Morning_Shift!$B$2:$BJ$2,0),0),""))</f>
        <v>Agent Choice WO</v>
      </c>
      <c r="AW6" s="2" t="str">
        <f>IF(IFERROR(VLOOKUP($B6,Morning_Shift!$B$4:$BJ$61,MATCH(Both_Shift_Roster!AW$2,Morning_Shift!$B$2:$BJ$2,0),0),"")="",IFERROR(VLOOKUP($B6,Evening_Shift!$B$4:$BJ$62,MATCH(Both_Shift_Roster!AW$2,Evening_Shift!$B$2:$BJ$2,0),0),""),IFERROR(VLOOKUP($B6,Morning_Shift!$B$4:$BJ$61,MATCH(Both_Shift_Roster!AW$2,Morning_Shift!$B$2:$BJ$2,0),0),""))</f>
        <v>10:00-17:30</v>
      </c>
      <c r="AX6" s="2">
        <f t="shared" si="30"/>
        <v>1</v>
      </c>
      <c r="AY6" s="2">
        <f t="shared" si="31"/>
        <v>0</v>
      </c>
      <c r="AZ6" s="2">
        <f t="shared" si="32"/>
        <v>0</v>
      </c>
      <c r="BA6" s="2">
        <f t="shared" si="33"/>
        <v>0</v>
      </c>
      <c r="BB6" s="2">
        <f t="shared" si="34"/>
        <v>0</v>
      </c>
      <c r="BC6" s="2" t="str">
        <f>IF(IFERROR(VLOOKUP($B6,Morning_Shift!$B$4:$BJ$61,MATCH(Both_Shift_Roster!BC$2,Morning_Shift!$B$2:$BJ$2,0),0),"")="",IFERROR(VLOOKUP($B6,Evening_Shift!$B$4:$BJ$62,MATCH(Both_Shift_Roster!BC$2,Evening_Shift!$B$2:$BJ$2,0),0),""),IFERROR(VLOOKUP($B6,Morning_Shift!$B$4:$BJ$61,MATCH(Both_Shift_Roster!BC$2,Morning_Shift!$B$2:$BJ$2,0),0),""))</f>
        <v>10:00-17:30</v>
      </c>
      <c r="BD6" s="2" t="str">
        <f>IF(IFERROR(VLOOKUP($B6,Morning_Shift!$B$4:$BJ$61,MATCH(Both_Shift_Roster!BD$2,Morning_Shift!$B$2:$BJ$2,0),0),"")="",IFERROR(VLOOKUP($B6,Evening_Shift!$B$4:$BJ$62,MATCH(Both_Shift_Roster!BD$2,Evening_Shift!$B$2:$BJ$2,0),0),""),IFERROR(VLOOKUP($B6,Morning_Shift!$B$4:$BJ$61,MATCH(Both_Shift_Roster!BD$2,Morning_Shift!$B$2:$BJ$2,0),0),""))</f>
        <v>10:00-17:30</v>
      </c>
      <c r="BE6" s="2" t="str">
        <f>IF(IFERROR(VLOOKUP($B6,Morning_Shift!$B$4:$BJ$61,MATCH(Both_Shift_Roster!BE$2,Morning_Shift!$B$2:$BJ$2,0),0),"")="",IFERROR(VLOOKUP($B6,Evening_Shift!$B$4:$BJ$59,MATCH(Both_Shift_Roster!BE$2,Evening_Shift!$B$2:$BJ$2,0),0),""),IFERROR(VLOOKUP($B6,Morning_Shift!$B$4:$BJ$61,MATCH(Both_Shift_Roster!BE$2,Morning_Shift!$B$2:$BJ$2,0),0),""))</f>
        <v>10:00-17:30</v>
      </c>
      <c r="BF6" s="2">
        <f t="shared" si="35"/>
        <v>0</v>
      </c>
      <c r="BG6" s="2">
        <f t="shared" si="36"/>
        <v>0</v>
      </c>
      <c r="BH6" s="2">
        <f t="shared" si="37"/>
        <v>0</v>
      </c>
      <c r="BI6" s="2">
        <f t="shared" si="38"/>
        <v>0</v>
      </c>
      <c r="BJ6" s="2">
        <f t="shared" si="39"/>
        <v>0</v>
      </c>
    </row>
    <row r="7" spans="1:62">
      <c r="A7" s="17">
        <f t="shared" si="40"/>
        <v>4</v>
      </c>
      <c r="B7" s="16" t="str">
        <f>Morning_Shift!$B7</f>
        <v>Dritm103</v>
      </c>
      <c r="C7" s="21" t="str">
        <f>IF(IFERROR(VLOOKUP(B7,Morning_Shift!B:C,2,0),"")="",IFERROR(VLOOKUP(B7,Evening_Shift!B:C,2,0),""),IFERROR(VLOOKUP(B7,Morning_Shift!B:C,2,0),""))</f>
        <v>Anjana Thakur</v>
      </c>
      <c r="D7" s="15" t="str">
        <f>IF(IFERROR(VLOOKUP(B7,Morning_Shift!B:D,3,0),"")="",IFERROR(VLOOKUP(B7,Evening_Shift!B:D,3,0),""),IFERROR(VLOOKUP(B7,Morning_Shift!B:D,3,0),""))</f>
        <v>Naina</v>
      </c>
      <c r="E7" s="4" t="str">
        <f>IF(IFERROR(VLOOKUP(B7,Morning_Shift!B:E,4,0),"")="",IFERROR(VLOOKUP(B7,Evening_Shift!B:E,4,0),""),IFERROR(VLOOKUP(B7,Morning_Shift!B:E,4,0),""))</f>
        <v>F</v>
      </c>
      <c r="F7" s="5" t="str">
        <f>IF(IFERROR(VLOOKUP(B7,Morning_Shift!B:F,5,0),"")="",IFERROR(VLOOKUP(B7,Evening_Shift!B:F,5,0),""),IFERROR(VLOOKUP(B7,Morning_Shift!B:F,5,0),""))</f>
        <v>Inbound</v>
      </c>
      <c r="G7" s="2" t="str">
        <f>IF(IFERROR(VLOOKUP($B7,Morning_Shift!$B$4:$BJ$61,MATCH(Both_Shift_Roster!G$2,Morning_Shift!$B$2:$BJ$2,0),0),"")="",IFERROR(VLOOKUP($B7,Evening_Shift!$B$4:$BJ$62,MATCH(Both_Shift_Roster!G$2,Evening_Shift!$B$2:$BJ$2,0),0),""),IFERROR(VLOOKUP($B7,Morning_Shift!$B$4:$BJ$61,MATCH(Both_Shift_Roster!G$2,Morning_Shift!$B$2:$BJ$2,0),0),""))</f>
        <v>HD</v>
      </c>
      <c r="H7" s="2" t="str">
        <f>IF(IFERROR(VLOOKUP($B7,Morning_Shift!$B$4:$BJ$61,MATCH(Both_Shift_Roster!H$2,Morning_Shift!$B$2:$BJ$2,0),0),"")="",IFERROR(VLOOKUP($B7,Evening_Shift!$B$4:$BJ$62,MATCH(Both_Shift_Roster!H$2,Evening_Shift!$B$2:$BJ$2,0),0),""),IFERROR(VLOOKUP($B7,Morning_Shift!$B$4:$BJ$61,MATCH(Both_Shift_Roster!H$2,Morning_Shift!$B$2:$BJ$2,0),0),""))</f>
        <v>Agent Choice WO</v>
      </c>
      <c r="I7" s="2" t="str">
        <f>IF(IFERROR(VLOOKUP($B7,Morning_Shift!$B$4:$BJ$61,MATCH(Both_Shift_Roster!I$2,Morning_Shift!$B$2:$BJ$2,0),0),"")="",IFERROR(VLOOKUP($B7,Evening_Shift!$B$4:$BJ$62,MATCH(Both_Shift_Roster!I$2,Evening_Shift!$B$2:$BJ$2,0),0),""),IFERROR(VLOOKUP($B7,Morning_Shift!$B$4:$BJ$61,MATCH(Both_Shift_Roster!I$2,Morning_Shift!$B$2:$BJ$2,0),0),""))</f>
        <v>7:00-14:30</v>
      </c>
      <c r="J7" s="2" t="str">
        <f>IF(IFERROR(VLOOKUP($B7,Morning_Shift!$B$4:$BJ$61,MATCH(Both_Shift_Roster!J$2,Morning_Shift!$B$2:$BJ$2,0),0),"")="",IFERROR(VLOOKUP($B7,Evening_Shift!$B$4:$BJ$62,MATCH(Both_Shift_Roster!J$2,Evening_Shift!$B$2:$BJ$2,0),0),""),IFERROR(VLOOKUP($B7,Morning_Shift!$B$4:$BJ$61,MATCH(Both_Shift_Roster!J$2,Morning_Shift!$B$2:$BJ$2,0),0),""))</f>
        <v>7:00-14:30</v>
      </c>
      <c r="K7" s="2" t="str">
        <f>IF(IFERROR(VLOOKUP($B7,Morning_Shift!$B$4:$BJ$61,MATCH(Both_Shift_Roster!K$2,Morning_Shift!$B$2:$BJ$2,0),0),"")="",IFERROR(VLOOKUP($B7,Evening_Shift!$B$4:$BJ$62,MATCH(Both_Shift_Roster!K$2,Evening_Shift!$B$2:$BJ$2,0),0),""),IFERROR(VLOOKUP($B7,Morning_Shift!$B$4:$BJ$61,MATCH(Both_Shift_Roster!K$2,Morning_Shift!$B$2:$BJ$2,0),0),""))</f>
        <v>7:00-14:30</v>
      </c>
      <c r="L7" s="2" t="str">
        <f>IF(IFERROR(VLOOKUP($B7,Morning_Shift!$B$4:$BJ$61,MATCH(Both_Shift_Roster!L$2,Morning_Shift!$B$2:$BJ$2,0),0),"")="",IFERROR(VLOOKUP($B7,Evening_Shift!$B$4:$BJ$62,MATCH(Both_Shift_Roster!L$2,Evening_Shift!$B$2:$BJ$2,0),0),""),IFERROR(VLOOKUP($B7,Morning_Shift!$B$4:$BJ$61,MATCH(Both_Shift_Roster!L$2,Morning_Shift!$B$2:$BJ$2,0),0),""))</f>
        <v>7:00-14:30</v>
      </c>
      <c r="M7" s="2" t="str">
        <f>IF(IFERROR(VLOOKUP($B7,Morning_Shift!$B$4:$BJ$61,MATCH(Both_Shift_Roster!M$2,Morning_Shift!$B$2:$BJ$2,0),0),"")="",IFERROR(VLOOKUP($B7,Evening_Shift!$B$4:$BJ$62,MATCH(Both_Shift_Roster!M$2,Evening_Shift!$B$2:$BJ$2,0),0),""),IFERROR(VLOOKUP($B7,Morning_Shift!$B$4:$BJ$61,MATCH(Both_Shift_Roster!M$2,Morning_Shift!$B$2:$BJ$2,0),0),""))</f>
        <v>7:00-14:30</v>
      </c>
      <c r="N7" s="2">
        <f t="shared" si="15"/>
        <v>1</v>
      </c>
      <c r="O7" s="2">
        <f t="shared" si="16"/>
        <v>0</v>
      </c>
      <c r="P7" s="2">
        <f t="shared" si="17"/>
        <v>0</v>
      </c>
      <c r="Q7" s="2">
        <f t="shared" si="18"/>
        <v>1</v>
      </c>
      <c r="R7" s="2">
        <f t="shared" si="19"/>
        <v>0</v>
      </c>
      <c r="S7" s="2" t="str">
        <f>IF(IFERROR(VLOOKUP($B7,Morning_Shift!$B$4:$BJ$61,MATCH(Both_Shift_Roster!S$2,Morning_Shift!$B$2:$BJ$2,0),0),"")="",IFERROR(VLOOKUP($B7,Evening_Shift!$B$4:$BJ$62,MATCH(Both_Shift_Roster!S$2,Evening_Shift!$B$2:$BJ$2,0),0),""),IFERROR(VLOOKUP($B7,Morning_Shift!$B$4:$BJ$61,MATCH(Both_Shift_Roster!S$2,Morning_Shift!$B$2:$BJ$2,0),0),""))</f>
        <v>7:00-14:30</v>
      </c>
      <c r="T7" s="2" t="str">
        <f>IF(IFERROR(VLOOKUP($B7,Morning_Shift!$B$4:$BJ$61,MATCH(Both_Shift_Roster!T$2,Morning_Shift!$B$2:$BJ$2,0),0),"")="",IFERROR(VLOOKUP($B7,Evening_Shift!$B$4:$BJ$62,MATCH(Both_Shift_Roster!T$2,Evening_Shift!$B$2:$BJ$2,0),0),""),IFERROR(VLOOKUP($B7,Morning_Shift!$B$4:$BJ$61,MATCH(Both_Shift_Roster!T$2,Morning_Shift!$B$2:$BJ$2,0),0),""))</f>
        <v>7:00-14:30</v>
      </c>
      <c r="U7" s="2" t="str">
        <f>IF(IFERROR(VLOOKUP($B7,Morning_Shift!$B$4:$BJ$61,MATCH(Both_Shift_Roster!U$2,Morning_Shift!$B$2:$BJ$2,0),0),"")="",IFERROR(VLOOKUP($B7,Evening_Shift!$B$4:$BJ$62,MATCH(Both_Shift_Roster!U$2,Evening_Shift!$B$2:$BJ$2,0),0),""),IFERROR(VLOOKUP($B7,Morning_Shift!$B$4:$BJ$61,MATCH(Both_Shift_Roster!U$2,Morning_Shift!$B$2:$BJ$2,0),0),""))</f>
        <v>7:00-14:30</v>
      </c>
      <c r="V7" s="2" t="str">
        <f>IF(IFERROR(VLOOKUP($B7,Morning_Shift!$B$4:$BJ$61,MATCH(Both_Shift_Roster!V$2,Morning_Shift!$B$2:$BJ$2,0),0),"")="",IFERROR(VLOOKUP($B7,Evening_Shift!$B$4:$BJ$62,MATCH(Both_Shift_Roster!V$2,Evening_Shift!$B$2:$BJ$2,0),0),""),IFERROR(VLOOKUP($B7,Morning_Shift!$B$4:$BJ$61,MATCH(Both_Shift_Roster!V$2,Morning_Shift!$B$2:$BJ$2,0),0),""))</f>
        <v>7:00-14:30</v>
      </c>
      <c r="W7" s="2" t="str">
        <f>IF(IFERROR(VLOOKUP($B7,Morning_Shift!$B$4:$BJ$61,MATCH(Both_Shift_Roster!W$2,Morning_Shift!$B$2:$BJ$2,0),0),"")="",IFERROR(VLOOKUP($B7,Evening_Shift!$B$4:$BJ$62,MATCH(Both_Shift_Roster!W$2,Evening_Shift!$B$2:$BJ$2,0),0),""),IFERROR(VLOOKUP($B7,Morning_Shift!$B$4:$BJ$61,MATCH(Both_Shift_Roster!W$2,Morning_Shift!$B$2:$BJ$2,0),0),""))</f>
        <v>7:00-14:30</v>
      </c>
      <c r="X7" s="2" t="str">
        <f>IF(IFERROR(VLOOKUP($B7,Morning_Shift!$B$4:$BJ$61,MATCH(Both_Shift_Roster!X$2,Morning_Shift!$B$2:$BJ$2,0),0),"")="",IFERROR(VLOOKUP($B7,Evening_Shift!$B$4:$BJ$62,MATCH(Both_Shift_Roster!X$2,Evening_Shift!$B$2:$BJ$2,0),0),""),IFERROR(VLOOKUP($B7,Morning_Shift!$B$4:$BJ$61,MATCH(Both_Shift_Roster!X$2,Morning_Shift!$B$2:$BJ$2,0),0),""))</f>
        <v>Agent Choice WO</v>
      </c>
      <c r="Y7" s="2" t="str">
        <f>IF(IFERROR(VLOOKUP($B7,Morning_Shift!$B$4:$BJ$61,MATCH(Both_Shift_Roster!Y$2,Morning_Shift!$B$2:$BJ$2,0),0),"")="",IFERROR(VLOOKUP($B7,Evening_Shift!$B$4:$BJ$62,MATCH(Both_Shift_Roster!Y$2,Evening_Shift!$B$2:$BJ$2,0),0),""),IFERROR(VLOOKUP($B7,Morning_Shift!$B$4:$BJ$61,MATCH(Both_Shift_Roster!Y$2,Morning_Shift!$B$2:$BJ$2,0),0),""))</f>
        <v>7:00-14:30</v>
      </c>
      <c r="Z7" s="2">
        <f t="shared" si="20"/>
        <v>1</v>
      </c>
      <c r="AA7" s="2">
        <f t="shared" si="21"/>
        <v>0</v>
      </c>
      <c r="AB7" s="2">
        <f t="shared" si="22"/>
        <v>0</v>
      </c>
      <c r="AC7" s="2">
        <f t="shared" si="23"/>
        <v>0</v>
      </c>
      <c r="AD7" s="2">
        <f t="shared" si="24"/>
        <v>0</v>
      </c>
      <c r="AE7" s="2" t="str">
        <f>IF(IFERROR(VLOOKUP($B7,Morning_Shift!$B$4:$BJ$61,MATCH(Both_Shift_Roster!AE$2,Morning_Shift!$B$2:$BJ$2,0),0),"")="",IFERROR(VLOOKUP($B7,Evening_Shift!$B$4:$BJ$62,MATCH(Both_Shift_Roster!AE$2,Evening_Shift!$B$2:$BJ$2,0),0),""),IFERROR(VLOOKUP($B7,Morning_Shift!$B$4:$BJ$61,MATCH(Both_Shift_Roster!AE$2,Morning_Shift!$B$2:$BJ$2,0),0),""))</f>
        <v>7:00-14:30</v>
      </c>
      <c r="AF7" s="2" t="str">
        <f>IF(IFERROR(VLOOKUP($B7,Morning_Shift!$B$4:$BJ$61,MATCH(Both_Shift_Roster!AF$2,Morning_Shift!$B$2:$BJ$2,0),0),"")="",IFERROR(VLOOKUP($B7,Evening_Shift!$B$4:$BJ$62,MATCH(Both_Shift_Roster!AF$2,Evening_Shift!$B$2:$BJ$2,0),0),""),IFERROR(VLOOKUP($B7,Morning_Shift!$B$4:$BJ$61,MATCH(Both_Shift_Roster!AF$2,Morning_Shift!$B$2:$BJ$2,0),0),""))</f>
        <v>7:00-14:30</v>
      </c>
      <c r="AG7" s="2" t="str">
        <f>IF(IFERROR(VLOOKUP($B7,Morning_Shift!$B$4:$BJ$61,MATCH(Both_Shift_Roster!AG$2,Morning_Shift!$B$2:$BJ$2,0),0),"")="",IFERROR(VLOOKUP($B7,Evening_Shift!$B$4:$BJ$62,MATCH(Both_Shift_Roster!AG$2,Evening_Shift!$B$2:$BJ$2,0),0),""),IFERROR(VLOOKUP($B7,Morning_Shift!$B$4:$BJ$61,MATCH(Both_Shift_Roster!AG$2,Morning_Shift!$B$2:$BJ$2,0),0),""))</f>
        <v>7:00-14:30</v>
      </c>
      <c r="AH7" s="2" t="str">
        <f>IF(IFERROR(VLOOKUP($B7,Morning_Shift!$B$4:$BJ$61,MATCH(Both_Shift_Roster!AH$2,Morning_Shift!$B$2:$BJ$2,0),0),"")="",IFERROR(VLOOKUP($B7,Evening_Shift!$B$4:$BJ$62,MATCH(Both_Shift_Roster!AH$2,Evening_Shift!$B$2:$BJ$2,0),0),""),IFERROR(VLOOKUP($B7,Morning_Shift!$B$4:$BJ$61,MATCH(Both_Shift_Roster!AH$2,Morning_Shift!$B$2:$BJ$2,0),0),""))</f>
        <v>7:00-14:30</v>
      </c>
      <c r="AI7" s="2" t="str">
        <f>IF(IFERROR(VLOOKUP($B7,Morning_Shift!$B$4:$BJ$61,MATCH(Both_Shift_Roster!AI$2,Morning_Shift!$B$2:$BJ$2,0),0),"")="",IFERROR(VLOOKUP($B7,Evening_Shift!$B$4:$BJ$62,MATCH(Both_Shift_Roster!AI$2,Evening_Shift!$B$2:$BJ$2,0),0),""),IFERROR(VLOOKUP($B7,Morning_Shift!$B$4:$BJ$61,MATCH(Both_Shift_Roster!AI$2,Morning_Shift!$B$2:$BJ$2,0),0),""))</f>
        <v>7:00-14:30</v>
      </c>
      <c r="AJ7" s="2" t="str">
        <f>IF(IFERROR(VLOOKUP($B7,Morning_Shift!$B$4:$BJ$61,MATCH(Both_Shift_Roster!AJ$2,Morning_Shift!$B$2:$BJ$2,0),0),"")="",IFERROR(VLOOKUP($B7,Evening_Shift!$B$4:$BJ$62,MATCH(Both_Shift_Roster!AJ$2,Evening_Shift!$B$2:$BJ$2,0),0),""),IFERROR(VLOOKUP($B7,Morning_Shift!$B$4:$BJ$61,MATCH(Both_Shift_Roster!AJ$2,Morning_Shift!$B$2:$BJ$2,0),0),""))</f>
        <v>7:00-14:30</v>
      </c>
      <c r="AK7" s="2" t="str">
        <f>IF(IFERROR(VLOOKUP($B7,Morning_Shift!$B$4:$BJ$61,MATCH(Both_Shift_Roster!AK$2,Morning_Shift!$B$2:$BJ$2,0),0),"")="",IFERROR(VLOOKUP($B7,Evening_Shift!$B$4:$BJ$62,MATCH(Both_Shift_Roster!AK$2,Evening_Shift!$B$2:$BJ$2,0),0),""),IFERROR(VLOOKUP($B7,Morning_Shift!$B$4:$BJ$61,MATCH(Both_Shift_Roster!AK$2,Morning_Shift!$B$2:$BJ$2,0),0),""))</f>
        <v>7:00-14:30</v>
      </c>
      <c r="AL7" s="2">
        <f t="shared" si="25"/>
        <v>0</v>
      </c>
      <c r="AM7" s="2">
        <f t="shared" si="26"/>
        <v>0</v>
      </c>
      <c r="AN7" s="2">
        <f t="shared" si="27"/>
        <v>0</v>
      </c>
      <c r="AO7" s="2">
        <f t="shared" si="28"/>
        <v>0</v>
      </c>
      <c r="AP7" s="2">
        <f t="shared" si="29"/>
        <v>0</v>
      </c>
      <c r="AQ7" s="2" t="str">
        <f>IF(IFERROR(VLOOKUP($B7,Morning_Shift!$B$4:$BJ$61,MATCH(Both_Shift_Roster!AQ$2,Morning_Shift!$B$2:$BJ$2,0),0),"")="",IFERROR(VLOOKUP($B7,Evening_Shift!$B$4:$BJ$62,MATCH(Both_Shift_Roster!AQ$2,Evening_Shift!$B$2:$BJ$2,0),0),""),IFERROR(VLOOKUP($B7,Morning_Shift!$B$4:$BJ$61,MATCH(Both_Shift_Roster!AQ$2,Morning_Shift!$B$2:$BJ$2,0),0),""))</f>
        <v>7:00-14:30</v>
      </c>
      <c r="AR7" s="2" t="str">
        <f>IF(IFERROR(VLOOKUP($B7,Morning_Shift!$B$4:$BJ$61,MATCH(Both_Shift_Roster!AR$2,Morning_Shift!$B$2:$BJ$2,0),0),"")="",IFERROR(VLOOKUP($B7,Evening_Shift!$B$4:$BJ$62,MATCH(Both_Shift_Roster!AR$2,Evening_Shift!$B$2:$BJ$2,0),0),""),IFERROR(VLOOKUP($B7,Morning_Shift!$B$4:$BJ$61,MATCH(Both_Shift_Roster!AR$2,Morning_Shift!$B$2:$BJ$2,0),0),""))</f>
        <v>7:00-14:30</v>
      </c>
      <c r="AS7" s="2" t="str">
        <f>IF(IFERROR(VLOOKUP($B7,Morning_Shift!$B$4:$BJ$61,MATCH(Both_Shift_Roster!AS$2,Morning_Shift!$B$2:$BJ$2,0),0),"")="",IFERROR(VLOOKUP($B7,Evening_Shift!$B$4:$BJ$62,MATCH(Both_Shift_Roster!AS$2,Evening_Shift!$B$2:$BJ$2,0),0),""),IFERROR(VLOOKUP($B7,Morning_Shift!$B$4:$BJ$61,MATCH(Both_Shift_Roster!AS$2,Morning_Shift!$B$2:$BJ$2,0),0),""))</f>
        <v>7:00-14:30</v>
      </c>
      <c r="AT7" s="2" t="str">
        <f>IF(IFERROR(VLOOKUP($B7,Morning_Shift!$B$4:$BJ$61,MATCH(Both_Shift_Roster!AT$2,Morning_Shift!$B$2:$BJ$2,0),0),"")="",IFERROR(VLOOKUP($B7,Evening_Shift!$B$4:$BJ$62,MATCH(Both_Shift_Roster!AT$2,Evening_Shift!$B$2:$BJ$2,0),0),""),IFERROR(VLOOKUP($B7,Morning_Shift!$B$4:$BJ$61,MATCH(Both_Shift_Roster!AT$2,Morning_Shift!$B$2:$BJ$2,0),0),""))</f>
        <v>7:00-14:30</v>
      </c>
      <c r="AU7" s="2" t="str">
        <f>IF(IFERROR(VLOOKUP($B7,Morning_Shift!$B$4:$BJ$61,MATCH(Both_Shift_Roster!AU$2,Morning_Shift!$B$2:$BJ$2,0),0),"")="",IFERROR(VLOOKUP($B7,Evening_Shift!$B$4:$BJ$62,MATCH(Both_Shift_Roster!AU$2,Evening_Shift!$B$2:$BJ$2,0),0),""),IFERROR(VLOOKUP($B7,Morning_Shift!$B$4:$BJ$61,MATCH(Both_Shift_Roster!AU$2,Morning_Shift!$B$2:$BJ$2,0),0),""))</f>
        <v>7:00-14:30</v>
      </c>
      <c r="AV7" s="2" t="str">
        <f>IF(IFERROR(VLOOKUP($B7,Morning_Shift!$B$4:$BJ$61,MATCH(Both_Shift_Roster!AV$2,Morning_Shift!$B$2:$BJ$2,0),0),"")="",IFERROR(VLOOKUP($B7,Evening_Shift!$B$4:$BJ$62,MATCH(Both_Shift_Roster!AV$2,Evening_Shift!$B$2:$BJ$2,0),0),""),IFERROR(VLOOKUP($B7,Morning_Shift!$B$4:$BJ$61,MATCH(Both_Shift_Roster!AV$2,Morning_Shift!$B$2:$BJ$2,0),0),""))</f>
        <v>Agent Choice WO</v>
      </c>
      <c r="AW7" s="2" t="str">
        <f>IF(IFERROR(VLOOKUP($B7,Morning_Shift!$B$4:$BJ$61,MATCH(Both_Shift_Roster!AW$2,Morning_Shift!$B$2:$BJ$2,0),0),"")="",IFERROR(VLOOKUP($B7,Evening_Shift!$B$4:$BJ$62,MATCH(Both_Shift_Roster!AW$2,Evening_Shift!$B$2:$BJ$2,0),0),""),IFERROR(VLOOKUP($B7,Morning_Shift!$B$4:$BJ$61,MATCH(Both_Shift_Roster!AW$2,Morning_Shift!$B$2:$BJ$2,0),0),""))</f>
        <v>Agent Choice WO</v>
      </c>
      <c r="AX7" s="2">
        <f t="shared" si="30"/>
        <v>2</v>
      </c>
      <c r="AY7" s="2">
        <f t="shared" si="31"/>
        <v>0</v>
      </c>
      <c r="AZ7" s="2">
        <f t="shared" si="32"/>
        <v>0</v>
      </c>
      <c r="BA7" s="2">
        <f t="shared" si="33"/>
        <v>0</v>
      </c>
      <c r="BB7" s="2">
        <f t="shared" si="34"/>
        <v>0</v>
      </c>
      <c r="BC7" s="2" t="str">
        <f>IF(IFERROR(VLOOKUP($B7,Morning_Shift!$B$4:$BJ$61,MATCH(Both_Shift_Roster!BC$2,Morning_Shift!$B$2:$BJ$2,0),0),"")="",IFERROR(VLOOKUP($B7,Evening_Shift!$B$4:$BJ$62,MATCH(Both_Shift_Roster!BC$2,Evening_Shift!$B$2:$BJ$2,0),0),""),IFERROR(VLOOKUP($B7,Morning_Shift!$B$4:$BJ$61,MATCH(Both_Shift_Roster!BC$2,Morning_Shift!$B$2:$BJ$2,0),0),""))</f>
        <v>7:00-14:30</v>
      </c>
      <c r="BD7" s="2" t="str">
        <f>IF(IFERROR(VLOOKUP($B7,Morning_Shift!$B$4:$BJ$61,MATCH(Both_Shift_Roster!BD$2,Morning_Shift!$B$2:$BJ$2,0),0),"")="",IFERROR(VLOOKUP($B7,Evening_Shift!$B$4:$BJ$62,MATCH(Both_Shift_Roster!BD$2,Evening_Shift!$B$2:$BJ$2,0),0),""),IFERROR(VLOOKUP($B7,Morning_Shift!$B$4:$BJ$61,MATCH(Both_Shift_Roster!BD$2,Morning_Shift!$B$2:$BJ$2,0),0),""))</f>
        <v>7:00-14:30</v>
      </c>
      <c r="BE7" s="2" t="str">
        <f>IF(IFERROR(VLOOKUP($B7,Morning_Shift!$B$4:$BJ$61,MATCH(Both_Shift_Roster!BE$2,Morning_Shift!$B$2:$BJ$2,0),0),"")="",IFERROR(VLOOKUP($B7,Evening_Shift!$B$4:$BJ$59,MATCH(Both_Shift_Roster!BE$2,Evening_Shift!$B$2:$BJ$2,0),0),""),IFERROR(VLOOKUP($B7,Morning_Shift!$B$4:$BJ$61,MATCH(Both_Shift_Roster!BE$2,Morning_Shift!$B$2:$BJ$2,0),0),""))</f>
        <v>7:00-14:30</v>
      </c>
      <c r="BF7" s="2">
        <f t="shared" si="35"/>
        <v>0</v>
      </c>
      <c r="BG7" s="2">
        <f t="shared" si="36"/>
        <v>0</v>
      </c>
      <c r="BH7" s="2">
        <f t="shared" si="37"/>
        <v>0</v>
      </c>
      <c r="BI7" s="2">
        <f t="shared" si="38"/>
        <v>0</v>
      </c>
      <c r="BJ7" s="2">
        <f t="shared" si="39"/>
        <v>0</v>
      </c>
    </row>
    <row r="8" spans="1:62">
      <c r="A8" s="17">
        <f t="shared" si="40"/>
        <v>5</v>
      </c>
      <c r="B8" s="16" t="str">
        <f>Morning_Shift!$B8</f>
        <v>Dritm01</v>
      </c>
      <c r="C8" s="21" t="str">
        <f>IF(IFERROR(VLOOKUP(B8,Morning_Shift!B:C,2,0),"")="",IFERROR(VLOOKUP(B8,Evening_Shift!B:C,2,0),""),IFERROR(VLOOKUP(B8,Morning_Shift!B:C,2,0),""))</f>
        <v>Ankita</v>
      </c>
      <c r="D8" s="15" t="str">
        <f>IF(IFERROR(VLOOKUP(B8,Morning_Shift!B:D,3,0),"")="",IFERROR(VLOOKUP(B8,Evening_Shift!B:D,3,0),""),IFERROR(VLOOKUP(B8,Morning_Shift!B:D,3,0),""))</f>
        <v>Naina</v>
      </c>
      <c r="E8" s="4" t="str">
        <f>IF(IFERROR(VLOOKUP(B8,Morning_Shift!B:E,4,0),"")="",IFERROR(VLOOKUP(B8,Evening_Shift!B:E,4,0),""),IFERROR(VLOOKUP(B8,Morning_Shift!B:E,4,0),""))</f>
        <v>F</v>
      </c>
      <c r="F8" s="5" t="str">
        <f>IF(IFERROR(VLOOKUP(B8,Morning_Shift!B:F,5,0),"")="",IFERROR(VLOOKUP(B8,Evening_Shift!B:F,5,0),""),IFERROR(VLOOKUP(B8,Morning_Shift!B:F,5,0),""))</f>
        <v>Inbound</v>
      </c>
      <c r="G8" s="2" t="str">
        <f>IF(IFERROR(VLOOKUP($B8,Morning_Shift!$B$4:$BJ$61,MATCH(Both_Shift_Roster!G$2,Morning_Shift!$B$2:$BJ$2,0),0),"")="",IFERROR(VLOOKUP($B8,Evening_Shift!$B$4:$BJ$62,MATCH(Both_Shift_Roster!G$2,Evening_Shift!$B$2:$BJ$2,0),0),""),IFERROR(VLOOKUP($B8,Morning_Shift!$B$4:$BJ$61,MATCH(Both_Shift_Roster!G$2,Morning_Shift!$B$2:$BJ$2,0),0),""))</f>
        <v>7:00-14:30</v>
      </c>
      <c r="H8" s="2" t="str">
        <f>IF(IFERROR(VLOOKUP($B8,Morning_Shift!$B$4:$BJ$61,MATCH(Both_Shift_Roster!H$2,Morning_Shift!$B$2:$BJ$2,0),0),"")="",IFERROR(VLOOKUP($B8,Evening_Shift!$B$4:$BJ$62,MATCH(Both_Shift_Roster!H$2,Evening_Shift!$B$2:$BJ$2,0),0),""),IFERROR(VLOOKUP($B8,Morning_Shift!$B$4:$BJ$61,MATCH(Both_Shift_Roster!H$2,Morning_Shift!$B$2:$BJ$2,0),0),""))</f>
        <v>7:00-14:30</v>
      </c>
      <c r="I8" s="2" t="str">
        <f>IF(IFERROR(VLOOKUP($B8,Morning_Shift!$B$4:$BJ$61,MATCH(Both_Shift_Roster!I$2,Morning_Shift!$B$2:$BJ$2,0),0),"")="",IFERROR(VLOOKUP($B8,Evening_Shift!$B$4:$BJ$62,MATCH(Both_Shift_Roster!I$2,Evening_Shift!$B$2:$BJ$2,0),0),""),IFERROR(VLOOKUP($B8,Morning_Shift!$B$4:$BJ$61,MATCH(Both_Shift_Roster!I$2,Morning_Shift!$B$2:$BJ$2,0),0),""))</f>
        <v>7:00-14:30</v>
      </c>
      <c r="J8" s="2" t="str">
        <f>IF(IFERROR(VLOOKUP($B8,Morning_Shift!$B$4:$BJ$61,MATCH(Both_Shift_Roster!J$2,Morning_Shift!$B$2:$BJ$2,0),0),"")="",IFERROR(VLOOKUP($B8,Evening_Shift!$B$4:$BJ$62,MATCH(Both_Shift_Roster!J$2,Evening_Shift!$B$2:$BJ$2,0),0),""),IFERROR(VLOOKUP($B8,Morning_Shift!$B$4:$BJ$61,MATCH(Both_Shift_Roster!J$2,Morning_Shift!$B$2:$BJ$2,0),0),""))</f>
        <v>7:00-14:30</v>
      </c>
      <c r="K8" s="2" t="str">
        <f>IF(IFERROR(VLOOKUP($B8,Morning_Shift!$B$4:$BJ$61,MATCH(Both_Shift_Roster!K$2,Morning_Shift!$B$2:$BJ$2,0),0),"")="",IFERROR(VLOOKUP($B8,Evening_Shift!$B$4:$BJ$62,MATCH(Both_Shift_Roster!K$2,Evening_Shift!$B$2:$BJ$2,0),0),""),IFERROR(VLOOKUP($B8,Morning_Shift!$B$4:$BJ$61,MATCH(Both_Shift_Roster!K$2,Morning_Shift!$B$2:$BJ$2,0),0),""))</f>
        <v>7:00-14:30</v>
      </c>
      <c r="L8" s="2" t="str">
        <f>IF(IFERROR(VLOOKUP($B8,Morning_Shift!$B$4:$BJ$61,MATCH(Both_Shift_Roster!L$2,Morning_Shift!$B$2:$BJ$2,0),0),"")="",IFERROR(VLOOKUP($B8,Evening_Shift!$B$4:$BJ$62,MATCH(Both_Shift_Roster!L$2,Evening_Shift!$B$2:$BJ$2,0),0),""),IFERROR(VLOOKUP($B8,Morning_Shift!$B$4:$BJ$61,MATCH(Both_Shift_Roster!L$2,Morning_Shift!$B$2:$BJ$2,0),0),""))</f>
        <v>Agent Choice WO</v>
      </c>
      <c r="M8" s="2" t="str">
        <f>IF(IFERROR(VLOOKUP($B8,Morning_Shift!$B$4:$BJ$61,MATCH(Both_Shift_Roster!M$2,Morning_Shift!$B$2:$BJ$2,0),0),"")="",IFERROR(VLOOKUP($B8,Evening_Shift!$B$4:$BJ$62,MATCH(Both_Shift_Roster!M$2,Evening_Shift!$B$2:$BJ$2,0),0),""),IFERROR(VLOOKUP($B8,Morning_Shift!$B$4:$BJ$61,MATCH(Both_Shift_Roster!M$2,Morning_Shift!$B$2:$BJ$2,0),0),""))</f>
        <v>Agent Choice WO</v>
      </c>
      <c r="N8" s="2">
        <f t="shared" si="15"/>
        <v>2</v>
      </c>
      <c r="O8" s="2">
        <f t="shared" si="16"/>
        <v>0</v>
      </c>
      <c r="P8" s="2">
        <f t="shared" si="17"/>
        <v>0</v>
      </c>
      <c r="Q8" s="2">
        <f t="shared" si="18"/>
        <v>0</v>
      </c>
      <c r="R8" s="2">
        <f t="shared" si="19"/>
        <v>0</v>
      </c>
      <c r="S8" s="2" t="str">
        <f>IF(IFERROR(VLOOKUP($B8,Morning_Shift!$B$4:$BJ$61,MATCH(Both_Shift_Roster!S$2,Morning_Shift!$B$2:$BJ$2,0),0),"")="",IFERROR(VLOOKUP($B8,Evening_Shift!$B$4:$BJ$62,MATCH(Both_Shift_Roster!S$2,Evening_Shift!$B$2:$BJ$2,0),0),""),IFERROR(VLOOKUP($B8,Morning_Shift!$B$4:$BJ$61,MATCH(Both_Shift_Roster!S$2,Morning_Shift!$B$2:$BJ$2,0),0),""))</f>
        <v>Agent Choice WO</v>
      </c>
      <c r="T8" s="2" t="str">
        <f>IF(IFERROR(VLOOKUP($B8,Morning_Shift!$B$4:$BJ$61,MATCH(Both_Shift_Roster!T$2,Morning_Shift!$B$2:$BJ$2,0),0),"")="",IFERROR(VLOOKUP($B8,Evening_Shift!$B$4:$BJ$62,MATCH(Both_Shift_Roster!T$2,Evening_Shift!$B$2:$BJ$2,0),0),""),IFERROR(VLOOKUP($B8,Morning_Shift!$B$4:$BJ$61,MATCH(Both_Shift_Roster!T$2,Morning_Shift!$B$2:$BJ$2,0),0),""))</f>
        <v>Agent Choice WO</v>
      </c>
      <c r="U8" s="2" t="str">
        <f>IF(IFERROR(VLOOKUP($B8,Morning_Shift!$B$4:$BJ$61,MATCH(Both_Shift_Roster!U$2,Morning_Shift!$B$2:$BJ$2,0),0),"")="",IFERROR(VLOOKUP($B8,Evening_Shift!$B$4:$BJ$62,MATCH(Both_Shift_Roster!U$2,Evening_Shift!$B$2:$BJ$2,0),0),""),IFERROR(VLOOKUP($B8,Morning_Shift!$B$4:$BJ$61,MATCH(Both_Shift_Roster!U$2,Morning_Shift!$B$2:$BJ$2,0),0),""))</f>
        <v>7:00-14:30</v>
      </c>
      <c r="V8" s="2" t="str">
        <f>IF(IFERROR(VLOOKUP($B8,Morning_Shift!$B$4:$BJ$61,MATCH(Both_Shift_Roster!V$2,Morning_Shift!$B$2:$BJ$2,0),0),"")="",IFERROR(VLOOKUP($B8,Evening_Shift!$B$4:$BJ$62,MATCH(Both_Shift_Roster!V$2,Evening_Shift!$B$2:$BJ$2,0),0),""),IFERROR(VLOOKUP($B8,Morning_Shift!$B$4:$BJ$61,MATCH(Both_Shift_Roster!V$2,Morning_Shift!$B$2:$BJ$2,0),0),""))</f>
        <v>7:00-14:30</v>
      </c>
      <c r="W8" s="2" t="str">
        <f>IF(IFERROR(VLOOKUP($B8,Morning_Shift!$B$4:$BJ$61,MATCH(Both_Shift_Roster!W$2,Morning_Shift!$B$2:$BJ$2,0),0),"")="",IFERROR(VLOOKUP($B8,Evening_Shift!$B$4:$BJ$62,MATCH(Both_Shift_Roster!W$2,Evening_Shift!$B$2:$BJ$2,0),0),""),IFERROR(VLOOKUP($B8,Morning_Shift!$B$4:$BJ$61,MATCH(Both_Shift_Roster!W$2,Morning_Shift!$B$2:$BJ$2,0),0),""))</f>
        <v>7:00-14:30</v>
      </c>
      <c r="X8" s="2" t="str">
        <f>IF(IFERROR(VLOOKUP($B8,Morning_Shift!$B$4:$BJ$61,MATCH(Both_Shift_Roster!X$2,Morning_Shift!$B$2:$BJ$2,0),0),"")="",IFERROR(VLOOKUP($B8,Evening_Shift!$B$4:$BJ$62,MATCH(Both_Shift_Roster!X$2,Evening_Shift!$B$2:$BJ$2,0),0),""),IFERROR(VLOOKUP($B8,Morning_Shift!$B$4:$BJ$61,MATCH(Both_Shift_Roster!X$2,Morning_Shift!$B$2:$BJ$2,0),0),""))</f>
        <v>7:00-14:30</v>
      </c>
      <c r="Y8" s="2" t="str">
        <f>IF(IFERROR(VLOOKUP($B8,Morning_Shift!$B$4:$BJ$61,MATCH(Both_Shift_Roster!Y$2,Morning_Shift!$B$2:$BJ$2,0),0),"")="",IFERROR(VLOOKUP($B8,Evening_Shift!$B$4:$BJ$62,MATCH(Both_Shift_Roster!Y$2,Evening_Shift!$B$2:$BJ$2,0),0),""),IFERROR(VLOOKUP($B8,Morning_Shift!$B$4:$BJ$61,MATCH(Both_Shift_Roster!Y$2,Morning_Shift!$B$2:$BJ$2,0),0),""))</f>
        <v>7:00-14:30</v>
      </c>
      <c r="Z8" s="2">
        <f t="shared" si="20"/>
        <v>2</v>
      </c>
      <c r="AA8" s="2">
        <f t="shared" si="21"/>
        <v>0</v>
      </c>
      <c r="AB8" s="2">
        <f t="shared" si="22"/>
        <v>0</v>
      </c>
      <c r="AC8" s="2">
        <f t="shared" si="23"/>
        <v>0</v>
      </c>
      <c r="AD8" s="2">
        <f t="shared" si="24"/>
        <v>0</v>
      </c>
      <c r="AE8" s="2" t="str">
        <f>IF(IFERROR(VLOOKUP($B8,Morning_Shift!$B$4:$BJ$61,MATCH(Both_Shift_Roster!AE$2,Morning_Shift!$B$2:$BJ$2,0),0),"")="",IFERROR(VLOOKUP($B8,Evening_Shift!$B$4:$BJ$62,MATCH(Both_Shift_Roster!AE$2,Evening_Shift!$B$2:$BJ$2,0),0),""),IFERROR(VLOOKUP($B8,Morning_Shift!$B$4:$BJ$61,MATCH(Both_Shift_Roster!AE$2,Morning_Shift!$B$2:$BJ$2,0),0),""))</f>
        <v>7:00-14:30</v>
      </c>
      <c r="AF8" s="2" t="str">
        <f>IF(IFERROR(VLOOKUP($B8,Morning_Shift!$B$4:$BJ$61,MATCH(Both_Shift_Roster!AF$2,Morning_Shift!$B$2:$BJ$2,0),0),"")="",IFERROR(VLOOKUP($B8,Evening_Shift!$B$4:$BJ$62,MATCH(Both_Shift_Roster!AF$2,Evening_Shift!$B$2:$BJ$2,0),0),""),IFERROR(VLOOKUP($B8,Morning_Shift!$B$4:$BJ$61,MATCH(Both_Shift_Roster!AF$2,Morning_Shift!$B$2:$BJ$2,0),0),""))</f>
        <v>7:00-14:30</v>
      </c>
      <c r="AG8" s="2" t="str">
        <f>IF(IFERROR(VLOOKUP($B8,Morning_Shift!$B$4:$BJ$61,MATCH(Both_Shift_Roster!AG$2,Morning_Shift!$B$2:$BJ$2,0),0),"")="",IFERROR(VLOOKUP($B8,Evening_Shift!$B$4:$BJ$62,MATCH(Both_Shift_Roster!AG$2,Evening_Shift!$B$2:$BJ$2,0),0),""),IFERROR(VLOOKUP($B8,Morning_Shift!$B$4:$BJ$61,MATCH(Both_Shift_Roster!AG$2,Morning_Shift!$B$2:$BJ$2,0),0),""))</f>
        <v>7:00-14:30</v>
      </c>
      <c r="AH8" s="2" t="str">
        <f>IF(IFERROR(VLOOKUP($B8,Morning_Shift!$B$4:$BJ$61,MATCH(Both_Shift_Roster!AH$2,Morning_Shift!$B$2:$BJ$2,0),0),"")="",IFERROR(VLOOKUP($B8,Evening_Shift!$B$4:$BJ$62,MATCH(Both_Shift_Roster!AH$2,Evening_Shift!$B$2:$BJ$2,0),0),""),IFERROR(VLOOKUP($B8,Morning_Shift!$B$4:$BJ$61,MATCH(Both_Shift_Roster!AH$2,Morning_Shift!$B$2:$BJ$2,0),0),""))</f>
        <v>7:00-14:30</v>
      </c>
      <c r="AI8" s="2" t="str">
        <f>IF(IFERROR(VLOOKUP($B8,Morning_Shift!$B$4:$BJ$61,MATCH(Both_Shift_Roster!AI$2,Morning_Shift!$B$2:$BJ$2,0),0),"")="",IFERROR(VLOOKUP($B8,Evening_Shift!$B$4:$BJ$62,MATCH(Both_Shift_Roster!AI$2,Evening_Shift!$B$2:$BJ$2,0),0),""),IFERROR(VLOOKUP($B8,Morning_Shift!$B$4:$BJ$61,MATCH(Both_Shift_Roster!AI$2,Morning_Shift!$B$2:$BJ$2,0),0),""))</f>
        <v>7:00-14:30</v>
      </c>
      <c r="AJ8" s="2" t="str">
        <f>IF(IFERROR(VLOOKUP($B8,Morning_Shift!$B$4:$BJ$61,MATCH(Both_Shift_Roster!AJ$2,Morning_Shift!$B$2:$BJ$2,0),0),"")="",IFERROR(VLOOKUP($B8,Evening_Shift!$B$4:$BJ$62,MATCH(Both_Shift_Roster!AJ$2,Evening_Shift!$B$2:$BJ$2,0),0),""),IFERROR(VLOOKUP($B8,Morning_Shift!$B$4:$BJ$61,MATCH(Both_Shift_Roster!AJ$2,Morning_Shift!$B$2:$BJ$2,0),0),""))</f>
        <v>7:00-14:30</v>
      </c>
      <c r="AK8" s="2" t="str">
        <f>IF(IFERROR(VLOOKUP($B8,Morning_Shift!$B$4:$BJ$61,MATCH(Both_Shift_Roster!AK$2,Morning_Shift!$B$2:$BJ$2,0),0),"")="",IFERROR(VLOOKUP($B8,Evening_Shift!$B$4:$BJ$62,MATCH(Both_Shift_Roster!AK$2,Evening_Shift!$B$2:$BJ$2,0),0),""),IFERROR(VLOOKUP($B8,Morning_Shift!$B$4:$BJ$61,MATCH(Both_Shift_Roster!AK$2,Morning_Shift!$B$2:$BJ$2,0),0),""))</f>
        <v>Agent Choice WO</v>
      </c>
      <c r="AL8" s="2">
        <f t="shared" si="25"/>
        <v>1</v>
      </c>
      <c r="AM8" s="2">
        <f t="shared" si="26"/>
        <v>0</v>
      </c>
      <c r="AN8" s="2">
        <f t="shared" si="27"/>
        <v>0</v>
      </c>
      <c r="AO8" s="2">
        <f t="shared" si="28"/>
        <v>0</v>
      </c>
      <c r="AP8" s="2">
        <f t="shared" si="29"/>
        <v>0</v>
      </c>
      <c r="AQ8" s="2" t="str">
        <f>IF(IFERROR(VLOOKUP($B8,Morning_Shift!$B$4:$BJ$61,MATCH(Both_Shift_Roster!AQ$2,Morning_Shift!$B$2:$BJ$2,0),0),"")="",IFERROR(VLOOKUP($B8,Evening_Shift!$B$4:$BJ$62,MATCH(Both_Shift_Roster!AQ$2,Evening_Shift!$B$2:$BJ$2,0),0),""),IFERROR(VLOOKUP($B8,Morning_Shift!$B$4:$BJ$61,MATCH(Both_Shift_Roster!AQ$2,Morning_Shift!$B$2:$BJ$2,0),0),""))</f>
        <v>7:00-14:30</v>
      </c>
      <c r="AR8" s="2" t="str">
        <f>IF(IFERROR(VLOOKUP($B8,Morning_Shift!$B$4:$BJ$61,MATCH(Both_Shift_Roster!AR$2,Morning_Shift!$B$2:$BJ$2,0),0),"")="",IFERROR(VLOOKUP($B8,Evening_Shift!$B$4:$BJ$62,MATCH(Both_Shift_Roster!AR$2,Evening_Shift!$B$2:$BJ$2,0),0),""),IFERROR(VLOOKUP($B8,Morning_Shift!$B$4:$BJ$61,MATCH(Both_Shift_Roster!AR$2,Morning_Shift!$B$2:$BJ$2,0),0),""))</f>
        <v>7:00-14:30</v>
      </c>
      <c r="AS8" s="2" t="str">
        <f>IF(IFERROR(VLOOKUP($B8,Morning_Shift!$B$4:$BJ$61,MATCH(Both_Shift_Roster!AS$2,Morning_Shift!$B$2:$BJ$2,0),0),"")="",IFERROR(VLOOKUP($B8,Evening_Shift!$B$4:$BJ$62,MATCH(Both_Shift_Roster!AS$2,Evening_Shift!$B$2:$BJ$2,0),0),""),IFERROR(VLOOKUP($B8,Morning_Shift!$B$4:$BJ$61,MATCH(Both_Shift_Roster!AS$2,Morning_Shift!$B$2:$BJ$2,0),0),""))</f>
        <v>7:00-14:30</v>
      </c>
      <c r="AT8" s="2" t="str">
        <f>IF(IFERROR(VLOOKUP($B8,Morning_Shift!$B$4:$BJ$61,MATCH(Both_Shift_Roster!AT$2,Morning_Shift!$B$2:$BJ$2,0),0),"")="",IFERROR(VLOOKUP($B8,Evening_Shift!$B$4:$BJ$62,MATCH(Both_Shift_Roster!AT$2,Evening_Shift!$B$2:$BJ$2,0),0),""),IFERROR(VLOOKUP($B8,Morning_Shift!$B$4:$BJ$61,MATCH(Both_Shift_Roster!AT$2,Morning_Shift!$B$2:$BJ$2,0),0),""))</f>
        <v>7:00-14:30</v>
      </c>
      <c r="AU8" s="2" t="str">
        <f>IF(IFERROR(VLOOKUP($B8,Morning_Shift!$B$4:$BJ$61,MATCH(Both_Shift_Roster!AU$2,Morning_Shift!$B$2:$BJ$2,0),0),"")="",IFERROR(VLOOKUP($B8,Evening_Shift!$B$4:$BJ$62,MATCH(Both_Shift_Roster!AU$2,Evening_Shift!$B$2:$BJ$2,0),0),""),IFERROR(VLOOKUP($B8,Morning_Shift!$B$4:$BJ$61,MATCH(Both_Shift_Roster!AU$2,Morning_Shift!$B$2:$BJ$2,0),0),""))</f>
        <v>7:00-14:30</v>
      </c>
      <c r="AV8" s="2" t="str">
        <f>IF(IFERROR(VLOOKUP($B8,Morning_Shift!$B$4:$BJ$61,MATCH(Both_Shift_Roster!AV$2,Morning_Shift!$B$2:$BJ$2,0),0),"")="",IFERROR(VLOOKUP($B8,Evening_Shift!$B$4:$BJ$62,MATCH(Both_Shift_Roster!AV$2,Evening_Shift!$B$2:$BJ$2,0),0),""),IFERROR(VLOOKUP($B8,Morning_Shift!$B$4:$BJ$61,MATCH(Both_Shift_Roster!AV$2,Morning_Shift!$B$2:$BJ$2,0),0),""))</f>
        <v>7:00-14:30</v>
      </c>
      <c r="AW8" s="2" t="str">
        <f>IF(IFERROR(VLOOKUP($B8,Morning_Shift!$B$4:$BJ$61,MATCH(Both_Shift_Roster!AW$2,Morning_Shift!$B$2:$BJ$2,0),0),"")="",IFERROR(VLOOKUP($B8,Evening_Shift!$B$4:$BJ$62,MATCH(Both_Shift_Roster!AW$2,Evening_Shift!$B$2:$BJ$2,0),0),""),IFERROR(VLOOKUP($B8,Morning_Shift!$B$4:$BJ$61,MATCH(Both_Shift_Roster!AW$2,Morning_Shift!$B$2:$BJ$2,0),0),""))</f>
        <v>7:00-14:30</v>
      </c>
      <c r="AX8" s="2">
        <f t="shared" si="30"/>
        <v>0</v>
      </c>
      <c r="AY8" s="2">
        <f t="shared" si="31"/>
        <v>0</v>
      </c>
      <c r="AZ8" s="2">
        <f t="shared" si="32"/>
        <v>0</v>
      </c>
      <c r="BA8" s="2">
        <f t="shared" si="33"/>
        <v>0</v>
      </c>
      <c r="BB8" s="2">
        <f t="shared" si="34"/>
        <v>0</v>
      </c>
      <c r="BC8" s="2" t="str">
        <f>IF(IFERROR(VLOOKUP($B8,Morning_Shift!$B$4:$BJ$61,MATCH(Both_Shift_Roster!BC$2,Morning_Shift!$B$2:$BJ$2,0),0),"")="",IFERROR(VLOOKUP($B8,Evening_Shift!$B$4:$BJ$62,MATCH(Both_Shift_Roster!BC$2,Evening_Shift!$B$2:$BJ$2,0),0),""),IFERROR(VLOOKUP($B8,Morning_Shift!$B$4:$BJ$61,MATCH(Both_Shift_Roster!BC$2,Morning_Shift!$B$2:$BJ$2,0),0),""))</f>
        <v>7:00-14:30</v>
      </c>
      <c r="BD8" s="2" t="str">
        <f>IF(IFERROR(VLOOKUP($B8,Morning_Shift!$B$4:$BJ$61,MATCH(Both_Shift_Roster!BD$2,Morning_Shift!$B$2:$BJ$2,0),0),"")="",IFERROR(VLOOKUP($B8,Evening_Shift!$B$4:$BJ$62,MATCH(Both_Shift_Roster!BD$2,Evening_Shift!$B$2:$BJ$2,0),0),""),IFERROR(VLOOKUP($B8,Morning_Shift!$B$4:$BJ$61,MATCH(Both_Shift_Roster!BD$2,Morning_Shift!$B$2:$BJ$2,0),0),""))</f>
        <v>7:00-14:30</v>
      </c>
      <c r="BE8" s="2" t="str">
        <f>IF(IFERROR(VLOOKUP($B8,Morning_Shift!$B$4:$BJ$61,MATCH(Both_Shift_Roster!BE$2,Morning_Shift!$B$2:$BJ$2,0),0),"")="",IFERROR(VLOOKUP($B8,Evening_Shift!$B$4:$BJ$59,MATCH(Both_Shift_Roster!BE$2,Evening_Shift!$B$2:$BJ$2,0),0),""),IFERROR(VLOOKUP($B8,Morning_Shift!$B$4:$BJ$61,MATCH(Both_Shift_Roster!BE$2,Morning_Shift!$B$2:$BJ$2,0),0),""))</f>
        <v>7:00-14:30</v>
      </c>
      <c r="BF8" s="2">
        <f t="shared" si="35"/>
        <v>0</v>
      </c>
      <c r="BG8" s="2">
        <f t="shared" si="36"/>
        <v>0</v>
      </c>
      <c r="BH8" s="2">
        <f t="shared" si="37"/>
        <v>0</v>
      </c>
      <c r="BI8" s="2">
        <f t="shared" si="38"/>
        <v>0</v>
      </c>
      <c r="BJ8" s="2">
        <f t="shared" si="39"/>
        <v>0</v>
      </c>
    </row>
    <row r="9" spans="1:62">
      <c r="A9" s="17">
        <f t="shared" si="40"/>
        <v>6</v>
      </c>
      <c r="B9" s="16" t="str">
        <f>Morning_Shift!$B9</f>
        <v>Dritm92</v>
      </c>
      <c r="C9" s="21" t="str">
        <f>IF(IFERROR(VLOOKUP(B9,Morning_Shift!B:C,2,0),"")="",IFERROR(VLOOKUP(B9,Evening_Shift!B:C,2,0),""),IFERROR(VLOOKUP(B9,Morning_Shift!B:C,2,0),""))</f>
        <v>Ankita</v>
      </c>
      <c r="D9" s="15" t="str">
        <f>IF(IFERROR(VLOOKUP(B9,Morning_Shift!B:D,3,0),"")="",IFERROR(VLOOKUP(B9,Evening_Shift!B:D,3,0),""),IFERROR(VLOOKUP(B9,Morning_Shift!B:D,3,0),""))</f>
        <v>Naina</v>
      </c>
      <c r="E9" s="4" t="str">
        <f>IF(IFERROR(VLOOKUP(B9,Morning_Shift!B:E,4,0),"")="",IFERROR(VLOOKUP(B9,Evening_Shift!B:E,4,0),""),IFERROR(VLOOKUP(B9,Morning_Shift!B:E,4,0),""))</f>
        <v>F</v>
      </c>
      <c r="F9" s="5" t="str">
        <f>IF(IFERROR(VLOOKUP(B9,Morning_Shift!B:F,5,0),"")="",IFERROR(VLOOKUP(B9,Evening_Shift!B:F,5,0),""),IFERROR(VLOOKUP(B9,Morning_Shift!B:F,5,0),""))</f>
        <v>Inbound</v>
      </c>
      <c r="G9" s="2" t="str">
        <f>IF(IFERROR(VLOOKUP($B9,Morning_Shift!$B$4:$BJ$61,MATCH(Both_Shift_Roster!G$2,Morning_Shift!$B$2:$BJ$2,0),0),"")="",IFERROR(VLOOKUP($B9,Evening_Shift!$B$4:$BJ$62,MATCH(Both_Shift_Roster!G$2,Evening_Shift!$B$2:$BJ$2,0),0),""),IFERROR(VLOOKUP($B9,Morning_Shift!$B$4:$BJ$61,MATCH(Both_Shift_Roster!G$2,Morning_Shift!$B$2:$BJ$2,0),0),""))</f>
        <v>7:00-14:30</v>
      </c>
      <c r="H9" s="2" t="str">
        <f>IF(IFERROR(VLOOKUP($B9,Morning_Shift!$B$4:$BJ$61,MATCH(Both_Shift_Roster!H$2,Morning_Shift!$B$2:$BJ$2,0),0),"")="",IFERROR(VLOOKUP($B9,Evening_Shift!$B$4:$BJ$62,MATCH(Both_Shift_Roster!H$2,Evening_Shift!$B$2:$BJ$2,0),0),""),IFERROR(VLOOKUP($B9,Morning_Shift!$B$4:$BJ$61,MATCH(Both_Shift_Roster!H$2,Morning_Shift!$B$2:$BJ$2,0),0),""))</f>
        <v>7:00-14:30</v>
      </c>
      <c r="I9" s="2" t="str">
        <f>IF(IFERROR(VLOOKUP($B9,Morning_Shift!$B$4:$BJ$61,MATCH(Both_Shift_Roster!I$2,Morning_Shift!$B$2:$BJ$2,0),0),"")="",IFERROR(VLOOKUP($B9,Evening_Shift!$B$4:$BJ$62,MATCH(Both_Shift_Roster!I$2,Evening_Shift!$B$2:$BJ$2,0),0),""),IFERROR(VLOOKUP($B9,Morning_Shift!$B$4:$BJ$61,MATCH(Both_Shift_Roster!I$2,Morning_Shift!$B$2:$BJ$2,0),0),""))</f>
        <v>7:00-14:30</v>
      </c>
      <c r="J9" s="2" t="str">
        <f>IF(IFERROR(VLOOKUP($B9,Morning_Shift!$B$4:$BJ$61,MATCH(Both_Shift_Roster!J$2,Morning_Shift!$B$2:$BJ$2,0),0),"")="",IFERROR(VLOOKUP($B9,Evening_Shift!$B$4:$BJ$62,MATCH(Both_Shift_Roster!J$2,Evening_Shift!$B$2:$BJ$2,0),0),""),IFERROR(VLOOKUP($B9,Morning_Shift!$B$4:$BJ$61,MATCH(Both_Shift_Roster!J$2,Morning_Shift!$B$2:$BJ$2,0),0),""))</f>
        <v>7:00-14:30</v>
      </c>
      <c r="K9" s="2" t="str">
        <f>IF(IFERROR(VLOOKUP($B9,Morning_Shift!$B$4:$BJ$61,MATCH(Both_Shift_Roster!K$2,Morning_Shift!$B$2:$BJ$2,0),0),"")="",IFERROR(VLOOKUP($B9,Evening_Shift!$B$4:$BJ$62,MATCH(Both_Shift_Roster!K$2,Evening_Shift!$B$2:$BJ$2,0),0),""),IFERROR(VLOOKUP($B9,Morning_Shift!$B$4:$BJ$61,MATCH(Both_Shift_Roster!K$2,Morning_Shift!$B$2:$BJ$2,0),0),""))</f>
        <v>7:00-14:30</v>
      </c>
      <c r="L9" s="2" t="str">
        <f>IF(IFERROR(VLOOKUP($B9,Morning_Shift!$B$4:$BJ$61,MATCH(Both_Shift_Roster!L$2,Morning_Shift!$B$2:$BJ$2,0),0),"")="",IFERROR(VLOOKUP($B9,Evening_Shift!$B$4:$BJ$62,MATCH(Both_Shift_Roster!L$2,Evening_Shift!$B$2:$BJ$2,0),0),""),IFERROR(VLOOKUP($B9,Morning_Shift!$B$4:$BJ$61,MATCH(Both_Shift_Roster!L$2,Morning_Shift!$B$2:$BJ$2,0),0),""))</f>
        <v>7:00-14:30</v>
      </c>
      <c r="M9" s="2" t="str">
        <f>IF(IFERROR(VLOOKUP($B9,Morning_Shift!$B$4:$BJ$61,MATCH(Both_Shift_Roster!M$2,Morning_Shift!$B$2:$BJ$2,0),0),"")="",IFERROR(VLOOKUP($B9,Evening_Shift!$B$4:$BJ$62,MATCH(Both_Shift_Roster!M$2,Evening_Shift!$B$2:$BJ$2,0),0),""),IFERROR(VLOOKUP($B9,Morning_Shift!$B$4:$BJ$61,MATCH(Both_Shift_Roster!M$2,Morning_Shift!$B$2:$BJ$2,0),0),""))</f>
        <v>7:00-14:30</v>
      </c>
      <c r="N9" s="2">
        <f t="shared" si="15"/>
        <v>0</v>
      </c>
      <c r="O9" s="2">
        <f t="shared" si="16"/>
        <v>0</v>
      </c>
      <c r="P9" s="2">
        <f t="shared" si="17"/>
        <v>0</v>
      </c>
      <c r="Q9" s="2">
        <f t="shared" si="18"/>
        <v>0</v>
      </c>
      <c r="R9" s="2">
        <f t="shared" si="19"/>
        <v>0</v>
      </c>
      <c r="S9" s="2" t="str">
        <f>IF(IFERROR(VLOOKUP($B9,Morning_Shift!$B$4:$BJ$61,MATCH(Both_Shift_Roster!S$2,Morning_Shift!$B$2:$BJ$2,0),0),"")="",IFERROR(VLOOKUP($B9,Evening_Shift!$B$4:$BJ$62,MATCH(Both_Shift_Roster!S$2,Evening_Shift!$B$2:$BJ$2,0),0),""),IFERROR(VLOOKUP($B9,Morning_Shift!$B$4:$BJ$61,MATCH(Both_Shift_Roster!S$2,Morning_Shift!$B$2:$BJ$2,0),0),""))</f>
        <v>7:00-14:30</v>
      </c>
      <c r="T9" s="2" t="str">
        <f>IF(IFERROR(VLOOKUP($B9,Morning_Shift!$B$4:$BJ$61,MATCH(Both_Shift_Roster!T$2,Morning_Shift!$B$2:$BJ$2,0),0),"")="",IFERROR(VLOOKUP($B9,Evening_Shift!$B$4:$BJ$62,MATCH(Both_Shift_Roster!T$2,Evening_Shift!$B$2:$BJ$2,0),0),""),IFERROR(VLOOKUP($B9,Morning_Shift!$B$4:$BJ$61,MATCH(Both_Shift_Roster!T$2,Morning_Shift!$B$2:$BJ$2,0),0),""))</f>
        <v>Agent Choice WO</v>
      </c>
      <c r="U9" s="2" t="str">
        <f>IF(IFERROR(VLOOKUP($B9,Morning_Shift!$B$4:$BJ$61,MATCH(Both_Shift_Roster!U$2,Morning_Shift!$B$2:$BJ$2,0),0),"")="",IFERROR(VLOOKUP($B9,Evening_Shift!$B$4:$BJ$62,MATCH(Both_Shift_Roster!U$2,Evening_Shift!$B$2:$BJ$2,0),0),""),IFERROR(VLOOKUP($B9,Morning_Shift!$B$4:$BJ$61,MATCH(Both_Shift_Roster!U$2,Morning_Shift!$B$2:$BJ$2,0),0),""))</f>
        <v>7:00-14:30</v>
      </c>
      <c r="V9" s="2" t="str">
        <f>IF(IFERROR(VLOOKUP($B9,Morning_Shift!$B$4:$BJ$61,MATCH(Both_Shift_Roster!V$2,Morning_Shift!$B$2:$BJ$2,0),0),"")="",IFERROR(VLOOKUP($B9,Evening_Shift!$B$4:$BJ$62,MATCH(Both_Shift_Roster!V$2,Evening_Shift!$B$2:$BJ$2,0),0),""),IFERROR(VLOOKUP($B9,Morning_Shift!$B$4:$BJ$61,MATCH(Both_Shift_Roster!V$2,Morning_Shift!$B$2:$BJ$2,0),0),""))</f>
        <v>7:00-14:30</v>
      </c>
      <c r="W9" s="2" t="str">
        <f>IF(IFERROR(VLOOKUP($B9,Morning_Shift!$B$4:$BJ$61,MATCH(Both_Shift_Roster!W$2,Morning_Shift!$B$2:$BJ$2,0),0),"")="",IFERROR(VLOOKUP($B9,Evening_Shift!$B$4:$BJ$62,MATCH(Both_Shift_Roster!W$2,Evening_Shift!$B$2:$BJ$2,0),0),""),IFERROR(VLOOKUP($B9,Morning_Shift!$B$4:$BJ$61,MATCH(Both_Shift_Roster!W$2,Morning_Shift!$B$2:$BJ$2,0),0),""))</f>
        <v>7:00-14:30</v>
      </c>
      <c r="X9" s="2" t="str">
        <f>IF(IFERROR(VLOOKUP($B9,Morning_Shift!$B$4:$BJ$61,MATCH(Both_Shift_Roster!X$2,Morning_Shift!$B$2:$BJ$2,0),0),"")="",IFERROR(VLOOKUP($B9,Evening_Shift!$B$4:$BJ$62,MATCH(Both_Shift_Roster!X$2,Evening_Shift!$B$2:$BJ$2,0),0),""),IFERROR(VLOOKUP($B9,Morning_Shift!$B$4:$BJ$61,MATCH(Both_Shift_Roster!X$2,Morning_Shift!$B$2:$BJ$2,0),0),""))</f>
        <v>7:00-14:30</v>
      </c>
      <c r="Y9" s="2" t="str">
        <f>IF(IFERROR(VLOOKUP($B9,Morning_Shift!$B$4:$BJ$61,MATCH(Both_Shift_Roster!Y$2,Morning_Shift!$B$2:$BJ$2,0),0),"")="",IFERROR(VLOOKUP($B9,Evening_Shift!$B$4:$BJ$62,MATCH(Both_Shift_Roster!Y$2,Evening_Shift!$B$2:$BJ$2,0),0),""),IFERROR(VLOOKUP($B9,Morning_Shift!$B$4:$BJ$61,MATCH(Both_Shift_Roster!Y$2,Morning_Shift!$B$2:$BJ$2,0),0),""))</f>
        <v>Agent Choice WO</v>
      </c>
      <c r="Z9" s="2">
        <f t="shared" si="20"/>
        <v>2</v>
      </c>
      <c r="AA9" s="2">
        <f t="shared" si="21"/>
        <v>0</v>
      </c>
      <c r="AB9" s="2">
        <f t="shared" si="22"/>
        <v>0</v>
      </c>
      <c r="AC9" s="2">
        <f t="shared" si="23"/>
        <v>0</v>
      </c>
      <c r="AD9" s="2">
        <f t="shared" si="24"/>
        <v>0</v>
      </c>
      <c r="AE9" s="2" t="str">
        <f>IF(IFERROR(VLOOKUP($B9,Morning_Shift!$B$4:$BJ$61,MATCH(Both_Shift_Roster!AE$2,Morning_Shift!$B$2:$BJ$2,0),0),"")="",IFERROR(VLOOKUP($B9,Evening_Shift!$B$4:$BJ$62,MATCH(Both_Shift_Roster!AE$2,Evening_Shift!$B$2:$BJ$2,0),0),""),IFERROR(VLOOKUP($B9,Morning_Shift!$B$4:$BJ$61,MATCH(Both_Shift_Roster!AE$2,Morning_Shift!$B$2:$BJ$2,0),0),""))</f>
        <v>7:00-14:30</v>
      </c>
      <c r="AF9" s="2" t="str">
        <f>IF(IFERROR(VLOOKUP($B9,Morning_Shift!$B$4:$BJ$61,MATCH(Both_Shift_Roster!AF$2,Morning_Shift!$B$2:$BJ$2,0),0),"")="",IFERROR(VLOOKUP($B9,Evening_Shift!$B$4:$BJ$62,MATCH(Both_Shift_Roster!AF$2,Evening_Shift!$B$2:$BJ$2,0),0),""),IFERROR(VLOOKUP($B9,Morning_Shift!$B$4:$BJ$61,MATCH(Both_Shift_Roster!AF$2,Morning_Shift!$B$2:$BJ$2,0),0),""))</f>
        <v>7:00-14:30</v>
      </c>
      <c r="AG9" s="2" t="str">
        <f>IF(IFERROR(VLOOKUP($B9,Morning_Shift!$B$4:$BJ$61,MATCH(Both_Shift_Roster!AG$2,Morning_Shift!$B$2:$BJ$2,0),0),"")="",IFERROR(VLOOKUP($B9,Evening_Shift!$B$4:$BJ$62,MATCH(Both_Shift_Roster!AG$2,Evening_Shift!$B$2:$BJ$2,0),0),""),IFERROR(VLOOKUP($B9,Morning_Shift!$B$4:$BJ$61,MATCH(Both_Shift_Roster!AG$2,Morning_Shift!$B$2:$BJ$2,0),0),""))</f>
        <v>7:00-14:30</v>
      </c>
      <c r="AH9" s="2" t="str">
        <f>IF(IFERROR(VLOOKUP($B9,Morning_Shift!$B$4:$BJ$61,MATCH(Both_Shift_Roster!AH$2,Morning_Shift!$B$2:$BJ$2,0),0),"")="",IFERROR(VLOOKUP($B9,Evening_Shift!$B$4:$BJ$62,MATCH(Both_Shift_Roster!AH$2,Evening_Shift!$B$2:$BJ$2,0),0),""),IFERROR(VLOOKUP($B9,Morning_Shift!$B$4:$BJ$61,MATCH(Both_Shift_Roster!AH$2,Morning_Shift!$B$2:$BJ$2,0),0),""))</f>
        <v>7:00-14:30</v>
      </c>
      <c r="AI9" s="2" t="str">
        <f>IF(IFERROR(VLOOKUP($B9,Morning_Shift!$B$4:$BJ$61,MATCH(Both_Shift_Roster!AI$2,Morning_Shift!$B$2:$BJ$2,0),0),"")="",IFERROR(VLOOKUP($B9,Evening_Shift!$B$4:$BJ$62,MATCH(Both_Shift_Roster!AI$2,Evening_Shift!$B$2:$BJ$2,0),0),""),IFERROR(VLOOKUP($B9,Morning_Shift!$B$4:$BJ$61,MATCH(Both_Shift_Roster!AI$2,Morning_Shift!$B$2:$BJ$2,0),0),""))</f>
        <v>7:00-14:30</v>
      </c>
      <c r="AJ9" s="2" t="str">
        <f>IF(IFERROR(VLOOKUP($B9,Morning_Shift!$B$4:$BJ$61,MATCH(Both_Shift_Roster!AJ$2,Morning_Shift!$B$2:$BJ$2,0),0),"")="",IFERROR(VLOOKUP($B9,Evening_Shift!$B$4:$BJ$62,MATCH(Both_Shift_Roster!AJ$2,Evening_Shift!$B$2:$BJ$2,0),0),""),IFERROR(VLOOKUP($B9,Morning_Shift!$B$4:$BJ$61,MATCH(Both_Shift_Roster!AJ$2,Morning_Shift!$B$2:$BJ$2,0),0),""))</f>
        <v>7:00-14:30</v>
      </c>
      <c r="AK9" s="2" t="str">
        <f>IF(IFERROR(VLOOKUP($B9,Morning_Shift!$B$4:$BJ$61,MATCH(Both_Shift_Roster!AK$2,Morning_Shift!$B$2:$BJ$2,0),0),"")="",IFERROR(VLOOKUP($B9,Evening_Shift!$B$4:$BJ$62,MATCH(Both_Shift_Roster!AK$2,Evening_Shift!$B$2:$BJ$2,0),0),""),IFERROR(VLOOKUP($B9,Morning_Shift!$B$4:$BJ$61,MATCH(Both_Shift_Roster!AK$2,Morning_Shift!$B$2:$BJ$2,0),0),""))</f>
        <v>7:00-14:30</v>
      </c>
      <c r="AL9" s="2">
        <f t="shared" si="25"/>
        <v>0</v>
      </c>
      <c r="AM9" s="2">
        <f t="shared" si="26"/>
        <v>0</v>
      </c>
      <c r="AN9" s="2">
        <f t="shared" si="27"/>
        <v>0</v>
      </c>
      <c r="AO9" s="2">
        <f t="shared" si="28"/>
        <v>0</v>
      </c>
      <c r="AP9" s="2">
        <f t="shared" si="29"/>
        <v>0</v>
      </c>
      <c r="AQ9" s="2" t="str">
        <f>IF(IFERROR(VLOOKUP($B9,Morning_Shift!$B$4:$BJ$61,MATCH(Both_Shift_Roster!AQ$2,Morning_Shift!$B$2:$BJ$2,0),0),"")="",IFERROR(VLOOKUP($B9,Evening_Shift!$B$4:$BJ$62,MATCH(Both_Shift_Roster!AQ$2,Evening_Shift!$B$2:$BJ$2,0),0),""),IFERROR(VLOOKUP($B9,Morning_Shift!$B$4:$BJ$61,MATCH(Both_Shift_Roster!AQ$2,Morning_Shift!$B$2:$BJ$2,0),0),""))</f>
        <v>Agent Choice WO</v>
      </c>
      <c r="AR9" s="2" t="str">
        <f>IF(IFERROR(VLOOKUP($B9,Morning_Shift!$B$4:$BJ$61,MATCH(Both_Shift_Roster!AR$2,Morning_Shift!$B$2:$BJ$2,0),0),"")="",IFERROR(VLOOKUP($B9,Evening_Shift!$B$4:$BJ$62,MATCH(Both_Shift_Roster!AR$2,Evening_Shift!$B$2:$BJ$2,0),0),""),IFERROR(VLOOKUP($B9,Morning_Shift!$B$4:$BJ$61,MATCH(Both_Shift_Roster!AR$2,Morning_Shift!$B$2:$BJ$2,0),0),""))</f>
        <v>Agent Choice WO</v>
      </c>
      <c r="AS9" s="2" t="str">
        <f>IF(IFERROR(VLOOKUP($B9,Morning_Shift!$B$4:$BJ$61,MATCH(Both_Shift_Roster!AS$2,Morning_Shift!$B$2:$BJ$2,0),0),"")="",IFERROR(VLOOKUP($B9,Evening_Shift!$B$4:$BJ$62,MATCH(Both_Shift_Roster!AS$2,Evening_Shift!$B$2:$BJ$2,0),0),""),IFERROR(VLOOKUP($B9,Morning_Shift!$B$4:$BJ$61,MATCH(Both_Shift_Roster!AS$2,Morning_Shift!$B$2:$BJ$2,0),0),""))</f>
        <v>CL</v>
      </c>
      <c r="AT9" s="2" t="str">
        <f>IF(IFERROR(VLOOKUP($B9,Morning_Shift!$B$4:$BJ$61,MATCH(Both_Shift_Roster!AT$2,Morning_Shift!$B$2:$BJ$2,0),0),"")="",IFERROR(VLOOKUP($B9,Evening_Shift!$B$4:$BJ$62,MATCH(Both_Shift_Roster!AT$2,Evening_Shift!$B$2:$BJ$2,0),0),""),IFERROR(VLOOKUP($B9,Morning_Shift!$B$4:$BJ$61,MATCH(Both_Shift_Roster!AT$2,Morning_Shift!$B$2:$BJ$2,0),0),""))</f>
        <v>7:00-14:30</v>
      </c>
      <c r="AU9" s="2" t="str">
        <f>IF(IFERROR(VLOOKUP($B9,Morning_Shift!$B$4:$BJ$61,MATCH(Both_Shift_Roster!AU$2,Morning_Shift!$B$2:$BJ$2,0),0),"")="",IFERROR(VLOOKUP($B9,Evening_Shift!$B$4:$BJ$62,MATCH(Both_Shift_Roster!AU$2,Evening_Shift!$B$2:$BJ$2,0),0),""),IFERROR(VLOOKUP($B9,Morning_Shift!$B$4:$BJ$61,MATCH(Both_Shift_Roster!AU$2,Morning_Shift!$B$2:$BJ$2,0),0),""))</f>
        <v>7:00-14:30</v>
      </c>
      <c r="AV9" s="2" t="str">
        <f>IF(IFERROR(VLOOKUP($B9,Morning_Shift!$B$4:$BJ$61,MATCH(Both_Shift_Roster!AV$2,Morning_Shift!$B$2:$BJ$2,0),0),"")="",IFERROR(VLOOKUP($B9,Evening_Shift!$B$4:$BJ$62,MATCH(Both_Shift_Roster!AV$2,Evening_Shift!$B$2:$BJ$2,0),0),""),IFERROR(VLOOKUP($B9,Morning_Shift!$B$4:$BJ$61,MATCH(Both_Shift_Roster!AV$2,Morning_Shift!$B$2:$BJ$2,0),0),""))</f>
        <v>7:00-14:30</v>
      </c>
      <c r="AW9" s="2" t="str">
        <f>IF(IFERROR(VLOOKUP($B9,Morning_Shift!$B$4:$BJ$61,MATCH(Both_Shift_Roster!AW$2,Morning_Shift!$B$2:$BJ$2,0),0),"")="",IFERROR(VLOOKUP($B9,Evening_Shift!$B$4:$BJ$62,MATCH(Both_Shift_Roster!AW$2,Evening_Shift!$B$2:$BJ$2,0),0),""),IFERROR(VLOOKUP($B9,Morning_Shift!$B$4:$BJ$61,MATCH(Both_Shift_Roster!AW$2,Morning_Shift!$B$2:$BJ$2,0),0),""))</f>
        <v>7:00-14:30</v>
      </c>
      <c r="AX9" s="2">
        <f t="shared" si="30"/>
        <v>2</v>
      </c>
      <c r="AY9" s="2">
        <f t="shared" si="31"/>
        <v>0</v>
      </c>
      <c r="AZ9" s="2">
        <f t="shared" si="32"/>
        <v>1</v>
      </c>
      <c r="BA9" s="2">
        <f t="shared" si="33"/>
        <v>0</v>
      </c>
      <c r="BB9" s="2">
        <f t="shared" si="34"/>
        <v>0</v>
      </c>
      <c r="BC9" s="2" t="str">
        <f>IF(IFERROR(VLOOKUP($B9,Morning_Shift!$B$4:$BJ$61,MATCH(Both_Shift_Roster!BC$2,Morning_Shift!$B$2:$BJ$2,0),0),"")="",IFERROR(VLOOKUP($B9,Evening_Shift!$B$4:$BJ$62,MATCH(Both_Shift_Roster!BC$2,Evening_Shift!$B$2:$BJ$2,0),0),""),IFERROR(VLOOKUP($B9,Morning_Shift!$B$4:$BJ$61,MATCH(Both_Shift_Roster!BC$2,Morning_Shift!$B$2:$BJ$2,0),0),""))</f>
        <v>7:00-14:30</v>
      </c>
      <c r="BD9" s="2" t="str">
        <f>IF(IFERROR(VLOOKUP($B9,Morning_Shift!$B$4:$BJ$61,MATCH(Both_Shift_Roster!BD$2,Morning_Shift!$B$2:$BJ$2,0),0),"")="",IFERROR(VLOOKUP($B9,Evening_Shift!$B$4:$BJ$62,MATCH(Both_Shift_Roster!BD$2,Evening_Shift!$B$2:$BJ$2,0),0),""),IFERROR(VLOOKUP($B9,Morning_Shift!$B$4:$BJ$61,MATCH(Both_Shift_Roster!BD$2,Morning_Shift!$B$2:$BJ$2,0),0),""))</f>
        <v>7:00-14:30</v>
      </c>
      <c r="BE9" s="2" t="str">
        <f>IF(IFERROR(VLOOKUP($B9,Morning_Shift!$B$4:$BJ$61,MATCH(Both_Shift_Roster!BE$2,Morning_Shift!$B$2:$BJ$2,0),0),"")="",IFERROR(VLOOKUP($B9,Evening_Shift!$B$4:$BJ$59,MATCH(Both_Shift_Roster!BE$2,Evening_Shift!$B$2:$BJ$2,0),0),""),IFERROR(VLOOKUP($B9,Morning_Shift!$B$4:$BJ$61,MATCH(Both_Shift_Roster!BE$2,Morning_Shift!$B$2:$BJ$2,0),0),""))</f>
        <v>7:00-14:30</v>
      </c>
      <c r="BF9" s="2">
        <f t="shared" si="35"/>
        <v>0</v>
      </c>
      <c r="BG9" s="2">
        <f t="shared" si="36"/>
        <v>0</v>
      </c>
      <c r="BH9" s="2">
        <f t="shared" si="37"/>
        <v>0</v>
      </c>
      <c r="BI9" s="2">
        <f t="shared" si="38"/>
        <v>0</v>
      </c>
      <c r="BJ9" s="2">
        <f t="shared" si="39"/>
        <v>0</v>
      </c>
    </row>
    <row r="10" spans="1:62">
      <c r="A10" s="17">
        <f t="shared" si="40"/>
        <v>7</v>
      </c>
      <c r="B10" s="16" t="str">
        <f>Morning_Shift!$B10</f>
        <v>Dritm84</v>
      </c>
      <c r="C10" s="21" t="str">
        <f>IF(IFERROR(VLOOKUP(B10,Morning_Shift!B:C,2,0),"")="",IFERROR(VLOOKUP(B10,Evening_Shift!B:C,2,0),""),IFERROR(VLOOKUP(B10,Morning_Shift!B:C,2,0),""))</f>
        <v>Anuja</v>
      </c>
      <c r="D10" s="15" t="str">
        <f>IF(IFERROR(VLOOKUP(B10,Morning_Shift!B:D,3,0),"")="",IFERROR(VLOOKUP(B10,Evening_Shift!B:D,3,0),""),IFERROR(VLOOKUP(B10,Morning_Shift!B:D,3,0),""))</f>
        <v>Naina</v>
      </c>
      <c r="E10" s="4" t="str">
        <f>IF(IFERROR(VLOOKUP(B10,Morning_Shift!B:E,4,0),"")="",IFERROR(VLOOKUP(B10,Evening_Shift!B:E,4,0),""),IFERROR(VLOOKUP(B10,Morning_Shift!B:E,4,0),""))</f>
        <v>F</v>
      </c>
      <c r="F10" s="5" t="str">
        <f>IF(IFERROR(VLOOKUP(B10,Morning_Shift!B:F,5,0),"")="",IFERROR(VLOOKUP(B10,Evening_Shift!B:F,5,0),""),IFERROR(VLOOKUP(B10,Morning_Shift!B:F,5,0),""))</f>
        <v>FCS</v>
      </c>
      <c r="G10" s="2" t="str">
        <f>IF(IFERROR(VLOOKUP($B10,Morning_Shift!$B$4:$BJ$61,MATCH(Both_Shift_Roster!G$2,Morning_Shift!$B$2:$BJ$2,0),0),"")="",IFERROR(VLOOKUP($B10,Evening_Shift!$B$4:$BJ$62,MATCH(Both_Shift_Roster!G$2,Evening_Shift!$B$2:$BJ$2,0),0),""),IFERROR(VLOOKUP($B10,Morning_Shift!$B$4:$BJ$61,MATCH(Both_Shift_Roster!G$2,Morning_Shift!$B$2:$BJ$2,0),0),""))</f>
        <v>10:00-17:00</v>
      </c>
      <c r="H10" s="2" t="str">
        <f>IF(IFERROR(VLOOKUP($B10,Morning_Shift!$B$4:$BJ$61,MATCH(Both_Shift_Roster!H$2,Morning_Shift!$B$2:$BJ$2,0),0),"")="",IFERROR(VLOOKUP($B10,Evening_Shift!$B$4:$BJ$62,MATCH(Both_Shift_Roster!H$2,Evening_Shift!$B$2:$BJ$2,0),0),""),IFERROR(VLOOKUP($B10,Morning_Shift!$B$4:$BJ$61,MATCH(Both_Shift_Roster!H$2,Morning_Shift!$B$2:$BJ$2,0),0),""))</f>
        <v>10:00-17:00</v>
      </c>
      <c r="I10" s="2" t="str">
        <f>IF(IFERROR(VLOOKUP($B10,Morning_Shift!$B$4:$BJ$61,MATCH(Both_Shift_Roster!I$2,Morning_Shift!$B$2:$BJ$2,0),0),"")="",IFERROR(VLOOKUP($B10,Evening_Shift!$B$4:$BJ$62,MATCH(Both_Shift_Roster!I$2,Evening_Shift!$B$2:$BJ$2,0),0),""),IFERROR(VLOOKUP($B10,Morning_Shift!$B$4:$BJ$61,MATCH(Both_Shift_Roster!I$2,Morning_Shift!$B$2:$BJ$2,0),0),""))</f>
        <v>Agent Choice WO</v>
      </c>
      <c r="J10" s="2" t="str">
        <f>IF(IFERROR(VLOOKUP($B10,Morning_Shift!$B$4:$BJ$61,MATCH(Both_Shift_Roster!J$2,Morning_Shift!$B$2:$BJ$2,0),0),"")="",IFERROR(VLOOKUP($B10,Evening_Shift!$B$4:$BJ$62,MATCH(Both_Shift_Roster!J$2,Evening_Shift!$B$2:$BJ$2,0),0),""),IFERROR(VLOOKUP($B10,Morning_Shift!$B$4:$BJ$61,MATCH(Both_Shift_Roster!J$2,Morning_Shift!$B$2:$BJ$2,0),0),""))</f>
        <v>Agent Choice WO</v>
      </c>
      <c r="K10" s="2" t="str">
        <f>IF(IFERROR(VLOOKUP($B10,Morning_Shift!$B$4:$BJ$61,MATCH(Both_Shift_Roster!K$2,Morning_Shift!$B$2:$BJ$2,0),0),"")="",IFERROR(VLOOKUP($B10,Evening_Shift!$B$4:$BJ$62,MATCH(Both_Shift_Roster!K$2,Evening_Shift!$B$2:$BJ$2,0),0),""),IFERROR(VLOOKUP($B10,Morning_Shift!$B$4:$BJ$61,MATCH(Both_Shift_Roster!K$2,Morning_Shift!$B$2:$BJ$2,0),0),""))</f>
        <v>Agent Choice WO</v>
      </c>
      <c r="L10" s="2" t="str">
        <f>IF(IFERROR(VLOOKUP($B10,Morning_Shift!$B$4:$BJ$61,MATCH(Both_Shift_Roster!L$2,Morning_Shift!$B$2:$BJ$2,0),0),"")="",IFERROR(VLOOKUP($B10,Evening_Shift!$B$4:$BJ$62,MATCH(Both_Shift_Roster!L$2,Evening_Shift!$B$2:$BJ$2,0),0),""),IFERROR(VLOOKUP($B10,Morning_Shift!$B$4:$BJ$61,MATCH(Both_Shift_Roster!L$2,Morning_Shift!$B$2:$BJ$2,0),0),""))</f>
        <v>Agent Choice WO</v>
      </c>
      <c r="M10" s="2" t="str">
        <f>IF(IFERROR(VLOOKUP($B10,Morning_Shift!$B$4:$BJ$61,MATCH(Both_Shift_Roster!M$2,Morning_Shift!$B$2:$BJ$2,0),0),"")="",IFERROR(VLOOKUP($B10,Evening_Shift!$B$4:$BJ$62,MATCH(Both_Shift_Roster!M$2,Evening_Shift!$B$2:$BJ$2,0),0),""),IFERROR(VLOOKUP($B10,Morning_Shift!$B$4:$BJ$61,MATCH(Both_Shift_Roster!M$2,Morning_Shift!$B$2:$BJ$2,0),0),""))</f>
        <v>10:00-17:00</v>
      </c>
      <c r="N10" s="2">
        <f t="shared" si="15"/>
        <v>4</v>
      </c>
      <c r="O10" s="2">
        <f t="shared" si="16"/>
        <v>0</v>
      </c>
      <c r="P10" s="2">
        <f t="shared" si="17"/>
        <v>0</v>
      </c>
      <c r="Q10" s="2">
        <f t="shared" si="18"/>
        <v>0</v>
      </c>
      <c r="R10" s="2">
        <f t="shared" si="19"/>
        <v>0</v>
      </c>
      <c r="S10" s="2" t="str">
        <f>IF(IFERROR(VLOOKUP($B10,Morning_Shift!$B$4:$BJ$61,MATCH(Both_Shift_Roster!S$2,Morning_Shift!$B$2:$BJ$2,0),0),"")="",IFERROR(VLOOKUP($B10,Evening_Shift!$B$4:$BJ$62,MATCH(Both_Shift_Roster!S$2,Evening_Shift!$B$2:$BJ$2,0),0),""),IFERROR(VLOOKUP($B10,Morning_Shift!$B$4:$BJ$61,MATCH(Both_Shift_Roster!S$2,Morning_Shift!$B$2:$BJ$2,0),0),""))</f>
        <v>10:00-17:00</v>
      </c>
      <c r="T10" s="2" t="str">
        <f>IF(IFERROR(VLOOKUP($B10,Morning_Shift!$B$4:$BJ$61,MATCH(Both_Shift_Roster!T$2,Morning_Shift!$B$2:$BJ$2,0),0),"")="",IFERROR(VLOOKUP($B10,Evening_Shift!$B$4:$BJ$62,MATCH(Both_Shift_Roster!T$2,Evening_Shift!$B$2:$BJ$2,0),0),""),IFERROR(VLOOKUP($B10,Morning_Shift!$B$4:$BJ$61,MATCH(Both_Shift_Roster!T$2,Morning_Shift!$B$2:$BJ$2,0),0),""))</f>
        <v>10:00-17:00</v>
      </c>
      <c r="U10" s="2" t="str">
        <f>IF(IFERROR(VLOOKUP($B10,Morning_Shift!$B$4:$BJ$61,MATCH(Both_Shift_Roster!U$2,Morning_Shift!$B$2:$BJ$2,0),0),"")="",IFERROR(VLOOKUP($B10,Evening_Shift!$B$4:$BJ$62,MATCH(Both_Shift_Roster!U$2,Evening_Shift!$B$2:$BJ$2,0),0),""),IFERROR(VLOOKUP($B10,Morning_Shift!$B$4:$BJ$61,MATCH(Both_Shift_Roster!U$2,Morning_Shift!$B$2:$BJ$2,0),0),""))</f>
        <v>10:00-17:00</v>
      </c>
      <c r="V10" s="2" t="str">
        <f>IF(IFERROR(VLOOKUP($B10,Morning_Shift!$B$4:$BJ$61,MATCH(Both_Shift_Roster!V$2,Morning_Shift!$B$2:$BJ$2,0),0),"")="",IFERROR(VLOOKUP($B10,Evening_Shift!$B$4:$BJ$62,MATCH(Both_Shift_Roster!V$2,Evening_Shift!$B$2:$BJ$2,0),0),""),IFERROR(VLOOKUP($B10,Morning_Shift!$B$4:$BJ$61,MATCH(Both_Shift_Roster!V$2,Morning_Shift!$B$2:$BJ$2,0),0),""))</f>
        <v>10:00-17:00</v>
      </c>
      <c r="W10" s="2" t="str">
        <f>IF(IFERROR(VLOOKUP($B10,Morning_Shift!$B$4:$BJ$61,MATCH(Both_Shift_Roster!W$2,Morning_Shift!$B$2:$BJ$2,0),0),"")="",IFERROR(VLOOKUP($B10,Evening_Shift!$B$4:$BJ$62,MATCH(Both_Shift_Roster!W$2,Evening_Shift!$B$2:$BJ$2,0),0),""),IFERROR(VLOOKUP($B10,Morning_Shift!$B$4:$BJ$61,MATCH(Both_Shift_Roster!W$2,Morning_Shift!$B$2:$BJ$2,0),0),""))</f>
        <v>10:00-17:00</v>
      </c>
      <c r="X10" s="2" t="str">
        <f>IF(IFERROR(VLOOKUP($B10,Morning_Shift!$B$4:$BJ$61,MATCH(Both_Shift_Roster!X$2,Morning_Shift!$B$2:$BJ$2,0),0),"")="",IFERROR(VLOOKUP($B10,Evening_Shift!$B$4:$BJ$62,MATCH(Both_Shift_Roster!X$2,Evening_Shift!$B$2:$BJ$2,0),0),""),IFERROR(VLOOKUP($B10,Morning_Shift!$B$4:$BJ$61,MATCH(Both_Shift_Roster!X$2,Morning_Shift!$B$2:$BJ$2,0),0),""))</f>
        <v>10:00-17:00</v>
      </c>
      <c r="Y10" s="2" t="str">
        <f>IF(IFERROR(VLOOKUP($B10,Morning_Shift!$B$4:$BJ$61,MATCH(Both_Shift_Roster!Y$2,Morning_Shift!$B$2:$BJ$2,0),0),"")="",IFERROR(VLOOKUP($B10,Evening_Shift!$B$4:$BJ$62,MATCH(Both_Shift_Roster!Y$2,Evening_Shift!$B$2:$BJ$2,0),0),""),IFERROR(VLOOKUP($B10,Morning_Shift!$B$4:$BJ$61,MATCH(Both_Shift_Roster!Y$2,Morning_Shift!$B$2:$BJ$2,0),0),""))</f>
        <v>10:00-17:00</v>
      </c>
      <c r="Z10" s="2">
        <f t="shared" si="20"/>
        <v>0</v>
      </c>
      <c r="AA10" s="2">
        <f t="shared" si="21"/>
        <v>0</v>
      </c>
      <c r="AB10" s="2">
        <f t="shared" si="22"/>
        <v>0</v>
      </c>
      <c r="AC10" s="2">
        <f t="shared" si="23"/>
        <v>0</v>
      </c>
      <c r="AD10" s="2">
        <f t="shared" si="24"/>
        <v>0</v>
      </c>
      <c r="AE10" s="2" t="str">
        <f>IF(IFERROR(VLOOKUP($B10,Morning_Shift!$B$4:$BJ$61,MATCH(Both_Shift_Roster!AE$2,Morning_Shift!$B$2:$BJ$2,0),0),"")="",IFERROR(VLOOKUP($B10,Evening_Shift!$B$4:$BJ$62,MATCH(Both_Shift_Roster!AE$2,Evening_Shift!$B$2:$BJ$2,0),0),""),IFERROR(VLOOKUP($B10,Morning_Shift!$B$4:$BJ$61,MATCH(Both_Shift_Roster!AE$2,Morning_Shift!$B$2:$BJ$2,0),0),""))</f>
        <v>10:00-17:00</v>
      </c>
      <c r="AF10" s="2" t="str">
        <f>IF(IFERROR(VLOOKUP($B10,Morning_Shift!$B$4:$BJ$61,MATCH(Both_Shift_Roster!AF$2,Morning_Shift!$B$2:$BJ$2,0),0),"")="",IFERROR(VLOOKUP($B10,Evening_Shift!$B$4:$BJ$62,MATCH(Both_Shift_Roster!AF$2,Evening_Shift!$B$2:$BJ$2,0),0),""),IFERROR(VLOOKUP($B10,Morning_Shift!$B$4:$BJ$61,MATCH(Both_Shift_Roster!AF$2,Morning_Shift!$B$2:$BJ$2,0),0),""))</f>
        <v>CL</v>
      </c>
      <c r="AG10" s="2" t="str">
        <f>IF(IFERROR(VLOOKUP($B10,Morning_Shift!$B$4:$BJ$61,MATCH(Both_Shift_Roster!AG$2,Morning_Shift!$B$2:$BJ$2,0),0),"")="",IFERROR(VLOOKUP($B10,Evening_Shift!$B$4:$BJ$62,MATCH(Both_Shift_Roster!AG$2,Evening_Shift!$B$2:$BJ$2,0),0),""),IFERROR(VLOOKUP($B10,Morning_Shift!$B$4:$BJ$61,MATCH(Both_Shift_Roster!AG$2,Morning_Shift!$B$2:$BJ$2,0),0),""))</f>
        <v>CL</v>
      </c>
      <c r="AH10" s="2" t="str">
        <f>IF(IFERROR(VLOOKUP($B10,Morning_Shift!$B$4:$BJ$61,MATCH(Both_Shift_Roster!AH$2,Morning_Shift!$B$2:$BJ$2,0),0),"")="",IFERROR(VLOOKUP($B10,Evening_Shift!$B$4:$BJ$62,MATCH(Both_Shift_Roster!AH$2,Evening_Shift!$B$2:$BJ$2,0),0),""),IFERROR(VLOOKUP($B10,Morning_Shift!$B$4:$BJ$61,MATCH(Both_Shift_Roster!AH$2,Morning_Shift!$B$2:$BJ$2,0),0),""))</f>
        <v>10:00-17:00</v>
      </c>
      <c r="AI10" s="2" t="str">
        <f>IF(IFERROR(VLOOKUP($B10,Morning_Shift!$B$4:$BJ$61,MATCH(Both_Shift_Roster!AI$2,Morning_Shift!$B$2:$BJ$2,0),0),"")="",IFERROR(VLOOKUP($B10,Evening_Shift!$B$4:$BJ$62,MATCH(Both_Shift_Roster!AI$2,Evening_Shift!$B$2:$BJ$2,0),0),""),IFERROR(VLOOKUP($B10,Morning_Shift!$B$4:$BJ$61,MATCH(Both_Shift_Roster!AI$2,Morning_Shift!$B$2:$BJ$2,0),0),""))</f>
        <v>10:00-17:00</v>
      </c>
      <c r="AJ10" s="2" t="str">
        <f>IF(IFERROR(VLOOKUP($B10,Morning_Shift!$B$4:$BJ$61,MATCH(Both_Shift_Roster!AJ$2,Morning_Shift!$B$2:$BJ$2,0),0),"")="",IFERROR(VLOOKUP($B10,Evening_Shift!$B$4:$BJ$62,MATCH(Both_Shift_Roster!AJ$2,Evening_Shift!$B$2:$BJ$2,0),0),""),IFERROR(VLOOKUP($B10,Morning_Shift!$B$4:$BJ$61,MATCH(Both_Shift_Roster!AJ$2,Morning_Shift!$B$2:$BJ$2,0),0),""))</f>
        <v>10:00-17:00</v>
      </c>
      <c r="AK10" s="2" t="str">
        <f>IF(IFERROR(VLOOKUP($B10,Morning_Shift!$B$4:$BJ$61,MATCH(Both_Shift_Roster!AK$2,Morning_Shift!$B$2:$BJ$2,0),0),"")="",IFERROR(VLOOKUP($B10,Evening_Shift!$B$4:$BJ$62,MATCH(Both_Shift_Roster!AK$2,Evening_Shift!$B$2:$BJ$2,0),0),""),IFERROR(VLOOKUP($B10,Morning_Shift!$B$4:$BJ$61,MATCH(Both_Shift_Roster!AK$2,Morning_Shift!$B$2:$BJ$2,0),0),""))</f>
        <v>10:00-17:00</v>
      </c>
      <c r="AL10" s="2">
        <f t="shared" si="25"/>
        <v>0</v>
      </c>
      <c r="AM10" s="2">
        <f t="shared" si="26"/>
        <v>0</v>
      </c>
      <c r="AN10" s="2">
        <f t="shared" si="27"/>
        <v>2</v>
      </c>
      <c r="AO10" s="2">
        <f t="shared" si="28"/>
        <v>0</v>
      </c>
      <c r="AP10" s="2">
        <f t="shared" si="29"/>
        <v>0</v>
      </c>
      <c r="AQ10" s="2" t="str">
        <f>IF(IFERROR(VLOOKUP($B10,Morning_Shift!$B$4:$BJ$61,MATCH(Both_Shift_Roster!AQ$2,Morning_Shift!$B$2:$BJ$2,0),0),"")="",IFERROR(VLOOKUP($B10,Evening_Shift!$B$4:$BJ$62,MATCH(Both_Shift_Roster!AQ$2,Evening_Shift!$B$2:$BJ$2,0),0),""),IFERROR(VLOOKUP($B10,Morning_Shift!$B$4:$BJ$61,MATCH(Both_Shift_Roster!AQ$2,Morning_Shift!$B$2:$BJ$2,0),0),""))</f>
        <v>10:00-17:00</v>
      </c>
      <c r="AR10" s="2" t="str">
        <f>IF(IFERROR(VLOOKUP($B10,Morning_Shift!$B$4:$BJ$61,MATCH(Both_Shift_Roster!AR$2,Morning_Shift!$B$2:$BJ$2,0),0),"")="",IFERROR(VLOOKUP($B10,Evening_Shift!$B$4:$BJ$62,MATCH(Both_Shift_Roster!AR$2,Evening_Shift!$B$2:$BJ$2,0),0),""),IFERROR(VLOOKUP($B10,Morning_Shift!$B$4:$BJ$61,MATCH(Both_Shift_Roster!AR$2,Morning_Shift!$B$2:$BJ$2,0),0),""))</f>
        <v>10:00-17:00</v>
      </c>
      <c r="AS10" s="2" t="str">
        <f>IF(IFERROR(VLOOKUP($B10,Morning_Shift!$B$4:$BJ$61,MATCH(Both_Shift_Roster!AS$2,Morning_Shift!$B$2:$BJ$2,0),0),"")="",IFERROR(VLOOKUP($B10,Evening_Shift!$B$4:$BJ$62,MATCH(Both_Shift_Roster!AS$2,Evening_Shift!$B$2:$BJ$2,0),0),""),IFERROR(VLOOKUP($B10,Morning_Shift!$B$4:$BJ$61,MATCH(Both_Shift_Roster!AS$2,Morning_Shift!$B$2:$BJ$2,0),0),""))</f>
        <v>10:00-17:00</v>
      </c>
      <c r="AT10" s="2" t="str">
        <f>IF(IFERROR(VLOOKUP($B10,Morning_Shift!$B$4:$BJ$61,MATCH(Both_Shift_Roster!AT$2,Morning_Shift!$B$2:$BJ$2,0),0),"")="",IFERROR(VLOOKUP($B10,Evening_Shift!$B$4:$BJ$62,MATCH(Both_Shift_Roster!AT$2,Evening_Shift!$B$2:$BJ$2,0),0),""),IFERROR(VLOOKUP($B10,Morning_Shift!$B$4:$BJ$61,MATCH(Both_Shift_Roster!AT$2,Morning_Shift!$B$2:$BJ$2,0),0),""))</f>
        <v>10:00-17:00</v>
      </c>
      <c r="AU10" s="2" t="str">
        <f>IF(IFERROR(VLOOKUP($B10,Morning_Shift!$B$4:$BJ$61,MATCH(Both_Shift_Roster!AU$2,Morning_Shift!$B$2:$BJ$2,0),0),"")="",IFERROR(VLOOKUP($B10,Evening_Shift!$B$4:$BJ$62,MATCH(Both_Shift_Roster!AU$2,Evening_Shift!$B$2:$BJ$2,0),0),""),IFERROR(VLOOKUP($B10,Morning_Shift!$B$4:$BJ$61,MATCH(Both_Shift_Roster!AU$2,Morning_Shift!$B$2:$BJ$2,0),0),""))</f>
        <v>10:00-17:00</v>
      </c>
      <c r="AV10" s="2" t="str">
        <f>IF(IFERROR(VLOOKUP($B10,Morning_Shift!$B$4:$BJ$61,MATCH(Both_Shift_Roster!AV$2,Morning_Shift!$B$2:$BJ$2,0),0),"")="",IFERROR(VLOOKUP($B10,Evening_Shift!$B$4:$BJ$62,MATCH(Both_Shift_Roster!AV$2,Evening_Shift!$B$2:$BJ$2,0),0),""),IFERROR(VLOOKUP($B10,Morning_Shift!$B$4:$BJ$61,MATCH(Both_Shift_Roster!AV$2,Morning_Shift!$B$2:$BJ$2,0),0),""))</f>
        <v>10:00-17:00</v>
      </c>
      <c r="AW10" s="2" t="str">
        <f>IF(IFERROR(VLOOKUP($B10,Morning_Shift!$B$4:$BJ$61,MATCH(Both_Shift_Roster!AW$2,Morning_Shift!$B$2:$BJ$2,0),0),"")="",IFERROR(VLOOKUP($B10,Evening_Shift!$B$4:$BJ$62,MATCH(Both_Shift_Roster!AW$2,Evening_Shift!$B$2:$BJ$2,0),0),""),IFERROR(VLOOKUP($B10,Morning_Shift!$B$4:$BJ$61,MATCH(Both_Shift_Roster!AW$2,Morning_Shift!$B$2:$BJ$2,0),0),""))</f>
        <v>10:00-17:00</v>
      </c>
      <c r="AX10" s="2">
        <f t="shared" si="30"/>
        <v>0</v>
      </c>
      <c r="AY10" s="2">
        <f t="shared" si="31"/>
        <v>0</v>
      </c>
      <c r="AZ10" s="2">
        <f t="shared" si="32"/>
        <v>0</v>
      </c>
      <c r="BA10" s="2">
        <f t="shared" si="33"/>
        <v>0</v>
      </c>
      <c r="BB10" s="2">
        <f t="shared" si="34"/>
        <v>0</v>
      </c>
      <c r="BC10" s="2" t="str">
        <f>IF(IFERROR(VLOOKUP($B10,Morning_Shift!$B$4:$BJ$61,MATCH(Both_Shift_Roster!BC$2,Morning_Shift!$B$2:$BJ$2,0),0),"")="",IFERROR(VLOOKUP($B10,Evening_Shift!$B$4:$BJ$62,MATCH(Both_Shift_Roster!BC$2,Evening_Shift!$B$2:$BJ$2,0),0),""),IFERROR(VLOOKUP($B10,Morning_Shift!$B$4:$BJ$61,MATCH(Both_Shift_Roster!BC$2,Morning_Shift!$B$2:$BJ$2,0),0),""))</f>
        <v>10:00-17:00</v>
      </c>
      <c r="BD10" s="2" t="str">
        <f>IF(IFERROR(VLOOKUP($B10,Morning_Shift!$B$4:$BJ$61,MATCH(Both_Shift_Roster!BD$2,Morning_Shift!$B$2:$BJ$2,0),0),"")="",IFERROR(VLOOKUP($B10,Evening_Shift!$B$4:$BJ$62,MATCH(Both_Shift_Roster!BD$2,Evening_Shift!$B$2:$BJ$2,0),0),""),IFERROR(VLOOKUP($B10,Morning_Shift!$B$4:$BJ$61,MATCH(Both_Shift_Roster!BD$2,Morning_Shift!$B$2:$BJ$2,0),0),""))</f>
        <v>10:00-17:00</v>
      </c>
      <c r="BE10" s="2" t="str">
        <f>IF(IFERROR(VLOOKUP($B10,Morning_Shift!$B$4:$BJ$61,MATCH(Both_Shift_Roster!BE$2,Morning_Shift!$B$2:$BJ$2,0),0),"")="",IFERROR(VLOOKUP($B10,Evening_Shift!$B$4:$BJ$59,MATCH(Both_Shift_Roster!BE$2,Evening_Shift!$B$2:$BJ$2,0),0),""),IFERROR(VLOOKUP($B10,Morning_Shift!$B$4:$BJ$61,MATCH(Both_Shift_Roster!BE$2,Morning_Shift!$B$2:$BJ$2,0),0),""))</f>
        <v>10:00-17:00</v>
      </c>
      <c r="BF10" s="2">
        <f t="shared" si="35"/>
        <v>0</v>
      </c>
      <c r="BG10" s="2">
        <f t="shared" si="36"/>
        <v>0</v>
      </c>
      <c r="BH10" s="2">
        <f t="shared" si="37"/>
        <v>0</v>
      </c>
      <c r="BI10" s="2">
        <f t="shared" si="38"/>
        <v>0</v>
      </c>
      <c r="BJ10" s="2">
        <f t="shared" si="39"/>
        <v>0</v>
      </c>
    </row>
    <row r="11" spans="1:62">
      <c r="A11" s="17">
        <f t="shared" si="40"/>
        <v>8</v>
      </c>
      <c r="B11" s="16" t="str">
        <f>Morning_Shift!$B11</f>
        <v>Dritm17</v>
      </c>
      <c r="C11" s="21" t="str">
        <f>IF(IFERROR(VLOOKUP(B11,Morning_Shift!B:C,2,0),"")="",IFERROR(VLOOKUP(B11,Evening_Shift!B:C,2,0),""),IFERROR(VLOOKUP(B11,Morning_Shift!B:C,2,0),""))</f>
        <v>Asha Pawar</v>
      </c>
      <c r="D11" s="15" t="str">
        <f>IF(IFERROR(VLOOKUP(B11,Morning_Shift!B:D,3,0),"")="",IFERROR(VLOOKUP(B11,Evening_Shift!B:D,3,0),""),IFERROR(VLOOKUP(B11,Morning_Shift!B:D,3,0),""))</f>
        <v>Naina</v>
      </c>
      <c r="E11" s="4" t="str">
        <f>IF(IFERROR(VLOOKUP(B11,Morning_Shift!B:E,4,0),"")="",IFERROR(VLOOKUP(B11,Evening_Shift!B:E,4,0),""),IFERROR(VLOOKUP(B11,Morning_Shift!B:E,4,0),""))</f>
        <v>F</v>
      </c>
      <c r="F11" s="5" t="str">
        <f>IF(IFERROR(VLOOKUP(B11,Morning_Shift!B:F,5,0),"")="",IFERROR(VLOOKUP(B11,Evening_Shift!B:F,5,0),""),IFERROR(VLOOKUP(B11,Morning_Shift!B:F,5,0),""))</f>
        <v>Inbound</v>
      </c>
      <c r="G11" s="2" t="str">
        <f>IF(IFERROR(VLOOKUP($B11,Morning_Shift!$B$4:$BJ$61,MATCH(Both_Shift_Roster!G$2,Morning_Shift!$B$2:$BJ$2,0),0),"")="",IFERROR(VLOOKUP($B11,Evening_Shift!$B$4:$BJ$62,MATCH(Both_Shift_Roster!G$2,Evening_Shift!$B$2:$BJ$2,0),0),""),IFERROR(VLOOKUP($B11,Morning_Shift!$B$4:$BJ$61,MATCH(Both_Shift_Roster!G$2,Morning_Shift!$B$2:$BJ$2,0),0),""))</f>
        <v>7:00-14:30</v>
      </c>
      <c r="H11" s="2" t="str">
        <f>IF(IFERROR(VLOOKUP($B11,Morning_Shift!$B$4:$BJ$61,MATCH(Both_Shift_Roster!H$2,Morning_Shift!$B$2:$BJ$2,0),0),"")="",IFERROR(VLOOKUP($B11,Evening_Shift!$B$4:$BJ$62,MATCH(Both_Shift_Roster!H$2,Evening_Shift!$B$2:$BJ$2,0),0),""),IFERROR(VLOOKUP($B11,Morning_Shift!$B$4:$BJ$61,MATCH(Both_Shift_Roster!H$2,Morning_Shift!$B$2:$BJ$2,0),0),""))</f>
        <v>7:00-14:30</v>
      </c>
      <c r="I11" s="2" t="str">
        <f>IF(IFERROR(VLOOKUP($B11,Morning_Shift!$B$4:$BJ$61,MATCH(Both_Shift_Roster!I$2,Morning_Shift!$B$2:$BJ$2,0),0),"")="",IFERROR(VLOOKUP($B11,Evening_Shift!$B$4:$BJ$62,MATCH(Both_Shift_Roster!I$2,Evening_Shift!$B$2:$BJ$2,0),0),""),IFERROR(VLOOKUP($B11,Morning_Shift!$B$4:$BJ$61,MATCH(Both_Shift_Roster!I$2,Morning_Shift!$B$2:$BJ$2,0),0),""))</f>
        <v>7:00-14:30</v>
      </c>
      <c r="J11" s="2" t="str">
        <f>IF(IFERROR(VLOOKUP($B11,Morning_Shift!$B$4:$BJ$61,MATCH(Both_Shift_Roster!J$2,Morning_Shift!$B$2:$BJ$2,0),0),"")="",IFERROR(VLOOKUP($B11,Evening_Shift!$B$4:$BJ$62,MATCH(Both_Shift_Roster!J$2,Evening_Shift!$B$2:$BJ$2,0),0),""),IFERROR(VLOOKUP($B11,Morning_Shift!$B$4:$BJ$61,MATCH(Both_Shift_Roster!J$2,Morning_Shift!$B$2:$BJ$2,0),0),""))</f>
        <v>7:00-14:30</v>
      </c>
      <c r="K11" s="2" t="str">
        <f>IF(IFERROR(VLOOKUP($B11,Morning_Shift!$B$4:$BJ$61,MATCH(Both_Shift_Roster!K$2,Morning_Shift!$B$2:$BJ$2,0),0),"")="",IFERROR(VLOOKUP($B11,Evening_Shift!$B$4:$BJ$62,MATCH(Both_Shift_Roster!K$2,Evening_Shift!$B$2:$BJ$2,0),0),""),IFERROR(VLOOKUP($B11,Morning_Shift!$B$4:$BJ$61,MATCH(Both_Shift_Roster!K$2,Morning_Shift!$B$2:$BJ$2,0),0),""))</f>
        <v>7:00-14:30</v>
      </c>
      <c r="L11" s="2" t="str">
        <f>IF(IFERROR(VLOOKUP($B11,Morning_Shift!$B$4:$BJ$61,MATCH(Both_Shift_Roster!L$2,Morning_Shift!$B$2:$BJ$2,0),0),"")="",IFERROR(VLOOKUP($B11,Evening_Shift!$B$4:$BJ$62,MATCH(Both_Shift_Roster!L$2,Evening_Shift!$B$2:$BJ$2,0),0),""),IFERROR(VLOOKUP($B11,Morning_Shift!$B$4:$BJ$61,MATCH(Both_Shift_Roster!L$2,Morning_Shift!$B$2:$BJ$2,0),0),""))</f>
        <v>7:00-14:30</v>
      </c>
      <c r="M11" s="2" t="str">
        <f>IF(IFERROR(VLOOKUP($B11,Morning_Shift!$B$4:$BJ$61,MATCH(Both_Shift_Roster!M$2,Morning_Shift!$B$2:$BJ$2,0),0),"")="",IFERROR(VLOOKUP($B11,Evening_Shift!$B$4:$BJ$62,MATCH(Both_Shift_Roster!M$2,Evening_Shift!$B$2:$BJ$2,0),0),""),IFERROR(VLOOKUP($B11,Morning_Shift!$B$4:$BJ$61,MATCH(Both_Shift_Roster!M$2,Morning_Shift!$B$2:$BJ$2,0),0),""))</f>
        <v>7:00-14:30</v>
      </c>
      <c r="N11" s="2">
        <f t="shared" si="15"/>
        <v>0</v>
      </c>
      <c r="O11" s="2">
        <f t="shared" si="16"/>
        <v>0</v>
      </c>
      <c r="P11" s="2">
        <f t="shared" si="17"/>
        <v>0</v>
      </c>
      <c r="Q11" s="2">
        <f t="shared" si="18"/>
        <v>0</v>
      </c>
      <c r="R11" s="2">
        <f t="shared" si="19"/>
        <v>0</v>
      </c>
      <c r="S11" s="2" t="str">
        <f>IF(IFERROR(VLOOKUP($B11,Morning_Shift!$B$4:$BJ$61,MATCH(Both_Shift_Roster!S$2,Morning_Shift!$B$2:$BJ$2,0),0),"")="",IFERROR(VLOOKUP($B11,Evening_Shift!$B$4:$BJ$62,MATCH(Both_Shift_Roster!S$2,Evening_Shift!$B$2:$BJ$2,0),0),""),IFERROR(VLOOKUP($B11,Morning_Shift!$B$4:$BJ$61,MATCH(Both_Shift_Roster!S$2,Morning_Shift!$B$2:$BJ$2,0),0),""))</f>
        <v>7:00-14:30</v>
      </c>
      <c r="T11" s="2" t="str">
        <f>IF(IFERROR(VLOOKUP($B11,Morning_Shift!$B$4:$BJ$61,MATCH(Both_Shift_Roster!T$2,Morning_Shift!$B$2:$BJ$2,0),0),"")="",IFERROR(VLOOKUP($B11,Evening_Shift!$B$4:$BJ$62,MATCH(Both_Shift_Roster!T$2,Evening_Shift!$B$2:$BJ$2,0),0),""),IFERROR(VLOOKUP($B11,Morning_Shift!$B$4:$BJ$61,MATCH(Both_Shift_Roster!T$2,Morning_Shift!$B$2:$BJ$2,0),0),""))</f>
        <v>7:00-14:30</v>
      </c>
      <c r="U11" s="2" t="str">
        <f>IF(IFERROR(VLOOKUP($B11,Morning_Shift!$B$4:$BJ$61,MATCH(Both_Shift_Roster!U$2,Morning_Shift!$B$2:$BJ$2,0),0),"")="",IFERROR(VLOOKUP($B11,Evening_Shift!$B$4:$BJ$62,MATCH(Both_Shift_Roster!U$2,Evening_Shift!$B$2:$BJ$2,0),0),""),IFERROR(VLOOKUP($B11,Morning_Shift!$B$4:$BJ$61,MATCH(Both_Shift_Roster!U$2,Morning_Shift!$B$2:$BJ$2,0),0),""))</f>
        <v>7:00-14:30</v>
      </c>
      <c r="V11" s="2" t="str">
        <f>IF(IFERROR(VLOOKUP($B11,Morning_Shift!$B$4:$BJ$61,MATCH(Both_Shift_Roster!V$2,Morning_Shift!$B$2:$BJ$2,0),0),"")="",IFERROR(VLOOKUP($B11,Evening_Shift!$B$4:$BJ$62,MATCH(Both_Shift_Roster!V$2,Evening_Shift!$B$2:$BJ$2,0),0),""),IFERROR(VLOOKUP($B11,Morning_Shift!$B$4:$BJ$61,MATCH(Both_Shift_Roster!V$2,Morning_Shift!$B$2:$BJ$2,0),0),""))</f>
        <v>7:00-14:30</v>
      </c>
      <c r="W11" s="2" t="str">
        <f>IF(IFERROR(VLOOKUP($B11,Morning_Shift!$B$4:$BJ$61,MATCH(Both_Shift_Roster!W$2,Morning_Shift!$B$2:$BJ$2,0),0),"")="",IFERROR(VLOOKUP($B11,Evening_Shift!$B$4:$BJ$62,MATCH(Both_Shift_Roster!W$2,Evening_Shift!$B$2:$BJ$2,0),0),""),IFERROR(VLOOKUP($B11,Morning_Shift!$B$4:$BJ$61,MATCH(Both_Shift_Roster!W$2,Morning_Shift!$B$2:$BJ$2,0),0),""))</f>
        <v>7:00-14:30</v>
      </c>
      <c r="X11" s="2" t="str">
        <f>IF(IFERROR(VLOOKUP($B11,Morning_Shift!$B$4:$BJ$61,MATCH(Both_Shift_Roster!X$2,Morning_Shift!$B$2:$BJ$2,0),0),"")="",IFERROR(VLOOKUP($B11,Evening_Shift!$B$4:$BJ$62,MATCH(Both_Shift_Roster!X$2,Evening_Shift!$B$2:$BJ$2,0),0),""),IFERROR(VLOOKUP($B11,Morning_Shift!$B$4:$BJ$61,MATCH(Both_Shift_Roster!X$2,Morning_Shift!$B$2:$BJ$2,0),0),""))</f>
        <v>7:00-14:30</v>
      </c>
      <c r="Y11" s="2" t="str">
        <f>IF(IFERROR(VLOOKUP($B11,Morning_Shift!$B$4:$BJ$61,MATCH(Both_Shift_Roster!Y$2,Morning_Shift!$B$2:$BJ$2,0),0),"")="",IFERROR(VLOOKUP($B11,Evening_Shift!$B$4:$BJ$62,MATCH(Both_Shift_Roster!Y$2,Evening_Shift!$B$2:$BJ$2,0),0),""),IFERROR(VLOOKUP($B11,Morning_Shift!$B$4:$BJ$61,MATCH(Both_Shift_Roster!Y$2,Morning_Shift!$B$2:$BJ$2,0),0),""))</f>
        <v>7:00-14:30</v>
      </c>
      <c r="Z11" s="2">
        <f t="shared" si="20"/>
        <v>0</v>
      </c>
      <c r="AA11" s="2">
        <f t="shared" si="21"/>
        <v>0</v>
      </c>
      <c r="AB11" s="2">
        <f t="shared" si="22"/>
        <v>0</v>
      </c>
      <c r="AC11" s="2">
        <f t="shared" si="23"/>
        <v>0</v>
      </c>
      <c r="AD11" s="2">
        <f t="shared" si="24"/>
        <v>0</v>
      </c>
      <c r="AE11" s="2" t="str">
        <f>IF(IFERROR(VLOOKUP($B11,Morning_Shift!$B$4:$BJ$61,MATCH(Both_Shift_Roster!AE$2,Morning_Shift!$B$2:$BJ$2,0),0),"")="",IFERROR(VLOOKUP($B11,Evening_Shift!$B$4:$BJ$62,MATCH(Both_Shift_Roster!AE$2,Evening_Shift!$B$2:$BJ$2,0),0),""),IFERROR(VLOOKUP($B11,Morning_Shift!$B$4:$BJ$61,MATCH(Both_Shift_Roster!AE$2,Morning_Shift!$B$2:$BJ$2,0),0),""))</f>
        <v>7:00-14:30</v>
      </c>
      <c r="AF11" s="2" t="str">
        <f>IF(IFERROR(VLOOKUP($B11,Morning_Shift!$B$4:$BJ$61,MATCH(Both_Shift_Roster!AF$2,Morning_Shift!$B$2:$BJ$2,0),0),"")="",IFERROR(VLOOKUP($B11,Evening_Shift!$B$4:$BJ$62,MATCH(Both_Shift_Roster!AF$2,Evening_Shift!$B$2:$BJ$2,0),0),""),IFERROR(VLOOKUP($B11,Morning_Shift!$B$4:$BJ$61,MATCH(Both_Shift_Roster!AF$2,Morning_Shift!$B$2:$BJ$2,0),0),""))</f>
        <v>7:00-14:30</v>
      </c>
      <c r="AG11" s="2" t="str">
        <f>IF(IFERROR(VLOOKUP($B11,Morning_Shift!$B$4:$BJ$61,MATCH(Both_Shift_Roster!AG$2,Morning_Shift!$B$2:$BJ$2,0),0),"")="",IFERROR(VLOOKUP($B11,Evening_Shift!$B$4:$BJ$62,MATCH(Both_Shift_Roster!AG$2,Evening_Shift!$B$2:$BJ$2,0),0),""),IFERROR(VLOOKUP($B11,Morning_Shift!$B$4:$BJ$61,MATCH(Both_Shift_Roster!AG$2,Morning_Shift!$B$2:$BJ$2,0),0),""))</f>
        <v>7:00-14:30</v>
      </c>
      <c r="AH11" s="2" t="str">
        <f>IF(IFERROR(VLOOKUP($B11,Morning_Shift!$B$4:$BJ$61,MATCH(Both_Shift_Roster!AH$2,Morning_Shift!$B$2:$BJ$2,0),0),"")="",IFERROR(VLOOKUP($B11,Evening_Shift!$B$4:$BJ$62,MATCH(Both_Shift_Roster!AH$2,Evening_Shift!$B$2:$BJ$2,0),0),""),IFERROR(VLOOKUP($B11,Morning_Shift!$B$4:$BJ$61,MATCH(Both_Shift_Roster!AH$2,Morning_Shift!$B$2:$BJ$2,0),0),""))</f>
        <v>7:00-14:30</v>
      </c>
      <c r="AI11" s="2" t="str">
        <f>IF(IFERROR(VLOOKUP($B11,Morning_Shift!$B$4:$BJ$61,MATCH(Both_Shift_Roster!AI$2,Morning_Shift!$B$2:$BJ$2,0),0),"")="",IFERROR(VLOOKUP($B11,Evening_Shift!$B$4:$BJ$62,MATCH(Both_Shift_Roster!AI$2,Evening_Shift!$B$2:$BJ$2,0),0),""),IFERROR(VLOOKUP($B11,Morning_Shift!$B$4:$BJ$61,MATCH(Both_Shift_Roster!AI$2,Morning_Shift!$B$2:$BJ$2,0),0),""))</f>
        <v>Agent Choice WO</v>
      </c>
      <c r="AJ11" s="2" t="str">
        <f>IF(IFERROR(VLOOKUP($B11,Morning_Shift!$B$4:$BJ$61,MATCH(Both_Shift_Roster!AJ$2,Morning_Shift!$B$2:$BJ$2,0),0),"")="",IFERROR(VLOOKUP($B11,Evening_Shift!$B$4:$BJ$62,MATCH(Both_Shift_Roster!AJ$2,Evening_Shift!$B$2:$BJ$2,0),0),""),IFERROR(VLOOKUP($B11,Morning_Shift!$B$4:$BJ$61,MATCH(Both_Shift_Roster!AJ$2,Morning_Shift!$B$2:$BJ$2,0),0),""))</f>
        <v>Agent Choice WO</v>
      </c>
      <c r="AK11" s="2" t="str">
        <f>IF(IFERROR(VLOOKUP($B11,Morning_Shift!$B$4:$BJ$61,MATCH(Both_Shift_Roster!AK$2,Morning_Shift!$B$2:$BJ$2,0),0),"")="",IFERROR(VLOOKUP($B11,Evening_Shift!$B$4:$BJ$62,MATCH(Both_Shift_Roster!AK$2,Evening_Shift!$B$2:$BJ$2,0),0),""),IFERROR(VLOOKUP($B11,Morning_Shift!$B$4:$BJ$61,MATCH(Both_Shift_Roster!AK$2,Morning_Shift!$B$2:$BJ$2,0),0),""))</f>
        <v>Agent Choice WO</v>
      </c>
      <c r="AL11" s="2">
        <f t="shared" si="25"/>
        <v>3</v>
      </c>
      <c r="AM11" s="2">
        <f t="shared" si="26"/>
        <v>0</v>
      </c>
      <c r="AN11" s="2">
        <f t="shared" si="27"/>
        <v>0</v>
      </c>
      <c r="AO11" s="2">
        <f t="shared" si="28"/>
        <v>0</v>
      </c>
      <c r="AP11" s="2">
        <f t="shared" si="29"/>
        <v>0</v>
      </c>
      <c r="AQ11" s="2" t="str">
        <f>IF(IFERROR(VLOOKUP($B11,Morning_Shift!$B$4:$BJ$61,MATCH(Both_Shift_Roster!AQ$2,Morning_Shift!$B$2:$BJ$2,0),0),"")="",IFERROR(VLOOKUP($B11,Evening_Shift!$B$4:$BJ$62,MATCH(Both_Shift_Roster!AQ$2,Evening_Shift!$B$2:$BJ$2,0),0),""),IFERROR(VLOOKUP($B11,Morning_Shift!$B$4:$BJ$61,MATCH(Both_Shift_Roster!AQ$2,Morning_Shift!$B$2:$BJ$2,0),0),""))</f>
        <v>Agent Choice WO</v>
      </c>
      <c r="AR11" s="2" t="str">
        <f>IF(IFERROR(VLOOKUP($B11,Morning_Shift!$B$4:$BJ$61,MATCH(Both_Shift_Roster!AR$2,Morning_Shift!$B$2:$BJ$2,0),0),"")="",IFERROR(VLOOKUP($B11,Evening_Shift!$B$4:$BJ$62,MATCH(Both_Shift_Roster!AR$2,Evening_Shift!$B$2:$BJ$2,0),0),""),IFERROR(VLOOKUP($B11,Morning_Shift!$B$4:$BJ$61,MATCH(Both_Shift_Roster!AR$2,Morning_Shift!$B$2:$BJ$2,0),0),""))</f>
        <v>CL</v>
      </c>
      <c r="AS11" s="2" t="str">
        <f>IF(IFERROR(VLOOKUP($B11,Morning_Shift!$B$4:$BJ$61,MATCH(Both_Shift_Roster!AS$2,Morning_Shift!$B$2:$BJ$2,0),0),"")="",IFERROR(VLOOKUP($B11,Evening_Shift!$B$4:$BJ$62,MATCH(Both_Shift_Roster!AS$2,Evening_Shift!$B$2:$BJ$2,0),0),""),IFERROR(VLOOKUP($B11,Morning_Shift!$B$4:$BJ$61,MATCH(Both_Shift_Roster!AS$2,Morning_Shift!$B$2:$BJ$2,0),0),""))</f>
        <v>CL</v>
      </c>
      <c r="AT11" s="2" t="str">
        <f>IF(IFERROR(VLOOKUP($B11,Morning_Shift!$B$4:$BJ$61,MATCH(Both_Shift_Roster!AT$2,Morning_Shift!$B$2:$BJ$2,0),0),"")="",IFERROR(VLOOKUP($B11,Evening_Shift!$B$4:$BJ$62,MATCH(Both_Shift_Roster!AT$2,Evening_Shift!$B$2:$BJ$2,0),0),""),IFERROR(VLOOKUP($B11,Morning_Shift!$B$4:$BJ$61,MATCH(Both_Shift_Roster!AT$2,Morning_Shift!$B$2:$BJ$2,0),0),""))</f>
        <v>LP</v>
      </c>
      <c r="AU11" s="2" t="str">
        <f>IF(IFERROR(VLOOKUP($B11,Morning_Shift!$B$4:$BJ$61,MATCH(Both_Shift_Roster!AU$2,Morning_Shift!$B$2:$BJ$2,0),0),"")="",IFERROR(VLOOKUP($B11,Evening_Shift!$B$4:$BJ$62,MATCH(Both_Shift_Roster!AU$2,Evening_Shift!$B$2:$BJ$2,0),0),""),IFERROR(VLOOKUP($B11,Morning_Shift!$B$4:$BJ$61,MATCH(Both_Shift_Roster!AU$2,Morning_Shift!$B$2:$BJ$2,0),0),""))</f>
        <v>7:00-14:30</v>
      </c>
      <c r="AV11" s="2" t="str">
        <f>IF(IFERROR(VLOOKUP($B11,Morning_Shift!$B$4:$BJ$61,MATCH(Both_Shift_Roster!AV$2,Morning_Shift!$B$2:$BJ$2,0),0),"")="",IFERROR(VLOOKUP($B11,Evening_Shift!$B$4:$BJ$62,MATCH(Both_Shift_Roster!AV$2,Evening_Shift!$B$2:$BJ$2,0),0),""),IFERROR(VLOOKUP($B11,Morning_Shift!$B$4:$BJ$61,MATCH(Both_Shift_Roster!AV$2,Morning_Shift!$B$2:$BJ$2,0),0),""))</f>
        <v>7:00-14:30</v>
      </c>
      <c r="AW11" s="2" t="str">
        <f>IF(IFERROR(VLOOKUP($B11,Morning_Shift!$B$4:$BJ$61,MATCH(Both_Shift_Roster!AW$2,Morning_Shift!$B$2:$BJ$2,0),0),"")="",IFERROR(VLOOKUP($B11,Evening_Shift!$B$4:$BJ$62,MATCH(Both_Shift_Roster!AW$2,Evening_Shift!$B$2:$BJ$2,0),0),""),IFERROR(VLOOKUP($B11,Morning_Shift!$B$4:$BJ$61,MATCH(Both_Shift_Roster!AW$2,Morning_Shift!$B$2:$BJ$2,0),0),""))</f>
        <v>7:00-14:30</v>
      </c>
      <c r="AX11" s="2">
        <f t="shared" si="30"/>
        <v>1</v>
      </c>
      <c r="AY11" s="2">
        <f t="shared" si="31"/>
        <v>0</v>
      </c>
      <c r="AZ11" s="2">
        <f t="shared" si="32"/>
        <v>2</v>
      </c>
      <c r="BA11" s="2">
        <f t="shared" si="33"/>
        <v>0</v>
      </c>
      <c r="BB11" s="2">
        <f t="shared" si="34"/>
        <v>1</v>
      </c>
      <c r="BC11" s="2" t="str">
        <f>IF(IFERROR(VLOOKUP($B11,Morning_Shift!$B$4:$BJ$61,MATCH(Both_Shift_Roster!BC$2,Morning_Shift!$B$2:$BJ$2,0),0),"")="",IFERROR(VLOOKUP($B11,Evening_Shift!$B$4:$BJ$62,MATCH(Both_Shift_Roster!BC$2,Evening_Shift!$B$2:$BJ$2,0),0),""),IFERROR(VLOOKUP($B11,Morning_Shift!$B$4:$BJ$61,MATCH(Both_Shift_Roster!BC$2,Morning_Shift!$B$2:$BJ$2,0),0),""))</f>
        <v>7:00-14:30</v>
      </c>
      <c r="BD11" s="2" t="str">
        <f>IF(IFERROR(VLOOKUP($B11,Morning_Shift!$B$4:$BJ$61,MATCH(Both_Shift_Roster!BD$2,Morning_Shift!$B$2:$BJ$2,0),0),"")="",IFERROR(VLOOKUP($B11,Evening_Shift!$B$4:$BJ$62,MATCH(Both_Shift_Roster!BD$2,Evening_Shift!$B$2:$BJ$2,0),0),""),IFERROR(VLOOKUP($B11,Morning_Shift!$B$4:$BJ$61,MATCH(Both_Shift_Roster!BD$2,Morning_Shift!$B$2:$BJ$2,0),0),""))</f>
        <v>7:00-14:30</v>
      </c>
      <c r="BE11" s="2" t="str">
        <f>IF(IFERROR(VLOOKUP($B11,Morning_Shift!$B$4:$BJ$61,MATCH(Both_Shift_Roster!BE$2,Morning_Shift!$B$2:$BJ$2,0),0),"")="",IFERROR(VLOOKUP($B11,Evening_Shift!$B$4:$BJ$59,MATCH(Both_Shift_Roster!BE$2,Evening_Shift!$B$2:$BJ$2,0),0),""),IFERROR(VLOOKUP($B11,Morning_Shift!$B$4:$BJ$61,MATCH(Both_Shift_Roster!BE$2,Morning_Shift!$B$2:$BJ$2,0),0),""))</f>
        <v>7:00-14:30</v>
      </c>
      <c r="BF11" s="2">
        <f t="shared" si="35"/>
        <v>0</v>
      </c>
      <c r="BG11" s="2">
        <f t="shared" si="36"/>
        <v>0</v>
      </c>
      <c r="BH11" s="2">
        <f t="shared" si="37"/>
        <v>0</v>
      </c>
      <c r="BI11" s="2">
        <f t="shared" si="38"/>
        <v>0</v>
      </c>
      <c r="BJ11" s="2">
        <f t="shared" si="39"/>
        <v>0</v>
      </c>
    </row>
    <row r="12" spans="1:62">
      <c r="A12" s="17">
        <f t="shared" si="40"/>
        <v>9</v>
      </c>
      <c r="B12" s="16" t="str">
        <f>Morning_Shift!$B12</f>
        <v>Dritm142</v>
      </c>
      <c r="C12" s="21" t="str">
        <f>IF(IFERROR(VLOOKUP(B12,Morning_Shift!B:C,2,0),"")="",IFERROR(VLOOKUP(B12,Evening_Shift!B:C,2,0),""),IFERROR(VLOOKUP(B12,Morning_Shift!B:C,2,0),""))</f>
        <v>Bhawana</v>
      </c>
      <c r="D12" s="15" t="str">
        <f>IF(IFERROR(VLOOKUP(B12,Morning_Shift!B:D,3,0),"")="",IFERROR(VLOOKUP(B12,Evening_Shift!B:D,3,0),""),IFERROR(VLOOKUP(B12,Morning_Shift!B:D,3,0),""))</f>
        <v>Naina</v>
      </c>
      <c r="E12" s="4" t="str">
        <f>IF(IFERROR(VLOOKUP(B12,Morning_Shift!B:E,4,0),"")="",IFERROR(VLOOKUP(B12,Evening_Shift!B:E,4,0),""),IFERROR(VLOOKUP(B12,Morning_Shift!B:E,4,0),""))</f>
        <v>F</v>
      </c>
      <c r="F12" s="5" t="str">
        <f>IF(IFERROR(VLOOKUP(B12,Morning_Shift!B:F,5,0),"")="",IFERROR(VLOOKUP(B12,Evening_Shift!B:F,5,0),""),IFERROR(VLOOKUP(B12,Morning_Shift!B:F,5,0),""))</f>
        <v>Inbound</v>
      </c>
      <c r="G12" s="2" t="str">
        <f>IF(IFERROR(VLOOKUP($B12,Morning_Shift!$B$4:$BJ$61,MATCH(Both_Shift_Roster!G$2,Morning_Shift!$B$2:$BJ$2,0),0),"")="",IFERROR(VLOOKUP($B12,Evening_Shift!$B$4:$BJ$62,MATCH(Both_Shift_Roster!G$2,Evening_Shift!$B$2:$BJ$2,0),0),""),IFERROR(VLOOKUP($B12,Morning_Shift!$B$4:$BJ$61,MATCH(Both_Shift_Roster!G$2,Morning_Shift!$B$2:$BJ$2,0),0),""))</f>
        <v>7:00-14:30</v>
      </c>
      <c r="H12" s="2" t="str">
        <f>IF(IFERROR(VLOOKUP($B12,Morning_Shift!$B$4:$BJ$61,MATCH(Both_Shift_Roster!H$2,Morning_Shift!$B$2:$BJ$2,0),0),"")="",IFERROR(VLOOKUP($B12,Evening_Shift!$B$4:$BJ$62,MATCH(Both_Shift_Roster!H$2,Evening_Shift!$B$2:$BJ$2,0),0),""),IFERROR(VLOOKUP($B12,Morning_Shift!$B$4:$BJ$61,MATCH(Both_Shift_Roster!H$2,Morning_Shift!$B$2:$BJ$2,0),0),""))</f>
        <v>7:00-14:30</v>
      </c>
      <c r="I12" s="2" t="str">
        <f>IF(IFERROR(VLOOKUP($B12,Morning_Shift!$B$4:$BJ$61,MATCH(Both_Shift_Roster!I$2,Morning_Shift!$B$2:$BJ$2,0),0),"")="",IFERROR(VLOOKUP($B12,Evening_Shift!$B$4:$BJ$62,MATCH(Both_Shift_Roster!I$2,Evening_Shift!$B$2:$BJ$2,0),0),""),IFERROR(VLOOKUP($B12,Morning_Shift!$B$4:$BJ$61,MATCH(Both_Shift_Roster!I$2,Morning_Shift!$B$2:$BJ$2,0),0),""))</f>
        <v>7:00-14:30</v>
      </c>
      <c r="J12" s="2" t="str">
        <f>IF(IFERROR(VLOOKUP($B12,Morning_Shift!$B$4:$BJ$61,MATCH(Both_Shift_Roster!J$2,Morning_Shift!$B$2:$BJ$2,0),0),"")="",IFERROR(VLOOKUP($B12,Evening_Shift!$B$4:$BJ$62,MATCH(Both_Shift_Roster!J$2,Evening_Shift!$B$2:$BJ$2,0),0),""),IFERROR(VLOOKUP($B12,Morning_Shift!$B$4:$BJ$61,MATCH(Both_Shift_Roster!J$2,Morning_Shift!$B$2:$BJ$2,0),0),""))</f>
        <v>7:00-14:30</v>
      </c>
      <c r="K12" s="2" t="str">
        <f>IF(IFERROR(VLOOKUP($B12,Morning_Shift!$B$4:$BJ$61,MATCH(Both_Shift_Roster!K$2,Morning_Shift!$B$2:$BJ$2,0),0),"")="",IFERROR(VLOOKUP($B12,Evening_Shift!$B$4:$BJ$62,MATCH(Both_Shift_Roster!K$2,Evening_Shift!$B$2:$BJ$2,0),0),""),IFERROR(VLOOKUP($B12,Morning_Shift!$B$4:$BJ$61,MATCH(Both_Shift_Roster!K$2,Morning_Shift!$B$2:$BJ$2,0),0),""))</f>
        <v>Agent Choice WO</v>
      </c>
      <c r="L12" s="2" t="str">
        <f>IF(IFERROR(VLOOKUP($B12,Morning_Shift!$B$4:$BJ$61,MATCH(Both_Shift_Roster!L$2,Morning_Shift!$B$2:$BJ$2,0),0),"")="",IFERROR(VLOOKUP($B12,Evening_Shift!$B$4:$BJ$62,MATCH(Both_Shift_Roster!L$2,Evening_Shift!$B$2:$BJ$2,0),0),""),IFERROR(VLOOKUP($B12,Morning_Shift!$B$4:$BJ$61,MATCH(Both_Shift_Roster!L$2,Morning_Shift!$B$2:$BJ$2,0),0),""))</f>
        <v>Agent Choice WO</v>
      </c>
      <c r="M12" s="2" t="str">
        <f>IF(IFERROR(VLOOKUP($B12,Morning_Shift!$B$4:$BJ$61,MATCH(Both_Shift_Roster!M$2,Morning_Shift!$B$2:$BJ$2,0),0),"")="",IFERROR(VLOOKUP($B12,Evening_Shift!$B$4:$BJ$62,MATCH(Both_Shift_Roster!M$2,Evening_Shift!$B$2:$BJ$2,0),0),""),IFERROR(VLOOKUP($B12,Morning_Shift!$B$4:$BJ$61,MATCH(Both_Shift_Roster!M$2,Morning_Shift!$B$2:$BJ$2,0),0),""))</f>
        <v>Agent Choice WO</v>
      </c>
      <c r="N12" s="2">
        <f t="shared" si="15"/>
        <v>3</v>
      </c>
      <c r="O12" s="2">
        <f t="shared" si="16"/>
        <v>0</v>
      </c>
      <c r="P12" s="2">
        <f t="shared" si="17"/>
        <v>0</v>
      </c>
      <c r="Q12" s="2">
        <f t="shared" si="18"/>
        <v>0</v>
      </c>
      <c r="R12" s="2">
        <f t="shared" si="19"/>
        <v>0</v>
      </c>
      <c r="S12" s="2" t="str">
        <f>IF(IFERROR(VLOOKUP($B12,Morning_Shift!$B$4:$BJ$61,MATCH(Both_Shift_Roster!S$2,Morning_Shift!$B$2:$BJ$2,0),0),"")="",IFERROR(VLOOKUP($B12,Evening_Shift!$B$4:$BJ$62,MATCH(Both_Shift_Roster!S$2,Evening_Shift!$B$2:$BJ$2,0),0),""),IFERROR(VLOOKUP($B12,Morning_Shift!$B$4:$BJ$61,MATCH(Both_Shift_Roster!S$2,Morning_Shift!$B$2:$BJ$2,0),0),""))</f>
        <v>Agent Choice WO</v>
      </c>
      <c r="T12" s="2" t="str">
        <f>IF(IFERROR(VLOOKUP($B12,Morning_Shift!$B$4:$BJ$61,MATCH(Both_Shift_Roster!T$2,Morning_Shift!$B$2:$BJ$2,0),0),"")="",IFERROR(VLOOKUP($B12,Evening_Shift!$B$4:$BJ$62,MATCH(Both_Shift_Roster!T$2,Evening_Shift!$B$2:$BJ$2,0),0),""),IFERROR(VLOOKUP($B12,Morning_Shift!$B$4:$BJ$61,MATCH(Both_Shift_Roster!T$2,Morning_Shift!$B$2:$BJ$2,0),0),""))</f>
        <v>LP</v>
      </c>
      <c r="U12" s="2" t="str">
        <f>IF(IFERROR(VLOOKUP($B12,Morning_Shift!$B$4:$BJ$61,MATCH(Both_Shift_Roster!U$2,Morning_Shift!$B$2:$BJ$2,0),0),"")="",IFERROR(VLOOKUP($B12,Evening_Shift!$B$4:$BJ$62,MATCH(Both_Shift_Roster!U$2,Evening_Shift!$B$2:$BJ$2,0),0),""),IFERROR(VLOOKUP($B12,Morning_Shift!$B$4:$BJ$61,MATCH(Both_Shift_Roster!U$2,Morning_Shift!$B$2:$BJ$2,0),0),""))</f>
        <v>LP</v>
      </c>
      <c r="V12" s="2" t="str">
        <f>IF(IFERROR(VLOOKUP($B12,Morning_Shift!$B$4:$BJ$61,MATCH(Both_Shift_Roster!V$2,Morning_Shift!$B$2:$BJ$2,0),0),"")="",IFERROR(VLOOKUP($B12,Evening_Shift!$B$4:$BJ$62,MATCH(Both_Shift_Roster!V$2,Evening_Shift!$B$2:$BJ$2,0),0),""),IFERROR(VLOOKUP($B12,Morning_Shift!$B$4:$BJ$61,MATCH(Both_Shift_Roster!V$2,Morning_Shift!$B$2:$BJ$2,0),0),""))</f>
        <v>LP</v>
      </c>
      <c r="W12" s="2" t="str">
        <f>IF(IFERROR(VLOOKUP($B12,Morning_Shift!$B$4:$BJ$61,MATCH(Both_Shift_Roster!W$2,Morning_Shift!$B$2:$BJ$2,0),0),"")="",IFERROR(VLOOKUP($B12,Evening_Shift!$B$4:$BJ$62,MATCH(Both_Shift_Roster!W$2,Evening_Shift!$B$2:$BJ$2,0),0),""),IFERROR(VLOOKUP($B12,Morning_Shift!$B$4:$BJ$61,MATCH(Both_Shift_Roster!W$2,Morning_Shift!$B$2:$BJ$2,0),0),""))</f>
        <v>LP</v>
      </c>
      <c r="X12" s="2" t="str">
        <f>IF(IFERROR(VLOOKUP($B12,Morning_Shift!$B$4:$BJ$61,MATCH(Both_Shift_Roster!X$2,Morning_Shift!$B$2:$BJ$2,0),0),"")="",IFERROR(VLOOKUP($B12,Evening_Shift!$B$4:$BJ$62,MATCH(Both_Shift_Roster!X$2,Evening_Shift!$B$2:$BJ$2,0),0),""),IFERROR(VLOOKUP($B12,Morning_Shift!$B$4:$BJ$61,MATCH(Both_Shift_Roster!X$2,Morning_Shift!$B$2:$BJ$2,0),0),""))</f>
        <v>LP</v>
      </c>
      <c r="Y12" s="2" t="str">
        <f>IF(IFERROR(VLOOKUP($B12,Morning_Shift!$B$4:$BJ$61,MATCH(Both_Shift_Roster!Y$2,Morning_Shift!$B$2:$BJ$2,0),0),"")="",IFERROR(VLOOKUP($B12,Evening_Shift!$B$4:$BJ$62,MATCH(Both_Shift_Roster!Y$2,Evening_Shift!$B$2:$BJ$2,0),0),""),IFERROR(VLOOKUP($B12,Morning_Shift!$B$4:$BJ$61,MATCH(Both_Shift_Roster!Y$2,Morning_Shift!$B$2:$BJ$2,0),0),""))</f>
        <v>LP</v>
      </c>
      <c r="Z12" s="2">
        <f t="shared" si="20"/>
        <v>1</v>
      </c>
      <c r="AA12" s="2">
        <f t="shared" si="21"/>
        <v>0</v>
      </c>
      <c r="AB12" s="2">
        <f t="shared" si="22"/>
        <v>0</v>
      </c>
      <c r="AC12" s="2">
        <f t="shared" si="23"/>
        <v>0</v>
      </c>
      <c r="AD12" s="2">
        <f t="shared" si="24"/>
        <v>6</v>
      </c>
      <c r="AE12" s="2" t="str">
        <f>IF(IFERROR(VLOOKUP($B12,Morning_Shift!$B$4:$BJ$61,MATCH(Both_Shift_Roster!AE$2,Morning_Shift!$B$2:$BJ$2,0),0),"")="",IFERROR(VLOOKUP($B12,Evening_Shift!$B$4:$BJ$62,MATCH(Both_Shift_Roster!AE$2,Evening_Shift!$B$2:$BJ$2,0),0),""),IFERROR(VLOOKUP($B12,Morning_Shift!$B$4:$BJ$61,MATCH(Both_Shift_Roster!AE$2,Morning_Shift!$B$2:$BJ$2,0),0),""))</f>
        <v>LP</v>
      </c>
      <c r="AF12" s="2" t="str">
        <f>IF(IFERROR(VLOOKUP($B12,Morning_Shift!$B$4:$BJ$61,MATCH(Both_Shift_Roster!AF$2,Morning_Shift!$B$2:$BJ$2,0),0),"")="",IFERROR(VLOOKUP($B12,Evening_Shift!$B$4:$BJ$62,MATCH(Both_Shift_Roster!AF$2,Evening_Shift!$B$2:$BJ$2,0),0),""),IFERROR(VLOOKUP($B12,Morning_Shift!$B$4:$BJ$61,MATCH(Both_Shift_Roster!AF$2,Morning_Shift!$B$2:$BJ$2,0),0),""))</f>
        <v>LP</v>
      </c>
      <c r="AG12" s="2" t="str">
        <f>IF(IFERROR(VLOOKUP($B12,Morning_Shift!$B$4:$BJ$61,MATCH(Both_Shift_Roster!AG$2,Morning_Shift!$B$2:$BJ$2,0),0),"")="",IFERROR(VLOOKUP($B12,Evening_Shift!$B$4:$BJ$62,MATCH(Both_Shift_Roster!AG$2,Evening_Shift!$B$2:$BJ$2,0),0),""),IFERROR(VLOOKUP($B12,Morning_Shift!$B$4:$BJ$61,MATCH(Both_Shift_Roster!AG$2,Morning_Shift!$B$2:$BJ$2,0),0),""))</f>
        <v>LP</v>
      </c>
      <c r="AH12" s="2" t="str">
        <f>IF(IFERROR(VLOOKUP($B12,Morning_Shift!$B$4:$BJ$61,MATCH(Both_Shift_Roster!AH$2,Morning_Shift!$B$2:$BJ$2,0),0),"")="",IFERROR(VLOOKUP($B12,Evening_Shift!$B$4:$BJ$62,MATCH(Both_Shift_Roster!AH$2,Evening_Shift!$B$2:$BJ$2,0),0),""),IFERROR(VLOOKUP($B12,Morning_Shift!$B$4:$BJ$61,MATCH(Both_Shift_Roster!AH$2,Morning_Shift!$B$2:$BJ$2,0),0),""))</f>
        <v>LP</v>
      </c>
      <c r="AI12" s="2" t="str">
        <f>IF(IFERROR(VLOOKUP($B12,Morning_Shift!$B$4:$BJ$61,MATCH(Both_Shift_Roster!AI$2,Morning_Shift!$B$2:$BJ$2,0),0),"")="",IFERROR(VLOOKUP($B12,Evening_Shift!$B$4:$BJ$62,MATCH(Both_Shift_Roster!AI$2,Evening_Shift!$B$2:$BJ$2,0),0),""),IFERROR(VLOOKUP($B12,Morning_Shift!$B$4:$BJ$61,MATCH(Both_Shift_Roster!AI$2,Morning_Shift!$B$2:$BJ$2,0),0),""))</f>
        <v>LP</v>
      </c>
      <c r="AJ12" s="2" t="str">
        <f>IF(IFERROR(VLOOKUP($B12,Morning_Shift!$B$4:$BJ$61,MATCH(Both_Shift_Roster!AJ$2,Morning_Shift!$B$2:$BJ$2,0),0),"")="",IFERROR(VLOOKUP($B12,Evening_Shift!$B$4:$BJ$62,MATCH(Both_Shift_Roster!AJ$2,Evening_Shift!$B$2:$BJ$2,0),0),""),IFERROR(VLOOKUP($B12,Morning_Shift!$B$4:$BJ$61,MATCH(Both_Shift_Roster!AJ$2,Morning_Shift!$B$2:$BJ$2,0),0),""))</f>
        <v>7:00-14:30</v>
      </c>
      <c r="AK12" s="2" t="str">
        <f>IF(IFERROR(VLOOKUP($B12,Morning_Shift!$B$4:$BJ$61,MATCH(Both_Shift_Roster!AK$2,Morning_Shift!$B$2:$BJ$2,0),0),"")="",IFERROR(VLOOKUP($B12,Evening_Shift!$B$4:$BJ$62,MATCH(Both_Shift_Roster!AK$2,Evening_Shift!$B$2:$BJ$2,0),0),""),IFERROR(VLOOKUP($B12,Morning_Shift!$B$4:$BJ$61,MATCH(Both_Shift_Roster!AK$2,Morning_Shift!$B$2:$BJ$2,0),0),""))</f>
        <v>7:00-14:30</v>
      </c>
      <c r="AL12" s="2">
        <f t="shared" si="25"/>
        <v>0</v>
      </c>
      <c r="AM12" s="2">
        <f t="shared" si="26"/>
        <v>0</v>
      </c>
      <c r="AN12" s="2">
        <f t="shared" si="27"/>
        <v>0</v>
      </c>
      <c r="AO12" s="2">
        <f t="shared" si="28"/>
        <v>0</v>
      </c>
      <c r="AP12" s="2">
        <f t="shared" si="29"/>
        <v>5</v>
      </c>
      <c r="AQ12" s="2" t="str">
        <f>IF(IFERROR(VLOOKUP($B12,Morning_Shift!$B$4:$BJ$61,MATCH(Both_Shift_Roster!AQ$2,Morning_Shift!$B$2:$BJ$2,0),0),"")="",IFERROR(VLOOKUP($B12,Evening_Shift!$B$4:$BJ$62,MATCH(Both_Shift_Roster!AQ$2,Evening_Shift!$B$2:$BJ$2,0),0),""),IFERROR(VLOOKUP($B12,Morning_Shift!$B$4:$BJ$61,MATCH(Both_Shift_Roster!AQ$2,Morning_Shift!$B$2:$BJ$2,0),0),""))</f>
        <v>7:00-14:30</v>
      </c>
      <c r="AR12" s="2" t="str">
        <f>IF(IFERROR(VLOOKUP($B12,Morning_Shift!$B$4:$BJ$61,MATCH(Both_Shift_Roster!AR$2,Morning_Shift!$B$2:$BJ$2,0),0),"")="",IFERROR(VLOOKUP($B12,Evening_Shift!$B$4:$BJ$62,MATCH(Both_Shift_Roster!AR$2,Evening_Shift!$B$2:$BJ$2,0),0),""),IFERROR(VLOOKUP($B12,Morning_Shift!$B$4:$BJ$61,MATCH(Both_Shift_Roster!AR$2,Morning_Shift!$B$2:$BJ$2,0),0),""))</f>
        <v>7:00-14:30</v>
      </c>
      <c r="AS12" s="2" t="str">
        <f>IF(IFERROR(VLOOKUP($B12,Morning_Shift!$B$4:$BJ$61,MATCH(Both_Shift_Roster!AS$2,Morning_Shift!$B$2:$BJ$2,0),0),"")="",IFERROR(VLOOKUP($B12,Evening_Shift!$B$4:$BJ$62,MATCH(Both_Shift_Roster!AS$2,Evening_Shift!$B$2:$BJ$2,0),0),""),IFERROR(VLOOKUP($B12,Morning_Shift!$B$4:$BJ$61,MATCH(Both_Shift_Roster!AS$2,Morning_Shift!$B$2:$BJ$2,0),0),""))</f>
        <v>7:00-14:30</v>
      </c>
      <c r="AT12" s="2" t="str">
        <f>IF(IFERROR(VLOOKUP($B12,Morning_Shift!$B$4:$BJ$61,MATCH(Both_Shift_Roster!AT$2,Morning_Shift!$B$2:$BJ$2,0),0),"")="",IFERROR(VLOOKUP($B12,Evening_Shift!$B$4:$BJ$62,MATCH(Both_Shift_Roster!AT$2,Evening_Shift!$B$2:$BJ$2,0),0),""),IFERROR(VLOOKUP($B12,Morning_Shift!$B$4:$BJ$61,MATCH(Both_Shift_Roster!AT$2,Morning_Shift!$B$2:$BJ$2,0),0),""))</f>
        <v>7:00-14:30</v>
      </c>
      <c r="AU12" s="2" t="str">
        <f>IF(IFERROR(VLOOKUP($B12,Morning_Shift!$B$4:$BJ$61,MATCH(Both_Shift_Roster!AU$2,Morning_Shift!$B$2:$BJ$2,0),0),"")="",IFERROR(VLOOKUP($B12,Evening_Shift!$B$4:$BJ$62,MATCH(Both_Shift_Roster!AU$2,Evening_Shift!$B$2:$BJ$2,0),0),""),IFERROR(VLOOKUP($B12,Morning_Shift!$B$4:$BJ$61,MATCH(Both_Shift_Roster!AU$2,Morning_Shift!$B$2:$BJ$2,0),0),""))</f>
        <v>7:00-14:30</v>
      </c>
      <c r="AV12" s="2" t="str">
        <f>IF(IFERROR(VLOOKUP($B12,Morning_Shift!$B$4:$BJ$61,MATCH(Both_Shift_Roster!AV$2,Morning_Shift!$B$2:$BJ$2,0),0),"")="",IFERROR(VLOOKUP($B12,Evening_Shift!$B$4:$BJ$62,MATCH(Both_Shift_Roster!AV$2,Evening_Shift!$B$2:$BJ$2,0),0),""),IFERROR(VLOOKUP($B12,Morning_Shift!$B$4:$BJ$61,MATCH(Both_Shift_Roster!AV$2,Morning_Shift!$B$2:$BJ$2,0),0),""))</f>
        <v>7:00-14:30</v>
      </c>
      <c r="AW12" s="2" t="str">
        <f>IF(IFERROR(VLOOKUP($B12,Morning_Shift!$B$4:$BJ$61,MATCH(Both_Shift_Roster!AW$2,Morning_Shift!$B$2:$BJ$2,0),0),"")="",IFERROR(VLOOKUP($B12,Evening_Shift!$B$4:$BJ$62,MATCH(Both_Shift_Roster!AW$2,Evening_Shift!$B$2:$BJ$2,0),0),""),IFERROR(VLOOKUP($B12,Morning_Shift!$B$4:$BJ$61,MATCH(Both_Shift_Roster!AW$2,Morning_Shift!$B$2:$BJ$2,0),0),""))</f>
        <v>7:00-14:30</v>
      </c>
      <c r="AX12" s="2">
        <f t="shared" si="30"/>
        <v>0</v>
      </c>
      <c r="AY12" s="2">
        <f t="shared" si="31"/>
        <v>0</v>
      </c>
      <c r="AZ12" s="2">
        <f t="shared" si="32"/>
        <v>0</v>
      </c>
      <c r="BA12" s="2">
        <f t="shared" si="33"/>
        <v>0</v>
      </c>
      <c r="BB12" s="2">
        <f t="shared" si="34"/>
        <v>0</v>
      </c>
      <c r="BC12" s="2" t="str">
        <f>IF(IFERROR(VLOOKUP($B12,Morning_Shift!$B$4:$BJ$61,MATCH(Both_Shift_Roster!BC$2,Morning_Shift!$B$2:$BJ$2,0),0),"")="",IFERROR(VLOOKUP($B12,Evening_Shift!$B$4:$BJ$62,MATCH(Both_Shift_Roster!BC$2,Evening_Shift!$B$2:$BJ$2,0),0),""),IFERROR(VLOOKUP($B12,Morning_Shift!$B$4:$BJ$61,MATCH(Both_Shift_Roster!BC$2,Morning_Shift!$B$2:$BJ$2,0),0),""))</f>
        <v>7:00-14:30</v>
      </c>
      <c r="BD12" s="2" t="str">
        <f>IF(IFERROR(VLOOKUP($B12,Morning_Shift!$B$4:$BJ$61,MATCH(Both_Shift_Roster!BD$2,Morning_Shift!$B$2:$BJ$2,0),0),"")="",IFERROR(VLOOKUP($B12,Evening_Shift!$B$4:$BJ$62,MATCH(Both_Shift_Roster!BD$2,Evening_Shift!$B$2:$BJ$2,0),0),""),IFERROR(VLOOKUP($B12,Morning_Shift!$B$4:$BJ$61,MATCH(Both_Shift_Roster!BD$2,Morning_Shift!$B$2:$BJ$2,0),0),""))</f>
        <v>7:00-14:30</v>
      </c>
      <c r="BE12" s="2" t="str">
        <f>IF(IFERROR(VLOOKUP($B12,Morning_Shift!$B$4:$BJ$61,MATCH(Both_Shift_Roster!BE$2,Morning_Shift!$B$2:$BJ$2,0),0),"")="",IFERROR(VLOOKUP($B12,Evening_Shift!$B$4:$BJ$59,MATCH(Both_Shift_Roster!BE$2,Evening_Shift!$B$2:$BJ$2,0),0),""),IFERROR(VLOOKUP($B12,Morning_Shift!$B$4:$BJ$61,MATCH(Both_Shift_Roster!BE$2,Morning_Shift!$B$2:$BJ$2,0),0),""))</f>
        <v>7:00-14:30</v>
      </c>
      <c r="BF12" s="2">
        <f t="shared" si="35"/>
        <v>0</v>
      </c>
      <c r="BG12" s="2">
        <f t="shared" si="36"/>
        <v>0</v>
      </c>
      <c r="BH12" s="2">
        <f t="shared" si="37"/>
        <v>0</v>
      </c>
      <c r="BI12" s="2">
        <f t="shared" si="38"/>
        <v>0</v>
      </c>
      <c r="BJ12" s="2">
        <f t="shared" si="39"/>
        <v>0</v>
      </c>
    </row>
    <row r="13" spans="1:62">
      <c r="A13" s="17">
        <f t="shared" si="40"/>
        <v>10</v>
      </c>
      <c r="B13" s="16" t="str">
        <f>Morning_Shift!$B13</f>
        <v>Dritm35</v>
      </c>
      <c r="C13" s="21" t="str">
        <f>IF(IFERROR(VLOOKUP(B13,Morning_Shift!B:C,2,0),"")="",IFERROR(VLOOKUP(B13,Evening_Shift!B:C,2,0),""),IFERROR(VLOOKUP(B13,Morning_Shift!B:C,2,0),""))</f>
        <v>Damini Mattu</v>
      </c>
      <c r="D13" s="15" t="str">
        <f>IF(IFERROR(VLOOKUP(B13,Morning_Shift!B:D,3,0),"")="",IFERROR(VLOOKUP(B13,Evening_Shift!B:D,3,0),""),IFERROR(VLOOKUP(B13,Morning_Shift!B:D,3,0),""))</f>
        <v>Naina</v>
      </c>
      <c r="E13" s="4" t="str">
        <f>IF(IFERROR(VLOOKUP(B13,Morning_Shift!B:E,4,0),"")="",IFERROR(VLOOKUP(B13,Evening_Shift!B:E,4,0),""),IFERROR(VLOOKUP(B13,Morning_Shift!B:E,4,0),""))</f>
        <v>F</v>
      </c>
      <c r="F13" s="5" t="str">
        <f>IF(IFERROR(VLOOKUP(B13,Morning_Shift!B:F,5,0),"")="",IFERROR(VLOOKUP(B13,Evening_Shift!B:F,5,0),""),IFERROR(VLOOKUP(B13,Morning_Shift!B:F,5,0),""))</f>
        <v>Himseva manual preview</v>
      </c>
      <c r="G13" s="2" t="str">
        <f>IF(IFERROR(VLOOKUP($B13,Morning_Shift!$B$4:$BJ$61,MATCH(Both_Shift_Roster!G$2,Morning_Shift!$B$2:$BJ$2,0),0),"")="",IFERROR(VLOOKUP($B13,Evening_Shift!$B$4:$BJ$62,MATCH(Both_Shift_Roster!G$2,Evening_Shift!$B$2:$BJ$2,0),0),""),IFERROR(VLOOKUP($B13,Morning_Shift!$B$4:$BJ$61,MATCH(Both_Shift_Roster!G$2,Morning_Shift!$B$2:$BJ$2,0),0),""))</f>
        <v>7:00-14:30</v>
      </c>
      <c r="H13" s="2" t="str">
        <f>IF(IFERROR(VLOOKUP($B13,Morning_Shift!$B$4:$BJ$61,MATCH(Both_Shift_Roster!H$2,Morning_Shift!$B$2:$BJ$2,0),0),"")="",IFERROR(VLOOKUP($B13,Evening_Shift!$B$4:$BJ$62,MATCH(Both_Shift_Roster!H$2,Evening_Shift!$B$2:$BJ$2,0),0),""),IFERROR(VLOOKUP($B13,Morning_Shift!$B$4:$BJ$61,MATCH(Both_Shift_Roster!H$2,Morning_Shift!$B$2:$BJ$2,0),0),""))</f>
        <v>7:00-14:30</v>
      </c>
      <c r="I13" s="2" t="str">
        <f>IF(IFERROR(VLOOKUP($B13,Morning_Shift!$B$4:$BJ$61,MATCH(Both_Shift_Roster!I$2,Morning_Shift!$B$2:$BJ$2,0),0),"")="",IFERROR(VLOOKUP($B13,Evening_Shift!$B$4:$BJ$62,MATCH(Both_Shift_Roster!I$2,Evening_Shift!$B$2:$BJ$2,0),0),""),IFERROR(VLOOKUP($B13,Morning_Shift!$B$4:$BJ$61,MATCH(Both_Shift_Roster!I$2,Morning_Shift!$B$2:$BJ$2,0),0),""))</f>
        <v>7:00-14:30</v>
      </c>
      <c r="J13" s="2" t="str">
        <f>IF(IFERROR(VLOOKUP($B13,Morning_Shift!$B$4:$BJ$61,MATCH(Both_Shift_Roster!J$2,Morning_Shift!$B$2:$BJ$2,0),0),"")="",IFERROR(VLOOKUP($B13,Evening_Shift!$B$4:$BJ$62,MATCH(Both_Shift_Roster!J$2,Evening_Shift!$B$2:$BJ$2,0),0),""),IFERROR(VLOOKUP($B13,Morning_Shift!$B$4:$BJ$61,MATCH(Both_Shift_Roster!J$2,Morning_Shift!$B$2:$BJ$2,0),0),""))</f>
        <v>7:00-14:30</v>
      </c>
      <c r="K13" s="2" t="str">
        <f>IF(IFERROR(VLOOKUP($B13,Morning_Shift!$B$4:$BJ$61,MATCH(Both_Shift_Roster!K$2,Morning_Shift!$B$2:$BJ$2,0),0),"")="",IFERROR(VLOOKUP($B13,Evening_Shift!$B$4:$BJ$62,MATCH(Both_Shift_Roster!K$2,Evening_Shift!$B$2:$BJ$2,0),0),""),IFERROR(VLOOKUP($B13,Morning_Shift!$B$4:$BJ$61,MATCH(Both_Shift_Roster!K$2,Morning_Shift!$B$2:$BJ$2,0),0),""))</f>
        <v>7:00-14:30</v>
      </c>
      <c r="L13" s="2" t="str">
        <f>IF(IFERROR(VLOOKUP($B13,Morning_Shift!$B$4:$BJ$61,MATCH(Both_Shift_Roster!L$2,Morning_Shift!$B$2:$BJ$2,0),0),"")="",IFERROR(VLOOKUP($B13,Evening_Shift!$B$4:$BJ$62,MATCH(Both_Shift_Roster!L$2,Evening_Shift!$B$2:$BJ$2,0),0),""),IFERROR(VLOOKUP($B13,Morning_Shift!$B$4:$BJ$61,MATCH(Both_Shift_Roster!L$2,Morning_Shift!$B$2:$BJ$2,0),0),""))</f>
        <v>7:00-14:30</v>
      </c>
      <c r="M13" s="2" t="str">
        <f>IF(IFERROR(VLOOKUP($B13,Morning_Shift!$B$4:$BJ$61,MATCH(Both_Shift_Roster!M$2,Morning_Shift!$B$2:$BJ$2,0),0),"")="",IFERROR(VLOOKUP($B13,Evening_Shift!$B$4:$BJ$62,MATCH(Both_Shift_Roster!M$2,Evening_Shift!$B$2:$BJ$2,0),0),""),IFERROR(VLOOKUP($B13,Morning_Shift!$B$4:$BJ$61,MATCH(Both_Shift_Roster!M$2,Morning_Shift!$B$2:$BJ$2,0),0),""))</f>
        <v>7:00-14:30</v>
      </c>
      <c r="N13" s="2">
        <f t="shared" si="15"/>
        <v>0</v>
      </c>
      <c r="O13" s="2">
        <f t="shared" si="16"/>
        <v>0</v>
      </c>
      <c r="P13" s="2">
        <f t="shared" si="17"/>
        <v>0</v>
      </c>
      <c r="Q13" s="2">
        <f t="shared" si="18"/>
        <v>0</v>
      </c>
      <c r="R13" s="2">
        <f t="shared" si="19"/>
        <v>0</v>
      </c>
      <c r="S13" s="2" t="str">
        <f>IF(IFERROR(VLOOKUP($B13,Morning_Shift!$B$4:$BJ$61,MATCH(Both_Shift_Roster!S$2,Morning_Shift!$B$2:$BJ$2,0),0),"")="",IFERROR(VLOOKUP($B13,Evening_Shift!$B$4:$BJ$62,MATCH(Both_Shift_Roster!S$2,Evening_Shift!$B$2:$BJ$2,0),0),""),IFERROR(VLOOKUP($B13,Morning_Shift!$B$4:$BJ$61,MATCH(Both_Shift_Roster!S$2,Morning_Shift!$B$2:$BJ$2,0),0),""))</f>
        <v>7:00-14:30</v>
      </c>
      <c r="T13" s="2" t="str">
        <f>IF(IFERROR(VLOOKUP($B13,Morning_Shift!$B$4:$BJ$61,MATCH(Both_Shift_Roster!T$2,Morning_Shift!$B$2:$BJ$2,0),0),"")="",IFERROR(VLOOKUP($B13,Evening_Shift!$B$4:$BJ$62,MATCH(Both_Shift_Roster!T$2,Evening_Shift!$B$2:$BJ$2,0),0),""),IFERROR(VLOOKUP($B13,Morning_Shift!$B$4:$BJ$61,MATCH(Both_Shift_Roster!T$2,Morning_Shift!$B$2:$BJ$2,0),0),""))</f>
        <v>7:00-14:30</v>
      </c>
      <c r="U13" s="2" t="str">
        <f>IF(IFERROR(VLOOKUP($B13,Morning_Shift!$B$4:$BJ$61,MATCH(Both_Shift_Roster!U$2,Morning_Shift!$B$2:$BJ$2,0),0),"")="",IFERROR(VLOOKUP($B13,Evening_Shift!$B$4:$BJ$62,MATCH(Both_Shift_Roster!U$2,Evening_Shift!$B$2:$BJ$2,0),0),""),IFERROR(VLOOKUP($B13,Morning_Shift!$B$4:$BJ$61,MATCH(Both_Shift_Roster!U$2,Morning_Shift!$B$2:$BJ$2,0),0),""))</f>
        <v>Agent Choice WO</v>
      </c>
      <c r="V13" s="2" t="str">
        <f>IF(IFERROR(VLOOKUP($B13,Morning_Shift!$B$4:$BJ$61,MATCH(Both_Shift_Roster!V$2,Morning_Shift!$B$2:$BJ$2,0),0),"")="",IFERROR(VLOOKUP($B13,Evening_Shift!$B$4:$BJ$62,MATCH(Both_Shift_Roster!V$2,Evening_Shift!$B$2:$BJ$2,0),0),""),IFERROR(VLOOKUP($B13,Morning_Shift!$B$4:$BJ$61,MATCH(Both_Shift_Roster!V$2,Morning_Shift!$B$2:$BJ$2,0),0),""))</f>
        <v>7:00-14:30</v>
      </c>
      <c r="W13" s="2" t="str">
        <f>IF(IFERROR(VLOOKUP($B13,Morning_Shift!$B$4:$BJ$61,MATCH(Both_Shift_Roster!W$2,Morning_Shift!$B$2:$BJ$2,0),0),"")="",IFERROR(VLOOKUP($B13,Evening_Shift!$B$4:$BJ$62,MATCH(Both_Shift_Roster!W$2,Evening_Shift!$B$2:$BJ$2,0),0),""),IFERROR(VLOOKUP($B13,Morning_Shift!$B$4:$BJ$61,MATCH(Both_Shift_Roster!W$2,Morning_Shift!$B$2:$BJ$2,0),0),""))</f>
        <v>7:00-14:30</v>
      </c>
      <c r="X13" s="2" t="str">
        <f>IF(IFERROR(VLOOKUP($B13,Morning_Shift!$B$4:$BJ$61,MATCH(Both_Shift_Roster!X$2,Morning_Shift!$B$2:$BJ$2,0),0),"")="",IFERROR(VLOOKUP($B13,Evening_Shift!$B$4:$BJ$62,MATCH(Both_Shift_Roster!X$2,Evening_Shift!$B$2:$BJ$2,0),0),""),IFERROR(VLOOKUP($B13,Morning_Shift!$B$4:$BJ$61,MATCH(Both_Shift_Roster!X$2,Morning_Shift!$B$2:$BJ$2,0),0),""))</f>
        <v>7:00-14:30</v>
      </c>
      <c r="Y13" s="2" t="str">
        <f>IF(IFERROR(VLOOKUP($B13,Morning_Shift!$B$4:$BJ$61,MATCH(Both_Shift_Roster!Y$2,Morning_Shift!$B$2:$BJ$2,0),0),"")="",IFERROR(VLOOKUP($B13,Evening_Shift!$B$4:$BJ$62,MATCH(Both_Shift_Roster!Y$2,Evening_Shift!$B$2:$BJ$2,0),0),""),IFERROR(VLOOKUP($B13,Morning_Shift!$B$4:$BJ$61,MATCH(Both_Shift_Roster!Y$2,Morning_Shift!$B$2:$BJ$2,0),0),""))</f>
        <v>7:00-14:30</v>
      </c>
      <c r="Z13" s="2">
        <f t="shared" si="20"/>
        <v>1</v>
      </c>
      <c r="AA13" s="2">
        <f t="shared" si="21"/>
        <v>0</v>
      </c>
      <c r="AB13" s="2">
        <f t="shared" si="22"/>
        <v>0</v>
      </c>
      <c r="AC13" s="2">
        <f t="shared" si="23"/>
        <v>0</v>
      </c>
      <c r="AD13" s="2">
        <f t="shared" si="24"/>
        <v>0</v>
      </c>
      <c r="AE13" s="2" t="str">
        <f>IF(IFERROR(VLOOKUP($B13,Morning_Shift!$B$4:$BJ$61,MATCH(Both_Shift_Roster!AE$2,Morning_Shift!$B$2:$BJ$2,0),0),"")="",IFERROR(VLOOKUP($B13,Evening_Shift!$B$4:$BJ$62,MATCH(Both_Shift_Roster!AE$2,Evening_Shift!$B$2:$BJ$2,0),0),""),IFERROR(VLOOKUP($B13,Morning_Shift!$B$4:$BJ$61,MATCH(Both_Shift_Roster!AE$2,Morning_Shift!$B$2:$BJ$2,0),0),""))</f>
        <v>7:00-14:30</v>
      </c>
      <c r="AF13" s="2" t="str">
        <f>IF(IFERROR(VLOOKUP($B13,Morning_Shift!$B$4:$BJ$61,MATCH(Both_Shift_Roster!AF$2,Morning_Shift!$B$2:$BJ$2,0),0),"")="",IFERROR(VLOOKUP($B13,Evening_Shift!$B$4:$BJ$62,MATCH(Both_Shift_Roster!AF$2,Evening_Shift!$B$2:$BJ$2,0),0),""),IFERROR(VLOOKUP($B13,Morning_Shift!$B$4:$BJ$61,MATCH(Both_Shift_Roster!AF$2,Morning_Shift!$B$2:$BJ$2,0),0),""))</f>
        <v>7:00-14:30</v>
      </c>
      <c r="AG13" s="2" t="str">
        <f>IF(IFERROR(VLOOKUP($B13,Morning_Shift!$B$4:$BJ$61,MATCH(Both_Shift_Roster!AG$2,Morning_Shift!$B$2:$BJ$2,0),0),"")="",IFERROR(VLOOKUP($B13,Evening_Shift!$B$4:$BJ$62,MATCH(Both_Shift_Roster!AG$2,Evening_Shift!$B$2:$BJ$2,0),0),""),IFERROR(VLOOKUP($B13,Morning_Shift!$B$4:$BJ$61,MATCH(Both_Shift_Roster!AG$2,Morning_Shift!$B$2:$BJ$2,0),0),""))</f>
        <v>7:00-14:30</v>
      </c>
      <c r="AH13" s="2" t="str">
        <f>IF(IFERROR(VLOOKUP($B13,Morning_Shift!$B$4:$BJ$61,MATCH(Both_Shift_Roster!AH$2,Morning_Shift!$B$2:$BJ$2,0),0),"")="",IFERROR(VLOOKUP($B13,Evening_Shift!$B$4:$BJ$62,MATCH(Both_Shift_Roster!AH$2,Evening_Shift!$B$2:$BJ$2,0),0),""),IFERROR(VLOOKUP($B13,Morning_Shift!$B$4:$BJ$61,MATCH(Both_Shift_Roster!AH$2,Morning_Shift!$B$2:$BJ$2,0),0),""))</f>
        <v>7:00-14:30</v>
      </c>
      <c r="AI13" s="2" t="str">
        <f>IF(IFERROR(VLOOKUP($B13,Morning_Shift!$B$4:$BJ$61,MATCH(Both_Shift_Roster!AI$2,Morning_Shift!$B$2:$BJ$2,0),0),"")="",IFERROR(VLOOKUP($B13,Evening_Shift!$B$4:$BJ$62,MATCH(Both_Shift_Roster!AI$2,Evening_Shift!$B$2:$BJ$2,0),0),""),IFERROR(VLOOKUP($B13,Morning_Shift!$B$4:$BJ$61,MATCH(Both_Shift_Roster!AI$2,Morning_Shift!$B$2:$BJ$2,0),0),""))</f>
        <v>Agent Choice WO</v>
      </c>
      <c r="AJ13" s="2" t="str">
        <f>IF(IFERROR(VLOOKUP($B13,Morning_Shift!$B$4:$BJ$61,MATCH(Both_Shift_Roster!AJ$2,Morning_Shift!$B$2:$BJ$2,0),0),"")="",IFERROR(VLOOKUP($B13,Evening_Shift!$B$4:$BJ$62,MATCH(Both_Shift_Roster!AJ$2,Evening_Shift!$B$2:$BJ$2,0),0),""),IFERROR(VLOOKUP($B13,Morning_Shift!$B$4:$BJ$61,MATCH(Both_Shift_Roster!AJ$2,Morning_Shift!$B$2:$BJ$2,0),0),""))</f>
        <v>7:00-14:30</v>
      </c>
      <c r="AK13" s="2" t="str">
        <f>IF(IFERROR(VLOOKUP($B13,Morning_Shift!$B$4:$BJ$61,MATCH(Both_Shift_Roster!AK$2,Morning_Shift!$B$2:$BJ$2,0),0),"")="",IFERROR(VLOOKUP($B13,Evening_Shift!$B$4:$BJ$62,MATCH(Both_Shift_Roster!AK$2,Evening_Shift!$B$2:$BJ$2,0),0),""),IFERROR(VLOOKUP($B13,Morning_Shift!$B$4:$BJ$61,MATCH(Both_Shift_Roster!AK$2,Morning_Shift!$B$2:$BJ$2,0),0),""))</f>
        <v>7:00-14:30</v>
      </c>
      <c r="AL13" s="2">
        <f t="shared" si="25"/>
        <v>1</v>
      </c>
      <c r="AM13" s="2">
        <f t="shared" si="26"/>
        <v>0</v>
      </c>
      <c r="AN13" s="2">
        <f t="shared" si="27"/>
        <v>0</v>
      </c>
      <c r="AO13" s="2">
        <f t="shared" si="28"/>
        <v>0</v>
      </c>
      <c r="AP13" s="2">
        <f t="shared" si="29"/>
        <v>0</v>
      </c>
      <c r="AQ13" s="2" t="str">
        <f>IF(IFERROR(VLOOKUP($B13,Morning_Shift!$B$4:$BJ$61,MATCH(Both_Shift_Roster!AQ$2,Morning_Shift!$B$2:$BJ$2,0),0),"")="",IFERROR(VLOOKUP($B13,Evening_Shift!$B$4:$BJ$62,MATCH(Both_Shift_Roster!AQ$2,Evening_Shift!$B$2:$BJ$2,0),0),""),IFERROR(VLOOKUP($B13,Morning_Shift!$B$4:$BJ$61,MATCH(Both_Shift_Roster!AQ$2,Morning_Shift!$B$2:$BJ$2,0),0),""))</f>
        <v>7:00-14:30</v>
      </c>
      <c r="AR13" s="2" t="str">
        <f>IF(IFERROR(VLOOKUP($B13,Morning_Shift!$B$4:$BJ$61,MATCH(Both_Shift_Roster!AR$2,Morning_Shift!$B$2:$BJ$2,0),0),"")="",IFERROR(VLOOKUP($B13,Evening_Shift!$B$4:$BJ$62,MATCH(Both_Shift_Roster!AR$2,Evening_Shift!$B$2:$BJ$2,0),0),""),IFERROR(VLOOKUP($B13,Morning_Shift!$B$4:$BJ$61,MATCH(Both_Shift_Roster!AR$2,Morning_Shift!$B$2:$BJ$2,0),0),""))</f>
        <v>Agent Choice WO</v>
      </c>
      <c r="AS13" s="2" t="str">
        <f>IF(IFERROR(VLOOKUP($B13,Morning_Shift!$B$4:$BJ$61,MATCH(Both_Shift_Roster!AS$2,Morning_Shift!$B$2:$BJ$2,0),0),"")="",IFERROR(VLOOKUP($B13,Evening_Shift!$B$4:$BJ$62,MATCH(Both_Shift_Roster!AS$2,Evening_Shift!$B$2:$BJ$2,0),0),""),IFERROR(VLOOKUP($B13,Morning_Shift!$B$4:$BJ$61,MATCH(Both_Shift_Roster!AS$2,Morning_Shift!$B$2:$BJ$2,0),0),""))</f>
        <v>7:00-14:30</v>
      </c>
      <c r="AT13" s="2" t="str">
        <f>IF(IFERROR(VLOOKUP($B13,Morning_Shift!$B$4:$BJ$61,MATCH(Both_Shift_Roster!AT$2,Morning_Shift!$B$2:$BJ$2,0),0),"")="",IFERROR(VLOOKUP($B13,Evening_Shift!$B$4:$BJ$62,MATCH(Both_Shift_Roster!AT$2,Evening_Shift!$B$2:$BJ$2,0),0),""),IFERROR(VLOOKUP($B13,Morning_Shift!$B$4:$BJ$61,MATCH(Both_Shift_Roster!AT$2,Morning_Shift!$B$2:$BJ$2,0),0),""))</f>
        <v>7:00-14:30</v>
      </c>
      <c r="AU13" s="2" t="str">
        <f>IF(IFERROR(VLOOKUP($B13,Morning_Shift!$B$4:$BJ$61,MATCH(Both_Shift_Roster!AU$2,Morning_Shift!$B$2:$BJ$2,0),0),"")="",IFERROR(VLOOKUP($B13,Evening_Shift!$B$4:$BJ$62,MATCH(Both_Shift_Roster!AU$2,Evening_Shift!$B$2:$BJ$2,0),0),""),IFERROR(VLOOKUP($B13,Morning_Shift!$B$4:$BJ$61,MATCH(Both_Shift_Roster!AU$2,Morning_Shift!$B$2:$BJ$2,0),0),""))</f>
        <v>7:00-14:30</v>
      </c>
      <c r="AV13" s="2" t="str">
        <f>IF(IFERROR(VLOOKUP($B13,Morning_Shift!$B$4:$BJ$61,MATCH(Both_Shift_Roster!AV$2,Morning_Shift!$B$2:$BJ$2,0),0),"")="",IFERROR(VLOOKUP($B13,Evening_Shift!$B$4:$BJ$62,MATCH(Both_Shift_Roster!AV$2,Evening_Shift!$B$2:$BJ$2,0),0),""),IFERROR(VLOOKUP($B13,Morning_Shift!$B$4:$BJ$61,MATCH(Both_Shift_Roster!AV$2,Morning_Shift!$B$2:$BJ$2,0),0),""))</f>
        <v>7:00-14:30</v>
      </c>
      <c r="AW13" s="2" t="str">
        <f>IF(IFERROR(VLOOKUP($B13,Morning_Shift!$B$4:$BJ$61,MATCH(Both_Shift_Roster!AW$2,Morning_Shift!$B$2:$BJ$2,0),0),"")="",IFERROR(VLOOKUP($B13,Evening_Shift!$B$4:$BJ$62,MATCH(Both_Shift_Roster!AW$2,Evening_Shift!$B$2:$BJ$2,0),0),""),IFERROR(VLOOKUP($B13,Morning_Shift!$B$4:$BJ$61,MATCH(Both_Shift_Roster!AW$2,Morning_Shift!$B$2:$BJ$2,0),0),""))</f>
        <v>7:00-14:30</v>
      </c>
      <c r="AX13" s="2">
        <f t="shared" si="30"/>
        <v>1</v>
      </c>
      <c r="AY13" s="2">
        <f t="shared" si="31"/>
        <v>0</v>
      </c>
      <c r="AZ13" s="2">
        <f t="shared" si="32"/>
        <v>0</v>
      </c>
      <c r="BA13" s="2">
        <f t="shared" si="33"/>
        <v>0</v>
      </c>
      <c r="BB13" s="2">
        <f t="shared" si="34"/>
        <v>0</v>
      </c>
      <c r="BC13" s="2" t="str">
        <f>IF(IFERROR(VLOOKUP($B13,Morning_Shift!$B$4:$BJ$61,MATCH(Both_Shift_Roster!BC$2,Morning_Shift!$B$2:$BJ$2,0),0),"")="",IFERROR(VLOOKUP($B13,Evening_Shift!$B$4:$BJ$62,MATCH(Both_Shift_Roster!BC$2,Evening_Shift!$B$2:$BJ$2,0),0),""),IFERROR(VLOOKUP($B13,Morning_Shift!$B$4:$BJ$61,MATCH(Both_Shift_Roster!BC$2,Morning_Shift!$B$2:$BJ$2,0),0),""))</f>
        <v>7:00-14:30</v>
      </c>
      <c r="BD13" s="2" t="str">
        <f>IF(IFERROR(VLOOKUP($B13,Morning_Shift!$B$4:$BJ$61,MATCH(Both_Shift_Roster!BD$2,Morning_Shift!$B$2:$BJ$2,0),0),"")="",IFERROR(VLOOKUP($B13,Evening_Shift!$B$4:$BJ$62,MATCH(Both_Shift_Roster!BD$2,Evening_Shift!$B$2:$BJ$2,0),0),""),IFERROR(VLOOKUP($B13,Morning_Shift!$B$4:$BJ$61,MATCH(Both_Shift_Roster!BD$2,Morning_Shift!$B$2:$BJ$2,0),0),""))</f>
        <v>Agent Choice WO</v>
      </c>
      <c r="BE13" s="2" t="str">
        <f>IF(IFERROR(VLOOKUP($B13,Morning_Shift!$B$4:$BJ$61,MATCH(Both_Shift_Roster!BE$2,Morning_Shift!$B$2:$BJ$2,0),0),"")="",IFERROR(VLOOKUP($B13,Evening_Shift!$B$4:$BJ$59,MATCH(Both_Shift_Roster!BE$2,Evening_Shift!$B$2:$BJ$2,0),0),""),IFERROR(VLOOKUP($B13,Morning_Shift!$B$4:$BJ$61,MATCH(Both_Shift_Roster!BE$2,Morning_Shift!$B$2:$BJ$2,0),0),""))</f>
        <v>7:00-14:30</v>
      </c>
      <c r="BF13" s="2">
        <f t="shared" si="35"/>
        <v>1</v>
      </c>
      <c r="BG13" s="2">
        <f t="shared" si="36"/>
        <v>0</v>
      </c>
      <c r="BH13" s="2">
        <f t="shared" si="37"/>
        <v>0</v>
      </c>
      <c r="BI13" s="2">
        <f t="shared" si="38"/>
        <v>0</v>
      </c>
      <c r="BJ13" s="2">
        <f t="shared" si="39"/>
        <v>0</v>
      </c>
    </row>
    <row r="14" spans="1:62">
      <c r="A14" s="17">
        <f t="shared" si="40"/>
        <v>11</v>
      </c>
      <c r="B14" s="16" t="str">
        <f>Morning_Shift!$B14</f>
        <v>Dritm54</v>
      </c>
      <c r="C14" s="21" t="str">
        <f>IF(IFERROR(VLOOKUP(B14,Morning_Shift!B:C,2,0),"")="",IFERROR(VLOOKUP(B14,Evening_Shift!B:C,2,0),""),IFERROR(VLOOKUP(B14,Morning_Shift!B:C,2,0),""))</f>
        <v>Deepika Rana</v>
      </c>
      <c r="D14" s="15" t="str">
        <f>IF(IFERROR(VLOOKUP(B14,Morning_Shift!B:D,3,0),"")="",IFERROR(VLOOKUP(B14,Evening_Shift!B:D,3,0),""),IFERROR(VLOOKUP(B14,Morning_Shift!B:D,3,0),""))</f>
        <v>Naina</v>
      </c>
      <c r="E14" s="4" t="str">
        <f>IF(IFERROR(VLOOKUP(B14,Morning_Shift!B:E,4,0),"")="",IFERROR(VLOOKUP(B14,Evening_Shift!B:E,4,0),""),IFERROR(VLOOKUP(B14,Morning_Shift!B:E,4,0),""))</f>
        <v>F</v>
      </c>
      <c r="F14" s="5" t="str">
        <f>IF(IFERROR(VLOOKUP(B14,Morning_Shift!B:F,5,0),"")="",IFERROR(VLOOKUP(B14,Evening_Shift!B:F,5,0),""),IFERROR(VLOOKUP(B14,Morning_Shift!B:F,5,0),""))</f>
        <v>Inbound</v>
      </c>
      <c r="G14" s="2" t="str">
        <f>IF(IFERROR(VLOOKUP($B14,Morning_Shift!$B$4:$BJ$61,MATCH(Both_Shift_Roster!G$2,Morning_Shift!$B$2:$BJ$2,0),0),"")="",IFERROR(VLOOKUP($B14,Evening_Shift!$B$4:$BJ$62,MATCH(Both_Shift_Roster!G$2,Evening_Shift!$B$2:$BJ$2,0),0),""),IFERROR(VLOOKUP($B14,Morning_Shift!$B$4:$BJ$61,MATCH(Both_Shift_Roster!G$2,Morning_Shift!$B$2:$BJ$2,0),0),""))</f>
        <v>7:00-14:30</v>
      </c>
      <c r="H14" s="2" t="str">
        <f>IF(IFERROR(VLOOKUP($B14,Morning_Shift!$B$4:$BJ$61,MATCH(Both_Shift_Roster!H$2,Morning_Shift!$B$2:$BJ$2,0),0),"")="",IFERROR(VLOOKUP($B14,Evening_Shift!$B$4:$BJ$62,MATCH(Both_Shift_Roster!H$2,Evening_Shift!$B$2:$BJ$2,0),0),""),IFERROR(VLOOKUP($B14,Morning_Shift!$B$4:$BJ$61,MATCH(Both_Shift_Roster!H$2,Morning_Shift!$B$2:$BJ$2,0),0),""))</f>
        <v>7:00-14:30</v>
      </c>
      <c r="I14" s="2" t="str">
        <f>IF(IFERROR(VLOOKUP($B14,Morning_Shift!$B$4:$BJ$61,MATCH(Both_Shift_Roster!I$2,Morning_Shift!$B$2:$BJ$2,0),0),"")="",IFERROR(VLOOKUP($B14,Evening_Shift!$B$4:$BJ$62,MATCH(Both_Shift_Roster!I$2,Evening_Shift!$B$2:$BJ$2,0),0),""),IFERROR(VLOOKUP($B14,Morning_Shift!$B$4:$BJ$61,MATCH(Both_Shift_Roster!I$2,Morning_Shift!$B$2:$BJ$2,0),0),""))</f>
        <v>7:00-14:30</v>
      </c>
      <c r="J14" s="2" t="str">
        <f>IF(IFERROR(VLOOKUP($B14,Morning_Shift!$B$4:$BJ$61,MATCH(Both_Shift_Roster!J$2,Morning_Shift!$B$2:$BJ$2,0),0),"")="",IFERROR(VLOOKUP($B14,Evening_Shift!$B$4:$BJ$62,MATCH(Both_Shift_Roster!J$2,Evening_Shift!$B$2:$BJ$2,0),0),""),IFERROR(VLOOKUP($B14,Morning_Shift!$B$4:$BJ$61,MATCH(Both_Shift_Roster!J$2,Morning_Shift!$B$2:$BJ$2,0),0),""))</f>
        <v>7:00-14:30</v>
      </c>
      <c r="K14" s="2" t="str">
        <f>IF(IFERROR(VLOOKUP($B14,Morning_Shift!$B$4:$BJ$61,MATCH(Both_Shift_Roster!K$2,Morning_Shift!$B$2:$BJ$2,0),0),"")="",IFERROR(VLOOKUP($B14,Evening_Shift!$B$4:$BJ$62,MATCH(Both_Shift_Roster!K$2,Evening_Shift!$B$2:$BJ$2,0),0),""),IFERROR(VLOOKUP($B14,Morning_Shift!$B$4:$BJ$61,MATCH(Both_Shift_Roster!K$2,Morning_Shift!$B$2:$BJ$2,0),0),""))</f>
        <v>7:00-14:30</v>
      </c>
      <c r="L14" s="2" t="str">
        <f>IF(IFERROR(VLOOKUP($B14,Morning_Shift!$B$4:$BJ$61,MATCH(Both_Shift_Roster!L$2,Morning_Shift!$B$2:$BJ$2,0),0),"")="",IFERROR(VLOOKUP($B14,Evening_Shift!$B$4:$BJ$62,MATCH(Both_Shift_Roster!L$2,Evening_Shift!$B$2:$BJ$2,0),0),""),IFERROR(VLOOKUP($B14,Morning_Shift!$B$4:$BJ$61,MATCH(Both_Shift_Roster!L$2,Morning_Shift!$B$2:$BJ$2,0),0),""))</f>
        <v>7:00-14:30</v>
      </c>
      <c r="M14" s="2" t="str">
        <f>IF(IFERROR(VLOOKUP($B14,Morning_Shift!$B$4:$BJ$61,MATCH(Both_Shift_Roster!M$2,Morning_Shift!$B$2:$BJ$2,0),0),"")="",IFERROR(VLOOKUP($B14,Evening_Shift!$B$4:$BJ$62,MATCH(Both_Shift_Roster!M$2,Evening_Shift!$B$2:$BJ$2,0),0),""),IFERROR(VLOOKUP($B14,Morning_Shift!$B$4:$BJ$61,MATCH(Both_Shift_Roster!M$2,Morning_Shift!$B$2:$BJ$2,0),0),""))</f>
        <v>7:00-14:30</v>
      </c>
      <c r="N14" s="2">
        <f t="shared" si="15"/>
        <v>0</v>
      </c>
      <c r="O14" s="2">
        <f t="shared" si="16"/>
        <v>0</v>
      </c>
      <c r="P14" s="2">
        <f t="shared" si="17"/>
        <v>0</v>
      </c>
      <c r="Q14" s="2">
        <f t="shared" si="18"/>
        <v>0</v>
      </c>
      <c r="R14" s="2">
        <f t="shared" si="19"/>
        <v>0</v>
      </c>
      <c r="S14" s="2" t="str">
        <f>IF(IFERROR(VLOOKUP($B14,Morning_Shift!$B$4:$BJ$61,MATCH(Both_Shift_Roster!S$2,Morning_Shift!$B$2:$BJ$2,0),0),"")="",IFERROR(VLOOKUP($B14,Evening_Shift!$B$4:$BJ$62,MATCH(Both_Shift_Roster!S$2,Evening_Shift!$B$2:$BJ$2,0),0),""),IFERROR(VLOOKUP($B14,Morning_Shift!$B$4:$BJ$61,MATCH(Both_Shift_Roster!S$2,Morning_Shift!$B$2:$BJ$2,0),0),""))</f>
        <v>7:00-14:30</v>
      </c>
      <c r="T14" s="2" t="str">
        <f>IF(IFERROR(VLOOKUP($B14,Morning_Shift!$B$4:$BJ$61,MATCH(Both_Shift_Roster!T$2,Morning_Shift!$B$2:$BJ$2,0),0),"")="",IFERROR(VLOOKUP($B14,Evening_Shift!$B$4:$BJ$62,MATCH(Both_Shift_Roster!T$2,Evening_Shift!$B$2:$BJ$2,0),0),""),IFERROR(VLOOKUP($B14,Morning_Shift!$B$4:$BJ$61,MATCH(Both_Shift_Roster!T$2,Morning_Shift!$B$2:$BJ$2,0),0),""))</f>
        <v>7:00-14:30</v>
      </c>
      <c r="U14" s="2" t="str">
        <f>IF(IFERROR(VLOOKUP($B14,Morning_Shift!$B$4:$BJ$61,MATCH(Both_Shift_Roster!U$2,Morning_Shift!$B$2:$BJ$2,0),0),"")="",IFERROR(VLOOKUP($B14,Evening_Shift!$B$4:$BJ$62,MATCH(Both_Shift_Roster!U$2,Evening_Shift!$B$2:$BJ$2,0),0),""),IFERROR(VLOOKUP($B14,Morning_Shift!$B$4:$BJ$61,MATCH(Both_Shift_Roster!U$2,Morning_Shift!$B$2:$BJ$2,0),0),""))</f>
        <v>7:00-14:30</v>
      </c>
      <c r="V14" s="2" t="str">
        <f>IF(IFERROR(VLOOKUP($B14,Morning_Shift!$B$4:$BJ$61,MATCH(Both_Shift_Roster!V$2,Morning_Shift!$B$2:$BJ$2,0),0),"")="",IFERROR(VLOOKUP($B14,Evening_Shift!$B$4:$BJ$62,MATCH(Both_Shift_Roster!V$2,Evening_Shift!$B$2:$BJ$2,0),0),""),IFERROR(VLOOKUP($B14,Morning_Shift!$B$4:$BJ$61,MATCH(Both_Shift_Roster!V$2,Morning_Shift!$B$2:$BJ$2,0),0),""))</f>
        <v>Agent Choice WO</v>
      </c>
      <c r="W14" s="2" t="str">
        <f>IF(IFERROR(VLOOKUP($B14,Morning_Shift!$B$4:$BJ$61,MATCH(Both_Shift_Roster!W$2,Morning_Shift!$B$2:$BJ$2,0),0),"")="",IFERROR(VLOOKUP($B14,Evening_Shift!$B$4:$BJ$62,MATCH(Both_Shift_Roster!W$2,Evening_Shift!$B$2:$BJ$2,0),0),""),IFERROR(VLOOKUP($B14,Morning_Shift!$B$4:$BJ$61,MATCH(Both_Shift_Roster!W$2,Morning_Shift!$B$2:$BJ$2,0),0),""))</f>
        <v>7:00-14:30</v>
      </c>
      <c r="X14" s="2" t="str">
        <f>IF(IFERROR(VLOOKUP($B14,Morning_Shift!$B$4:$BJ$61,MATCH(Both_Shift_Roster!X$2,Morning_Shift!$B$2:$BJ$2,0),0),"")="",IFERROR(VLOOKUP($B14,Evening_Shift!$B$4:$BJ$62,MATCH(Both_Shift_Roster!X$2,Evening_Shift!$B$2:$BJ$2,0),0),""),IFERROR(VLOOKUP($B14,Morning_Shift!$B$4:$BJ$61,MATCH(Both_Shift_Roster!X$2,Morning_Shift!$B$2:$BJ$2,0),0),""))</f>
        <v>7:00-14:30</v>
      </c>
      <c r="Y14" s="2" t="str">
        <f>IF(IFERROR(VLOOKUP($B14,Morning_Shift!$B$4:$BJ$61,MATCH(Both_Shift_Roster!Y$2,Morning_Shift!$B$2:$BJ$2,0),0),"")="",IFERROR(VLOOKUP($B14,Evening_Shift!$B$4:$BJ$62,MATCH(Both_Shift_Roster!Y$2,Evening_Shift!$B$2:$BJ$2,0),0),""),IFERROR(VLOOKUP($B14,Morning_Shift!$B$4:$BJ$61,MATCH(Both_Shift_Roster!Y$2,Morning_Shift!$B$2:$BJ$2,0),0),""))</f>
        <v>7:00-14:30</v>
      </c>
      <c r="Z14" s="2">
        <f t="shared" si="20"/>
        <v>1</v>
      </c>
      <c r="AA14" s="2">
        <f t="shared" si="21"/>
        <v>0</v>
      </c>
      <c r="AB14" s="2">
        <f t="shared" si="22"/>
        <v>0</v>
      </c>
      <c r="AC14" s="2">
        <f t="shared" si="23"/>
        <v>0</v>
      </c>
      <c r="AD14" s="2">
        <f t="shared" si="24"/>
        <v>0</v>
      </c>
      <c r="AE14" s="2" t="str">
        <f>IF(IFERROR(VLOOKUP($B14,Morning_Shift!$B$4:$BJ$61,MATCH(Both_Shift_Roster!AE$2,Morning_Shift!$B$2:$BJ$2,0),0),"")="",IFERROR(VLOOKUP($B14,Evening_Shift!$B$4:$BJ$62,MATCH(Both_Shift_Roster!AE$2,Evening_Shift!$B$2:$BJ$2,0),0),""),IFERROR(VLOOKUP($B14,Morning_Shift!$B$4:$BJ$61,MATCH(Both_Shift_Roster!AE$2,Morning_Shift!$B$2:$BJ$2,0),0),""))</f>
        <v>7:00-14:30</v>
      </c>
      <c r="AF14" s="2" t="str">
        <f>IF(IFERROR(VLOOKUP($B14,Morning_Shift!$B$4:$BJ$61,MATCH(Both_Shift_Roster!AF$2,Morning_Shift!$B$2:$BJ$2,0),0),"")="",IFERROR(VLOOKUP($B14,Evening_Shift!$B$4:$BJ$62,MATCH(Both_Shift_Roster!AF$2,Evening_Shift!$B$2:$BJ$2,0),0),""),IFERROR(VLOOKUP($B14,Morning_Shift!$B$4:$BJ$61,MATCH(Both_Shift_Roster!AF$2,Morning_Shift!$B$2:$BJ$2,0),0),""))</f>
        <v>7:00-14:30</v>
      </c>
      <c r="AG14" s="2" t="str">
        <f>IF(IFERROR(VLOOKUP($B14,Morning_Shift!$B$4:$BJ$61,MATCH(Both_Shift_Roster!AG$2,Morning_Shift!$B$2:$BJ$2,0),0),"")="",IFERROR(VLOOKUP($B14,Evening_Shift!$B$4:$BJ$62,MATCH(Both_Shift_Roster!AG$2,Evening_Shift!$B$2:$BJ$2,0),0),""),IFERROR(VLOOKUP($B14,Morning_Shift!$B$4:$BJ$61,MATCH(Both_Shift_Roster!AG$2,Morning_Shift!$B$2:$BJ$2,0),0),""))</f>
        <v>7:00-14:30</v>
      </c>
      <c r="AH14" s="2" t="str">
        <f>IF(IFERROR(VLOOKUP($B14,Morning_Shift!$B$4:$BJ$61,MATCH(Both_Shift_Roster!AH$2,Morning_Shift!$B$2:$BJ$2,0),0),"")="",IFERROR(VLOOKUP($B14,Evening_Shift!$B$4:$BJ$62,MATCH(Both_Shift_Roster!AH$2,Evening_Shift!$B$2:$BJ$2,0),0),""),IFERROR(VLOOKUP($B14,Morning_Shift!$B$4:$BJ$61,MATCH(Both_Shift_Roster!AH$2,Morning_Shift!$B$2:$BJ$2,0),0),""))</f>
        <v>7:00-14:30</v>
      </c>
      <c r="AI14" s="2" t="str">
        <f>IF(IFERROR(VLOOKUP($B14,Morning_Shift!$B$4:$BJ$61,MATCH(Both_Shift_Roster!AI$2,Morning_Shift!$B$2:$BJ$2,0),0),"")="",IFERROR(VLOOKUP($B14,Evening_Shift!$B$4:$BJ$62,MATCH(Both_Shift_Roster!AI$2,Evening_Shift!$B$2:$BJ$2,0),0),""),IFERROR(VLOOKUP($B14,Morning_Shift!$B$4:$BJ$61,MATCH(Both_Shift_Roster!AI$2,Morning_Shift!$B$2:$BJ$2,0),0),""))</f>
        <v>7:00-14:30</v>
      </c>
      <c r="AJ14" s="2" t="str">
        <f>IF(IFERROR(VLOOKUP($B14,Morning_Shift!$B$4:$BJ$61,MATCH(Both_Shift_Roster!AJ$2,Morning_Shift!$B$2:$BJ$2,0),0),"")="",IFERROR(VLOOKUP($B14,Evening_Shift!$B$4:$BJ$62,MATCH(Both_Shift_Roster!AJ$2,Evening_Shift!$B$2:$BJ$2,0),0),""),IFERROR(VLOOKUP($B14,Morning_Shift!$B$4:$BJ$61,MATCH(Both_Shift_Roster!AJ$2,Morning_Shift!$B$2:$BJ$2,0),0),""))</f>
        <v>Agent Choice WO</v>
      </c>
      <c r="AK14" s="2" t="str">
        <f>IF(IFERROR(VLOOKUP($B14,Morning_Shift!$B$4:$BJ$61,MATCH(Both_Shift_Roster!AK$2,Morning_Shift!$B$2:$BJ$2,0),0),"")="",IFERROR(VLOOKUP($B14,Evening_Shift!$B$4:$BJ$62,MATCH(Both_Shift_Roster!AK$2,Evening_Shift!$B$2:$BJ$2,0),0),""),IFERROR(VLOOKUP($B14,Morning_Shift!$B$4:$BJ$61,MATCH(Both_Shift_Roster!AK$2,Morning_Shift!$B$2:$BJ$2,0),0),""))</f>
        <v>Agent Choice WO</v>
      </c>
      <c r="AL14" s="2">
        <f t="shared" si="25"/>
        <v>2</v>
      </c>
      <c r="AM14" s="2">
        <f t="shared" si="26"/>
        <v>0</v>
      </c>
      <c r="AN14" s="2">
        <f t="shared" si="27"/>
        <v>0</v>
      </c>
      <c r="AO14" s="2">
        <f t="shared" si="28"/>
        <v>0</v>
      </c>
      <c r="AP14" s="2">
        <f t="shared" si="29"/>
        <v>0</v>
      </c>
      <c r="AQ14" s="2" t="str">
        <f>IF(IFERROR(VLOOKUP($B14,Morning_Shift!$B$4:$BJ$61,MATCH(Both_Shift_Roster!AQ$2,Morning_Shift!$B$2:$BJ$2,0),0),"")="",IFERROR(VLOOKUP($B14,Evening_Shift!$B$4:$BJ$62,MATCH(Both_Shift_Roster!AQ$2,Evening_Shift!$B$2:$BJ$2,0),0),""),IFERROR(VLOOKUP($B14,Morning_Shift!$B$4:$BJ$61,MATCH(Both_Shift_Roster!AQ$2,Morning_Shift!$B$2:$BJ$2,0),0),""))</f>
        <v>Agent Choice WO</v>
      </c>
      <c r="AR14" s="2" t="str">
        <f>IF(IFERROR(VLOOKUP($B14,Morning_Shift!$B$4:$BJ$61,MATCH(Both_Shift_Roster!AR$2,Morning_Shift!$B$2:$BJ$2,0),0),"")="",IFERROR(VLOOKUP($B14,Evening_Shift!$B$4:$BJ$62,MATCH(Both_Shift_Roster!AR$2,Evening_Shift!$B$2:$BJ$2,0),0),""),IFERROR(VLOOKUP($B14,Morning_Shift!$B$4:$BJ$61,MATCH(Both_Shift_Roster!AR$2,Morning_Shift!$B$2:$BJ$2,0),0),""))</f>
        <v>CL</v>
      </c>
      <c r="AS14" s="2" t="str">
        <f>IF(IFERROR(VLOOKUP($B14,Morning_Shift!$B$4:$BJ$61,MATCH(Both_Shift_Roster!AS$2,Morning_Shift!$B$2:$BJ$2,0),0),"")="",IFERROR(VLOOKUP($B14,Evening_Shift!$B$4:$BJ$62,MATCH(Both_Shift_Roster!AS$2,Evening_Shift!$B$2:$BJ$2,0),0),""),IFERROR(VLOOKUP($B14,Morning_Shift!$B$4:$BJ$61,MATCH(Both_Shift_Roster!AS$2,Morning_Shift!$B$2:$BJ$2,0),0),""))</f>
        <v>7:00-14:30</v>
      </c>
      <c r="AT14" s="2" t="str">
        <f>IF(IFERROR(VLOOKUP($B14,Morning_Shift!$B$4:$BJ$61,MATCH(Both_Shift_Roster!AT$2,Morning_Shift!$B$2:$BJ$2,0),0),"")="",IFERROR(VLOOKUP($B14,Evening_Shift!$B$4:$BJ$62,MATCH(Both_Shift_Roster!AT$2,Evening_Shift!$B$2:$BJ$2,0),0),""),IFERROR(VLOOKUP($B14,Morning_Shift!$B$4:$BJ$61,MATCH(Both_Shift_Roster!AT$2,Morning_Shift!$B$2:$BJ$2,0),0),""))</f>
        <v>7:00-14:30</v>
      </c>
      <c r="AU14" s="2" t="str">
        <f>IF(IFERROR(VLOOKUP($B14,Morning_Shift!$B$4:$BJ$61,MATCH(Both_Shift_Roster!AU$2,Morning_Shift!$B$2:$BJ$2,0),0),"")="",IFERROR(VLOOKUP($B14,Evening_Shift!$B$4:$BJ$62,MATCH(Both_Shift_Roster!AU$2,Evening_Shift!$B$2:$BJ$2,0),0),""),IFERROR(VLOOKUP($B14,Morning_Shift!$B$4:$BJ$61,MATCH(Both_Shift_Roster!AU$2,Morning_Shift!$B$2:$BJ$2,0),0),""))</f>
        <v>7:00-14:30</v>
      </c>
      <c r="AV14" s="2" t="str">
        <f>IF(IFERROR(VLOOKUP($B14,Morning_Shift!$B$4:$BJ$61,MATCH(Both_Shift_Roster!AV$2,Morning_Shift!$B$2:$BJ$2,0),0),"")="",IFERROR(VLOOKUP($B14,Evening_Shift!$B$4:$BJ$62,MATCH(Both_Shift_Roster!AV$2,Evening_Shift!$B$2:$BJ$2,0),0),""),IFERROR(VLOOKUP($B14,Morning_Shift!$B$4:$BJ$61,MATCH(Both_Shift_Roster!AV$2,Morning_Shift!$B$2:$BJ$2,0),0),""))</f>
        <v>7:00-14:30</v>
      </c>
      <c r="AW14" s="2" t="str">
        <f>IF(IFERROR(VLOOKUP($B14,Morning_Shift!$B$4:$BJ$61,MATCH(Both_Shift_Roster!AW$2,Morning_Shift!$B$2:$BJ$2,0),0),"")="",IFERROR(VLOOKUP($B14,Evening_Shift!$B$4:$BJ$62,MATCH(Both_Shift_Roster!AW$2,Evening_Shift!$B$2:$BJ$2,0),0),""),IFERROR(VLOOKUP($B14,Morning_Shift!$B$4:$BJ$61,MATCH(Both_Shift_Roster!AW$2,Morning_Shift!$B$2:$BJ$2,0),0),""))</f>
        <v>7:00-14:30</v>
      </c>
      <c r="AX14" s="2">
        <f t="shared" si="30"/>
        <v>1</v>
      </c>
      <c r="AY14" s="2">
        <f t="shared" si="31"/>
        <v>0</v>
      </c>
      <c r="AZ14" s="2">
        <f t="shared" si="32"/>
        <v>1</v>
      </c>
      <c r="BA14" s="2">
        <f t="shared" si="33"/>
        <v>0</v>
      </c>
      <c r="BB14" s="2">
        <f t="shared" si="34"/>
        <v>0</v>
      </c>
      <c r="BC14" s="2" t="str">
        <f>IF(IFERROR(VLOOKUP($B14,Morning_Shift!$B$4:$BJ$61,MATCH(Both_Shift_Roster!BC$2,Morning_Shift!$B$2:$BJ$2,0),0),"")="",IFERROR(VLOOKUP($B14,Evening_Shift!$B$4:$BJ$62,MATCH(Both_Shift_Roster!BC$2,Evening_Shift!$B$2:$BJ$2,0),0),""),IFERROR(VLOOKUP($B14,Morning_Shift!$B$4:$BJ$61,MATCH(Both_Shift_Roster!BC$2,Morning_Shift!$B$2:$BJ$2,0),0),""))</f>
        <v>7:00-14:30</v>
      </c>
      <c r="BD14" s="2" t="str">
        <f>IF(IFERROR(VLOOKUP($B14,Morning_Shift!$B$4:$BJ$61,MATCH(Both_Shift_Roster!BD$2,Morning_Shift!$B$2:$BJ$2,0),0),"")="",IFERROR(VLOOKUP($B14,Evening_Shift!$B$4:$BJ$62,MATCH(Both_Shift_Roster!BD$2,Evening_Shift!$B$2:$BJ$2,0),0),""),IFERROR(VLOOKUP($B14,Morning_Shift!$B$4:$BJ$61,MATCH(Both_Shift_Roster!BD$2,Morning_Shift!$B$2:$BJ$2,0),0),""))</f>
        <v>7:00-14:30</v>
      </c>
      <c r="BE14" s="2" t="str">
        <f>IF(IFERROR(VLOOKUP($B14,Morning_Shift!$B$4:$BJ$61,MATCH(Both_Shift_Roster!BE$2,Morning_Shift!$B$2:$BJ$2,0),0),"")="",IFERROR(VLOOKUP($B14,Evening_Shift!$B$4:$BJ$59,MATCH(Both_Shift_Roster!BE$2,Evening_Shift!$B$2:$BJ$2,0),0),""),IFERROR(VLOOKUP($B14,Morning_Shift!$B$4:$BJ$61,MATCH(Both_Shift_Roster!BE$2,Morning_Shift!$B$2:$BJ$2,0),0),""))</f>
        <v>7:00-14:30</v>
      </c>
      <c r="BF14" s="2">
        <f t="shared" si="35"/>
        <v>0</v>
      </c>
      <c r="BG14" s="2">
        <f t="shared" si="36"/>
        <v>0</v>
      </c>
      <c r="BH14" s="2">
        <f t="shared" si="37"/>
        <v>0</v>
      </c>
      <c r="BI14" s="2">
        <f t="shared" si="38"/>
        <v>0</v>
      </c>
      <c r="BJ14" s="2">
        <f t="shared" si="39"/>
        <v>0</v>
      </c>
    </row>
    <row r="15" spans="1:62">
      <c r="A15" s="17">
        <f t="shared" si="40"/>
        <v>12</v>
      </c>
      <c r="B15" s="16" t="str">
        <f>Morning_Shift!$B15</f>
        <v>Dritm16</v>
      </c>
      <c r="C15" s="21" t="str">
        <f>IF(IFERROR(VLOOKUP(B15,Morning_Shift!B:C,2,0),"")="",IFERROR(VLOOKUP(B15,Evening_Shift!B:C,2,0),""),IFERROR(VLOOKUP(B15,Morning_Shift!B:C,2,0),""))</f>
        <v>Deepti Mattu</v>
      </c>
      <c r="D15" s="15" t="str">
        <f>IF(IFERROR(VLOOKUP(B15,Morning_Shift!B:D,3,0),"")="",IFERROR(VLOOKUP(B15,Evening_Shift!B:D,3,0),""),IFERROR(VLOOKUP(B15,Morning_Shift!B:D,3,0),""))</f>
        <v>Naina</v>
      </c>
      <c r="E15" s="4" t="str">
        <f>IF(IFERROR(VLOOKUP(B15,Morning_Shift!B:E,4,0),"")="",IFERROR(VLOOKUP(B15,Evening_Shift!B:E,4,0),""),IFERROR(VLOOKUP(B15,Morning_Shift!B:E,4,0),""))</f>
        <v>F</v>
      </c>
      <c r="F15" s="5" t="str">
        <f>IF(IFERROR(VLOOKUP(B15,Morning_Shift!B:F,5,0),"")="",IFERROR(VLOOKUP(B15,Evening_Shift!B:F,5,0),""),IFERROR(VLOOKUP(B15,Morning_Shift!B:F,5,0),""))</f>
        <v>Himseva manual preview</v>
      </c>
      <c r="G15" s="2" t="str">
        <f>IF(IFERROR(VLOOKUP($B15,Morning_Shift!$B$4:$BJ$61,MATCH(Both_Shift_Roster!G$2,Morning_Shift!$B$2:$BJ$2,0),0),"")="",IFERROR(VLOOKUP($B15,Evening_Shift!$B$4:$BJ$62,MATCH(Both_Shift_Roster!G$2,Evening_Shift!$B$2:$BJ$2,0),0),""),IFERROR(VLOOKUP($B15,Morning_Shift!$B$4:$BJ$61,MATCH(Both_Shift_Roster!G$2,Morning_Shift!$B$2:$BJ$2,0),0),""))</f>
        <v>7:00-14:30</v>
      </c>
      <c r="H15" s="2" t="str">
        <f>IF(IFERROR(VLOOKUP($B15,Morning_Shift!$B$4:$BJ$61,MATCH(Both_Shift_Roster!H$2,Morning_Shift!$B$2:$BJ$2,0),0),"")="",IFERROR(VLOOKUP($B15,Evening_Shift!$B$4:$BJ$62,MATCH(Both_Shift_Roster!H$2,Evening_Shift!$B$2:$BJ$2,0),0),""),IFERROR(VLOOKUP($B15,Morning_Shift!$B$4:$BJ$61,MATCH(Both_Shift_Roster!H$2,Morning_Shift!$B$2:$BJ$2,0),0),""))</f>
        <v>7:00-14:30</v>
      </c>
      <c r="I15" s="2" t="str">
        <f>IF(IFERROR(VLOOKUP($B15,Morning_Shift!$B$4:$BJ$61,MATCH(Both_Shift_Roster!I$2,Morning_Shift!$B$2:$BJ$2,0),0),"")="",IFERROR(VLOOKUP($B15,Evening_Shift!$B$4:$BJ$62,MATCH(Both_Shift_Roster!I$2,Evening_Shift!$B$2:$BJ$2,0),0),""),IFERROR(VLOOKUP($B15,Morning_Shift!$B$4:$BJ$61,MATCH(Both_Shift_Roster!I$2,Morning_Shift!$B$2:$BJ$2,0),0),""))</f>
        <v>7:00-14:30</v>
      </c>
      <c r="J15" s="2" t="str">
        <f>IF(IFERROR(VLOOKUP($B15,Morning_Shift!$B$4:$BJ$61,MATCH(Both_Shift_Roster!J$2,Morning_Shift!$B$2:$BJ$2,0),0),"")="",IFERROR(VLOOKUP($B15,Evening_Shift!$B$4:$BJ$62,MATCH(Both_Shift_Roster!J$2,Evening_Shift!$B$2:$BJ$2,0),0),""),IFERROR(VLOOKUP($B15,Morning_Shift!$B$4:$BJ$61,MATCH(Both_Shift_Roster!J$2,Morning_Shift!$B$2:$BJ$2,0),0),""))</f>
        <v>7:00-14:30</v>
      </c>
      <c r="K15" s="2" t="str">
        <f>IF(IFERROR(VLOOKUP($B15,Morning_Shift!$B$4:$BJ$61,MATCH(Both_Shift_Roster!K$2,Morning_Shift!$B$2:$BJ$2,0),0),"")="",IFERROR(VLOOKUP($B15,Evening_Shift!$B$4:$BJ$62,MATCH(Both_Shift_Roster!K$2,Evening_Shift!$B$2:$BJ$2,0),0),""),IFERROR(VLOOKUP($B15,Morning_Shift!$B$4:$BJ$61,MATCH(Both_Shift_Roster!K$2,Morning_Shift!$B$2:$BJ$2,0),0),""))</f>
        <v>7:00-14:30</v>
      </c>
      <c r="L15" s="2" t="str">
        <f>IF(IFERROR(VLOOKUP($B15,Morning_Shift!$B$4:$BJ$61,MATCH(Both_Shift_Roster!L$2,Morning_Shift!$B$2:$BJ$2,0),0),"")="",IFERROR(VLOOKUP($B15,Evening_Shift!$B$4:$BJ$62,MATCH(Both_Shift_Roster!L$2,Evening_Shift!$B$2:$BJ$2,0),0),""),IFERROR(VLOOKUP($B15,Morning_Shift!$B$4:$BJ$61,MATCH(Both_Shift_Roster!L$2,Morning_Shift!$B$2:$BJ$2,0),0),""))</f>
        <v>7:00-14:30</v>
      </c>
      <c r="M15" s="2" t="str">
        <f>IF(IFERROR(VLOOKUP($B15,Morning_Shift!$B$4:$BJ$61,MATCH(Both_Shift_Roster!M$2,Morning_Shift!$B$2:$BJ$2,0),0),"")="",IFERROR(VLOOKUP($B15,Evening_Shift!$B$4:$BJ$62,MATCH(Both_Shift_Roster!M$2,Evening_Shift!$B$2:$BJ$2,0),0),""),IFERROR(VLOOKUP($B15,Morning_Shift!$B$4:$BJ$61,MATCH(Both_Shift_Roster!M$2,Morning_Shift!$B$2:$BJ$2,0),0),""))</f>
        <v>7:00-14:30</v>
      </c>
      <c r="N15" s="2">
        <f t="shared" si="15"/>
        <v>0</v>
      </c>
      <c r="O15" s="2">
        <f t="shared" si="16"/>
        <v>0</v>
      </c>
      <c r="P15" s="2">
        <f t="shared" si="17"/>
        <v>0</v>
      </c>
      <c r="Q15" s="2">
        <f t="shared" si="18"/>
        <v>0</v>
      </c>
      <c r="R15" s="2">
        <f t="shared" si="19"/>
        <v>0</v>
      </c>
      <c r="S15" s="2" t="str">
        <f>IF(IFERROR(VLOOKUP($B15,Morning_Shift!$B$4:$BJ$61,MATCH(Both_Shift_Roster!S$2,Morning_Shift!$B$2:$BJ$2,0),0),"")="",IFERROR(VLOOKUP($B15,Evening_Shift!$B$4:$BJ$62,MATCH(Both_Shift_Roster!S$2,Evening_Shift!$B$2:$BJ$2,0),0),""),IFERROR(VLOOKUP($B15,Morning_Shift!$B$4:$BJ$61,MATCH(Both_Shift_Roster!S$2,Morning_Shift!$B$2:$BJ$2,0),0),""))</f>
        <v>7:00-14:30</v>
      </c>
      <c r="T15" s="2" t="str">
        <f>IF(IFERROR(VLOOKUP($B15,Morning_Shift!$B$4:$BJ$61,MATCH(Both_Shift_Roster!T$2,Morning_Shift!$B$2:$BJ$2,0),0),"")="",IFERROR(VLOOKUP($B15,Evening_Shift!$B$4:$BJ$62,MATCH(Both_Shift_Roster!T$2,Evening_Shift!$B$2:$BJ$2,0),0),""),IFERROR(VLOOKUP($B15,Morning_Shift!$B$4:$BJ$61,MATCH(Both_Shift_Roster!T$2,Morning_Shift!$B$2:$BJ$2,0),0),""))</f>
        <v>7:00-14:30</v>
      </c>
      <c r="U15" s="2" t="str">
        <f>IF(IFERROR(VLOOKUP($B15,Morning_Shift!$B$4:$BJ$61,MATCH(Both_Shift_Roster!U$2,Morning_Shift!$B$2:$BJ$2,0),0),"")="",IFERROR(VLOOKUP($B15,Evening_Shift!$B$4:$BJ$62,MATCH(Both_Shift_Roster!U$2,Evening_Shift!$B$2:$BJ$2,0),0),""),IFERROR(VLOOKUP($B15,Morning_Shift!$B$4:$BJ$61,MATCH(Both_Shift_Roster!U$2,Morning_Shift!$B$2:$BJ$2,0),0),""))</f>
        <v>Agent Choice WO</v>
      </c>
      <c r="V15" s="2" t="str">
        <f>IF(IFERROR(VLOOKUP($B15,Morning_Shift!$B$4:$BJ$61,MATCH(Both_Shift_Roster!V$2,Morning_Shift!$B$2:$BJ$2,0),0),"")="",IFERROR(VLOOKUP($B15,Evening_Shift!$B$4:$BJ$62,MATCH(Both_Shift_Roster!V$2,Evening_Shift!$B$2:$BJ$2,0),0),""),IFERROR(VLOOKUP($B15,Morning_Shift!$B$4:$BJ$61,MATCH(Both_Shift_Roster!V$2,Morning_Shift!$B$2:$BJ$2,0),0),""))</f>
        <v>7:00-14:30</v>
      </c>
      <c r="W15" s="2" t="str">
        <f>IF(IFERROR(VLOOKUP($B15,Morning_Shift!$B$4:$BJ$61,MATCH(Both_Shift_Roster!W$2,Morning_Shift!$B$2:$BJ$2,0),0),"")="",IFERROR(VLOOKUP($B15,Evening_Shift!$B$4:$BJ$62,MATCH(Both_Shift_Roster!W$2,Evening_Shift!$B$2:$BJ$2,0),0),""),IFERROR(VLOOKUP($B15,Morning_Shift!$B$4:$BJ$61,MATCH(Both_Shift_Roster!W$2,Morning_Shift!$B$2:$BJ$2,0),0),""))</f>
        <v>7:00-14:30</v>
      </c>
      <c r="X15" s="2" t="str">
        <f>IF(IFERROR(VLOOKUP($B15,Morning_Shift!$B$4:$BJ$61,MATCH(Both_Shift_Roster!X$2,Morning_Shift!$B$2:$BJ$2,0),0),"")="",IFERROR(VLOOKUP($B15,Evening_Shift!$B$4:$BJ$62,MATCH(Both_Shift_Roster!X$2,Evening_Shift!$B$2:$BJ$2,0),0),""),IFERROR(VLOOKUP($B15,Morning_Shift!$B$4:$BJ$61,MATCH(Both_Shift_Roster!X$2,Morning_Shift!$B$2:$BJ$2,0),0),""))</f>
        <v>7:00-14:30</v>
      </c>
      <c r="Y15" s="2" t="str">
        <f>IF(IFERROR(VLOOKUP($B15,Morning_Shift!$B$4:$BJ$61,MATCH(Both_Shift_Roster!Y$2,Morning_Shift!$B$2:$BJ$2,0),0),"")="",IFERROR(VLOOKUP($B15,Evening_Shift!$B$4:$BJ$62,MATCH(Both_Shift_Roster!Y$2,Evening_Shift!$B$2:$BJ$2,0),0),""),IFERROR(VLOOKUP($B15,Morning_Shift!$B$4:$BJ$61,MATCH(Both_Shift_Roster!Y$2,Morning_Shift!$B$2:$BJ$2,0),0),""))</f>
        <v>7:00-14:30</v>
      </c>
      <c r="Z15" s="2">
        <f t="shared" si="20"/>
        <v>1</v>
      </c>
      <c r="AA15" s="2">
        <f t="shared" si="21"/>
        <v>0</v>
      </c>
      <c r="AB15" s="2">
        <f t="shared" si="22"/>
        <v>0</v>
      </c>
      <c r="AC15" s="2">
        <f t="shared" si="23"/>
        <v>0</v>
      </c>
      <c r="AD15" s="2">
        <f t="shared" si="24"/>
        <v>0</v>
      </c>
      <c r="AE15" s="2" t="str">
        <f>IF(IFERROR(VLOOKUP($B15,Morning_Shift!$B$4:$BJ$61,MATCH(Both_Shift_Roster!AE$2,Morning_Shift!$B$2:$BJ$2,0),0),"")="",IFERROR(VLOOKUP($B15,Evening_Shift!$B$4:$BJ$62,MATCH(Both_Shift_Roster!AE$2,Evening_Shift!$B$2:$BJ$2,0),0),""),IFERROR(VLOOKUP($B15,Morning_Shift!$B$4:$BJ$61,MATCH(Both_Shift_Roster!AE$2,Morning_Shift!$B$2:$BJ$2,0),0),""))</f>
        <v>7:00-14:30</v>
      </c>
      <c r="AF15" s="2" t="str">
        <f>IF(IFERROR(VLOOKUP($B15,Morning_Shift!$B$4:$BJ$61,MATCH(Both_Shift_Roster!AF$2,Morning_Shift!$B$2:$BJ$2,0),0),"")="",IFERROR(VLOOKUP($B15,Evening_Shift!$B$4:$BJ$62,MATCH(Both_Shift_Roster!AF$2,Evening_Shift!$B$2:$BJ$2,0),0),""),IFERROR(VLOOKUP($B15,Morning_Shift!$B$4:$BJ$61,MATCH(Both_Shift_Roster!AF$2,Morning_Shift!$B$2:$BJ$2,0),0),""))</f>
        <v>7:00-14:30</v>
      </c>
      <c r="AG15" s="2" t="str">
        <f>IF(IFERROR(VLOOKUP($B15,Morning_Shift!$B$4:$BJ$61,MATCH(Both_Shift_Roster!AG$2,Morning_Shift!$B$2:$BJ$2,0),0),"")="",IFERROR(VLOOKUP($B15,Evening_Shift!$B$4:$BJ$62,MATCH(Both_Shift_Roster!AG$2,Evening_Shift!$B$2:$BJ$2,0),0),""),IFERROR(VLOOKUP($B15,Morning_Shift!$B$4:$BJ$61,MATCH(Both_Shift_Roster!AG$2,Morning_Shift!$B$2:$BJ$2,0),0),""))</f>
        <v>Agent Choice WO</v>
      </c>
      <c r="AH15" s="2" t="str">
        <f>IF(IFERROR(VLOOKUP($B15,Morning_Shift!$B$4:$BJ$61,MATCH(Both_Shift_Roster!AH$2,Morning_Shift!$B$2:$BJ$2,0),0),"")="",IFERROR(VLOOKUP($B15,Evening_Shift!$B$4:$BJ$62,MATCH(Both_Shift_Roster!AH$2,Evening_Shift!$B$2:$BJ$2,0),0),""),IFERROR(VLOOKUP($B15,Morning_Shift!$B$4:$BJ$61,MATCH(Both_Shift_Roster!AH$2,Morning_Shift!$B$2:$BJ$2,0),0),""))</f>
        <v>7:00-14:30</v>
      </c>
      <c r="AI15" s="2" t="str">
        <f>IF(IFERROR(VLOOKUP($B15,Morning_Shift!$B$4:$BJ$61,MATCH(Both_Shift_Roster!AI$2,Morning_Shift!$B$2:$BJ$2,0),0),"")="",IFERROR(VLOOKUP($B15,Evening_Shift!$B$4:$BJ$62,MATCH(Both_Shift_Roster!AI$2,Evening_Shift!$B$2:$BJ$2,0),0),""),IFERROR(VLOOKUP($B15,Morning_Shift!$B$4:$BJ$61,MATCH(Both_Shift_Roster!AI$2,Morning_Shift!$B$2:$BJ$2,0),0),""))</f>
        <v>7:00-14:30</v>
      </c>
      <c r="AJ15" s="2" t="str">
        <f>IF(IFERROR(VLOOKUP($B15,Morning_Shift!$B$4:$BJ$61,MATCH(Both_Shift_Roster!AJ$2,Morning_Shift!$B$2:$BJ$2,0),0),"")="",IFERROR(VLOOKUP($B15,Evening_Shift!$B$4:$BJ$62,MATCH(Both_Shift_Roster!AJ$2,Evening_Shift!$B$2:$BJ$2,0),0),""),IFERROR(VLOOKUP($B15,Morning_Shift!$B$4:$BJ$61,MATCH(Both_Shift_Roster!AJ$2,Morning_Shift!$B$2:$BJ$2,0),0),""))</f>
        <v>7:00-14:30</v>
      </c>
      <c r="AK15" s="2" t="str">
        <f>IF(IFERROR(VLOOKUP($B15,Morning_Shift!$B$4:$BJ$61,MATCH(Both_Shift_Roster!AK$2,Morning_Shift!$B$2:$BJ$2,0),0),"")="",IFERROR(VLOOKUP($B15,Evening_Shift!$B$4:$BJ$62,MATCH(Both_Shift_Roster!AK$2,Evening_Shift!$B$2:$BJ$2,0),0),""),IFERROR(VLOOKUP($B15,Morning_Shift!$B$4:$BJ$61,MATCH(Both_Shift_Roster!AK$2,Morning_Shift!$B$2:$BJ$2,0),0),""))</f>
        <v>7:00-14:30</v>
      </c>
      <c r="AL15" s="2">
        <f t="shared" si="25"/>
        <v>1</v>
      </c>
      <c r="AM15" s="2">
        <f t="shared" si="26"/>
        <v>0</v>
      </c>
      <c r="AN15" s="2">
        <f t="shared" si="27"/>
        <v>0</v>
      </c>
      <c r="AO15" s="2">
        <f t="shared" si="28"/>
        <v>0</v>
      </c>
      <c r="AP15" s="2">
        <f t="shared" si="29"/>
        <v>0</v>
      </c>
      <c r="AQ15" s="2" t="str">
        <f>IF(IFERROR(VLOOKUP($B15,Morning_Shift!$B$4:$BJ$61,MATCH(Both_Shift_Roster!AQ$2,Morning_Shift!$B$2:$BJ$2,0),0),"")="",IFERROR(VLOOKUP($B15,Evening_Shift!$B$4:$BJ$62,MATCH(Both_Shift_Roster!AQ$2,Evening_Shift!$B$2:$BJ$2,0),0),""),IFERROR(VLOOKUP($B15,Morning_Shift!$B$4:$BJ$61,MATCH(Both_Shift_Roster!AQ$2,Morning_Shift!$B$2:$BJ$2,0),0),""))</f>
        <v>7:00-14:30</v>
      </c>
      <c r="AR15" s="2" t="str">
        <f>IF(IFERROR(VLOOKUP($B15,Morning_Shift!$B$4:$BJ$61,MATCH(Both_Shift_Roster!AR$2,Morning_Shift!$B$2:$BJ$2,0),0),"")="",IFERROR(VLOOKUP($B15,Evening_Shift!$B$4:$BJ$62,MATCH(Both_Shift_Roster!AR$2,Evening_Shift!$B$2:$BJ$2,0),0),""),IFERROR(VLOOKUP($B15,Morning_Shift!$B$4:$BJ$61,MATCH(Both_Shift_Roster!AR$2,Morning_Shift!$B$2:$BJ$2,0),0),""))</f>
        <v>7:00-14:30</v>
      </c>
      <c r="AS15" s="2" t="str">
        <f>IF(IFERROR(VLOOKUP($B15,Morning_Shift!$B$4:$BJ$61,MATCH(Both_Shift_Roster!AS$2,Morning_Shift!$B$2:$BJ$2,0),0),"")="",IFERROR(VLOOKUP($B15,Evening_Shift!$B$4:$BJ$62,MATCH(Both_Shift_Roster!AS$2,Evening_Shift!$B$2:$BJ$2,0),0),""),IFERROR(VLOOKUP($B15,Morning_Shift!$B$4:$BJ$61,MATCH(Both_Shift_Roster!AS$2,Morning_Shift!$B$2:$BJ$2,0),0),""))</f>
        <v>7:00-14:30</v>
      </c>
      <c r="AT15" s="2" t="str">
        <f>IF(IFERROR(VLOOKUP($B15,Morning_Shift!$B$4:$BJ$61,MATCH(Both_Shift_Roster!AT$2,Morning_Shift!$B$2:$BJ$2,0),0),"")="",IFERROR(VLOOKUP($B15,Evening_Shift!$B$4:$BJ$62,MATCH(Both_Shift_Roster!AT$2,Evening_Shift!$B$2:$BJ$2,0),0),""),IFERROR(VLOOKUP($B15,Morning_Shift!$B$4:$BJ$61,MATCH(Both_Shift_Roster!AT$2,Morning_Shift!$B$2:$BJ$2,0),0),""))</f>
        <v>Agent Choice WO</v>
      </c>
      <c r="AU15" s="2" t="str">
        <f>IF(IFERROR(VLOOKUP($B15,Morning_Shift!$B$4:$BJ$61,MATCH(Both_Shift_Roster!AU$2,Morning_Shift!$B$2:$BJ$2,0),0),"")="",IFERROR(VLOOKUP($B15,Evening_Shift!$B$4:$BJ$62,MATCH(Both_Shift_Roster!AU$2,Evening_Shift!$B$2:$BJ$2,0),0),""),IFERROR(VLOOKUP($B15,Morning_Shift!$B$4:$BJ$61,MATCH(Both_Shift_Roster!AU$2,Morning_Shift!$B$2:$BJ$2,0),0),""))</f>
        <v>7:00-14:30</v>
      </c>
      <c r="AV15" s="2" t="str">
        <f>IF(IFERROR(VLOOKUP($B15,Morning_Shift!$B$4:$BJ$61,MATCH(Both_Shift_Roster!AV$2,Morning_Shift!$B$2:$BJ$2,0),0),"")="",IFERROR(VLOOKUP($B15,Evening_Shift!$B$4:$BJ$62,MATCH(Both_Shift_Roster!AV$2,Evening_Shift!$B$2:$BJ$2,0),0),""),IFERROR(VLOOKUP($B15,Morning_Shift!$B$4:$BJ$61,MATCH(Both_Shift_Roster!AV$2,Morning_Shift!$B$2:$BJ$2,0),0),""))</f>
        <v>Agent Choice WO</v>
      </c>
      <c r="AW15" s="2" t="str">
        <f>IF(IFERROR(VLOOKUP($B15,Morning_Shift!$B$4:$BJ$61,MATCH(Both_Shift_Roster!AW$2,Morning_Shift!$B$2:$BJ$2,0),0),"")="",IFERROR(VLOOKUP($B15,Evening_Shift!$B$4:$BJ$62,MATCH(Both_Shift_Roster!AW$2,Evening_Shift!$B$2:$BJ$2,0),0),""),IFERROR(VLOOKUP($B15,Morning_Shift!$B$4:$BJ$61,MATCH(Both_Shift_Roster!AW$2,Morning_Shift!$B$2:$BJ$2,0),0),""))</f>
        <v>7:00-14:30</v>
      </c>
      <c r="AX15" s="2">
        <f t="shared" si="30"/>
        <v>2</v>
      </c>
      <c r="AY15" s="2">
        <f t="shared" si="31"/>
        <v>0</v>
      </c>
      <c r="AZ15" s="2">
        <f t="shared" si="32"/>
        <v>0</v>
      </c>
      <c r="BA15" s="2">
        <f t="shared" si="33"/>
        <v>0</v>
      </c>
      <c r="BB15" s="2">
        <f t="shared" si="34"/>
        <v>0</v>
      </c>
      <c r="BC15" s="2" t="str">
        <f>IF(IFERROR(VLOOKUP($B15,Morning_Shift!$B$4:$BJ$61,MATCH(Both_Shift_Roster!BC$2,Morning_Shift!$B$2:$BJ$2,0),0),"")="",IFERROR(VLOOKUP($B15,Evening_Shift!$B$4:$BJ$62,MATCH(Both_Shift_Roster!BC$2,Evening_Shift!$B$2:$BJ$2,0),0),""),IFERROR(VLOOKUP($B15,Morning_Shift!$B$4:$BJ$61,MATCH(Both_Shift_Roster!BC$2,Morning_Shift!$B$2:$BJ$2,0),0),""))</f>
        <v>7:00-14:30</v>
      </c>
      <c r="BD15" s="2" t="str">
        <f>IF(IFERROR(VLOOKUP($B15,Morning_Shift!$B$4:$BJ$61,MATCH(Both_Shift_Roster!BD$2,Morning_Shift!$B$2:$BJ$2,0),0),"")="",IFERROR(VLOOKUP($B15,Evening_Shift!$B$4:$BJ$62,MATCH(Both_Shift_Roster!BD$2,Evening_Shift!$B$2:$BJ$2,0),0),""),IFERROR(VLOOKUP($B15,Morning_Shift!$B$4:$BJ$61,MATCH(Both_Shift_Roster!BD$2,Morning_Shift!$B$2:$BJ$2,0),0),""))</f>
        <v>CL</v>
      </c>
      <c r="BE15" s="2" t="str">
        <f>IF(IFERROR(VLOOKUP($B15,Morning_Shift!$B$4:$BJ$61,MATCH(Both_Shift_Roster!BE$2,Morning_Shift!$B$2:$BJ$2,0),0),"")="",IFERROR(VLOOKUP($B15,Evening_Shift!$B$4:$BJ$59,MATCH(Both_Shift_Roster!BE$2,Evening_Shift!$B$2:$BJ$2,0),0),""),IFERROR(VLOOKUP($B15,Morning_Shift!$B$4:$BJ$61,MATCH(Both_Shift_Roster!BE$2,Morning_Shift!$B$2:$BJ$2,0),0),""))</f>
        <v>7:00-14:30</v>
      </c>
      <c r="BF15" s="2">
        <f t="shared" si="35"/>
        <v>0</v>
      </c>
      <c r="BG15" s="2">
        <f t="shared" si="36"/>
        <v>0</v>
      </c>
      <c r="BH15" s="2">
        <f t="shared" si="37"/>
        <v>1</v>
      </c>
      <c r="BI15" s="2">
        <f t="shared" si="38"/>
        <v>0</v>
      </c>
      <c r="BJ15" s="2">
        <f t="shared" si="39"/>
        <v>0</v>
      </c>
    </row>
    <row r="16" spans="1:62">
      <c r="A16" s="17">
        <f t="shared" si="40"/>
        <v>13</v>
      </c>
      <c r="B16" s="16" t="str">
        <f>Morning_Shift!$B16</f>
        <v>Dritm86</v>
      </c>
      <c r="C16" s="21" t="str">
        <f>IF(IFERROR(VLOOKUP(B16,Morning_Shift!B:C,2,0),"")="",IFERROR(VLOOKUP(B16,Evening_Shift!B:C,2,0),""),IFERROR(VLOOKUP(B16,Morning_Shift!B:C,2,0),""))</f>
        <v>Dimple Sharma</v>
      </c>
      <c r="D16" s="15" t="str">
        <f>IF(IFERROR(VLOOKUP(B16,Morning_Shift!B:D,3,0),"")="",IFERROR(VLOOKUP(B16,Evening_Shift!B:D,3,0),""),IFERROR(VLOOKUP(B16,Morning_Shift!B:D,3,0),""))</f>
        <v>Naina</v>
      </c>
      <c r="E16" s="4" t="str">
        <f>IF(IFERROR(VLOOKUP(B16,Morning_Shift!B:E,4,0),"")="",IFERROR(VLOOKUP(B16,Evening_Shift!B:E,4,0),""),IFERROR(VLOOKUP(B16,Morning_Shift!B:E,4,0),""))</f>
        <v>F</v>
      </c>
      <c r="F16" s="5" t="str">
        <f>IF(IFERROR(VLOOKUP(B16,Morning_Shift!B:F,5,0),"")="",IFERROR(VLOOKUP(B16,Evening_Shift!B:F,5,0),""),IFERROR(VLOOKUP(B16,Morning_Shift!B:F,5,0),""))</f>
        <v>HRTC</v>
      </c>
      <c r="G16" s="2" t="str">
        <f>IF(IFERROR(VLOOKUP($B16,Morning_Shift!$B$4:$BJ$61,MATCH(Both_Shift_Roster!G$2,Morning_Shift!$B$2:$BJ$2,0),0),"")="",IFERROR(VLOOKUP($B16,Evening_Shift!$B$4:$BJ$62,MATCH(Both_Shift_Roster!G$2,Evening_Shift!$B$2:$BJ$2,0),0),""),IFERROR(VLOOKUP($B16,Morning_Shift!$B$4:$BJ$61,MATCH(Both_Shift_Roster!G$2,Morning_Shift!$B$2:$BJ$2,0),0),""))</f>
        <v>7:00-14:30</v>
      </c>
      <c r="H16" s="2" t="str">
        <f>IF(IFERROR(VLOOKUP($B16,Morning_Shift!$B$4:$BJ$61,MATCH(Both_Shift_Roster!H$2,Morning_Shift!$B$2:$BJ$2,0),0),"")="",IFERROR(VLOOKUP($B16,Evening_Shift!$B$4:$BJ$62,MATCH(Both_Shift_Roster!H$2,Evening_Shift!$B$2:$BJ$2,0),0),""),IFERROR(VLOOKUP($B16,Morning_Shift!$B$4:$BJ$61,MATCH(Both_Shift_Roster!H$2,Morning_Shift!$B$2:$BJ$2,0),0),""))</f>
        <v>7:00-14:30</v>
      </c>
      <c r="I16" s="2" t="str">
        <f>IF(IFERROR(VLOOKUP($B16,Morning_Shift!$B$4:$BJ$61,MATCH(Both_Shift_Roster!I$2,Morning_Shift!$B$2:$BJ$2,0),0),"")="",IFERROR(VLOOKUP($B16,Evening_Shift!$B$4:$BJ$62,MATCH(Both_Shift_Roster!I$2,Evening_Shift!$B$2:$BJ$2,0),0),""),IFERROR(VLOOKUP($B16,Morning_Shift!$B$4:$BJ$61,MATCH(Both_Shift_Roster!I$2,Morning_Shift!$B$2:$BJ$2,0),0),""))</f>
        <v>7:00-14:30</v>
      </c>
      <c r="J16" s="2" t="str">
        <f>IF(IFERROR(VLOOKUP($B16,Morning_Shift!$B$4:$BJ$61,MATCH(Both_Shift_Roster!J$2,Morning_Shift!$B$2:$BJ$2,0),0),"")="",IFERROR(VLOOKUP($B16,Evening_Shift!$B$4:$BJ$62,MATCH(Both_Shift_Roster!J$2,Evening_Shift!$B$2:$BJ$2,0),0),""),IFERROR(VLOOKUP($B16,Morning_Shift!$B$4:$BJ$61,MATCH(Both_Shift_Roster!J$2,Morning_Shift!$B$2:$BJ$2,0),0),""))</f>
        <v>7:00-14:30</v>
      </c>
      <c r="K16" s="2" t="str">
        <f>IF(IFERROR(VLOOKUP($B16,Morning_Shift!$B$4:$BJ$61,MATCH(Both_Shift_Roster!K$2,Morning_Shift!$B$2:$BJ$2,0),0),"")="",IFERROR(VLOOKUP($B16,Evening_Shift!$B$4:$BJ$62,MATCH(Both_Shift_Roster!K$2,Evening_Shift!$B$2:$BJ$2,0),0),""),IFERROR(VLOOKUP($B16,Morning_Shift!$B$4:$BJ$61,MATCH(Both_Shift_Roster!K$2,Morning_Shift!$B$2:$BJ$2,0),0),""))</f>
        <v>7:00-14:30</v>
      </c>
      <c r="L16" s="2" t="str">
        <f>IF(IFERROR(VLOOKUP($B16,Morning_Shift!$B$4:$BJ$61,MATCH(Both_Shift_Roster!L$2,Morning_Shift!$B$2:$BJ$2,0),0),"")="",IFERROR(VLOOKUP($B16,Evening_Shift!$B$4:$BJ$62,MATCH(Both_Shift_Roster!L$2,Evening_Shift!$B$2:$BJ$2,0),0),""),IFERROR(VLOOKUP($B16,Morning_Shift!$B$4:$BJ$61,MATCH(Both_Shift_Roster!L$2,Morning_Shift!$B$2:$BJ$2,0),0),""))</f>
        <v>7:00-14:30</v>
      </c>
      <c r="M16" s="2" t="str">
        <f>IF(IFERROR(VLOOKUP($B16,Morning_Shift!$B$4:$BJ$61,MATCH(Both_Shift_Roster!M$2,Morning_Shift!$B$2:$BJ$2,0),0),"")="",IFERROR(VLOOKUP($B16,Evening_Shift!$B$4:$BJ$62,MATCH(Both_Shift_Roster!M$2,Evening_Shift!$B$2:$BJ$2,0),0),""),IFERROR(VLOOKUP($B16,Morning_Shift!$B$4:$BJ$61,MATCH(Both_Shift_Roster!M$2,Morning_Shift!$B$2:$BJ$2,0),0),""))</f>
        <v>7:00-14:30</v>
      </c>
      <c r="N16" s="2">
        <f t="shared" si="15"/>
        <v>0</v>
      </c>
      <c r="O16" s="2">
        <f t="shared" si="16"/>
        <v>0</v>
      </c>
      <c r="P16" s="2">
        <f t="shared" si="17"/>
        <v>0</v>
      </c>
      <c r="Q16" s="2">
        <f t="shared" si="18"/>
        <v>0</v>
      </c>
      <c r="R16" s="2">
        <f t="shared" si="19"/>
        <v>0</v>
      </c>
      <c r="S16" s="2" t="str">
        <f>IF(IFERROR(VLOOKUP($B16,Morning_Shift!$B$4:$BJ$61,MATCH(Both_Shift_Roster!S$2,Morning_Shift!$B$2:$BJ$2,0),0),"")="",IFERROR(VLOOKUP($B16,Evening_Shift!$B$4:$BJ$62,MATCH(Both_Shift_Roster!S$2,Evening_Shift!$B$2:$BJ$2,0),0),""),IFERROR(VLOOKUP($B16,Morning_Shift!$B$4:$BJ$61,MATCH(Both_Shift_Roster!S$2,Morning_Shift!$B$2:$BJ$2,0),0),""))</f>
        <v>7:00-14:30</v>
      </c>
      <c r="T16" s="2" t="str">
        <f>IF(IFERROR(VLOOKUP($B16,Morning_Shift!$B$4:$BJ$61,MATCH(Both_Shift_Roster!T$2,Morning_Shift!$B$2:$BJ$2,0),0),"")="",IFERROR(VLOOKUP($B16,Evening_Shift!$B$4:$BJ$62,MATCH(Both_Shift_Roster!T$2,Evening_Shift!$B$2:$BJ$2,0),0),""),IFERROR(VLOOKUP($B16,Morning_Shift!$B$4:$BJ$61,MATCH(Both_Shift_Roster!T$2,Morning_Shift!$B$2:$BJ$2,0),0),""))</f>
        <v>7:00-14:30</v>
      </c>
      <c r="U16" s="2" t="str">
        <f>IF(IFERROR(VLOOKUP($B16,Morning_Shift!$B$4:$BJ$61,MATCH(Both_Shift_Roster!U$2,Morning_Shift!$B$2:$BJ$2,0),0),"")="",IFERROR(VLOOKUP($B16,Evening_Shift!$B$4:$BJ$62,MATCH(Both_Shift_Roster!U$2,Evening_Shift!$B$2:$BJ$2,0),0),""),IFERROR(VLOOKUP($B16,Morning_Shift!$B$4:$BJ$61,MATCH(Both_Shift_Roster!U$2,Morning_Shift!$B$2:$BJ$2,0),0),""))</f>
        <v>Agent Choice WO</v>
      </c>
      <c r="V16" s="2" t="str">
        <f>IF(IFERROR(VLOOKUP($B16,Morning_Shift!$B$4:$BJ$61,MATCH(Both_Shift_Roster!V$2,Morning_Shift!$B$2:$BJ$2,0),0),"")="",IFERROR(VLOOKUP($B16,Evening_Shift!$B$4:$BJ$62,MATCH(Both_Shift_Roster!V$2,Evening_Shift!$B$2:$BJ$2,0),0),""),IFERROR(VLOOKUP($B16,Morning_Shift!$B$4:$BJ$61,MATCH(Both_Shift_Roster!V$2,Morning_Shift!$B$2:$BJ$2,0),0),""))</f>
        <v>7:00-14:30</v>
      </c>
      <c r="W16" s="2" t="str">
        <f>IF(IFERROR(VLOOKUP($B16,Morning_Shift!$B$4:$BJ$61,MATCH(Both_Shift_Roster!W$2,Morning_Shift!$B$2:$BJ$2,0),0),"")="",IFERROR(VLOOKUP($B16,Evening_Shift!$B$4:$BJ$62,MATCH(Both_Shift_Roster!W$2,Evening_Shift!$B$2:$BJ$2,0),0),""),IFERROR(VLOOKUP($B16,Morning_Shift!$B$4:$BJ$61,MATCH(Both_Shift_Roster!W$2,Morning_Shift!$B$2:$BJ$2,0),0),""))</f>
        <v>7:00-14:30</v>
      </c>
      <c r="X16" s="2" t="str">
        <f>IF(IFERROR(VLOOKUP($B16,Morning_Shift!$B$4:$BJ$61,MATCH(Both_Shift_Roster!X$2,Morning_Shift!$B$2:$BJ$2,0),0),"")="",IFERROR(VLOOKUP($B16,Evening_Shift!$B$4:$BJ$62,MATCH(Both_Shift_Roster!X$2,Evening_Shift!$B$2:$BJ$2,0),0),""),IFERROR(VLOOKUP($B16,Morning_Shift!$B$4:$BJ$61,MATCH(Both_Shift_Roster!X$2,Morning_Shift!$B$2:$BJ$2,0),0),""))</f>
        <v>7:00-14:30</v>
      </c>
      <c r="Y16" s="2" t="str">
        <f>IF(IFERROR(VLOOKUP($B16,Morning_Shift!$B$4:$BJ$61,MATCH(Both_Shift_Roster!Y$2,Morning_Shift!$B$2:$BJ$2,0),0),"")="",IFERROR(VLOOKUP($B16,Evening_Shift!$B$4:$BJ$62,MATCH(Both_Shift_Roster!Y$2,Evening_Shift!$B$2:$BJ$2,0),0),""),IFERROR(VLOOKUP($B16,Morning_Shift!$B$4:$BJ$61,MATCH(Both_Shift_Roster!Y$2,Morning_Shift!$B$2:$BJ$2,0),0),""))</f>
        <v>7:00-14:30</v>
      </c>
      <c r="Z16" s="2">
        <f t="shared" si="20"/>
        <v>1</v>
      </c>
      <c r="AA16" s="2">
        <f t="shared" si="21"/>
        <v>0</v>
      </c>
      <c r="AB16" s="2">
        <f t="shared" si="22"/>
        <v>0</v>
      </c>
      <c r="AC16" s="2">
        <f t="shared" si="23"/>
        <v>0</v>
      </c>
      <c r="AD16" s="2">
        <f t="shared" si="24"/>
        <v>0</v>
      </c>
      <c r="AE16" s="2" t="str">
        <f>IF(IFERROR(VLOOKUP($B16,Morning_Shift!$B$4:$BJ$61,MATCH(Both_Shift_Roster!AE$2,Morning_Shift!$B$2:$BJ$2,0),0),"")="",IFERROR(VLOOKUP($B16,Evening_Shift!$B$4:$BJ$62,MATCH(Both_Shift_Roster!AE$2,Evening_Shift!$B$2:$BJ$2,0),0),""),IFERROR(VLOOKUP($B16,Morning_Shift!$B$4:$BJ$61,MATCH(Both_Shift_Roster!AE$2,Morning_Shift!$B$2:$BJ$2,0),0),""))</f>
        <v>7:00-14:30</v>
      </c>
      <c r="AF16" s="2" t="str">
        <f>IF(IFERROR(VLOOKUP($B16,Morning_Shift!$B$4:$BJ$61,MATCH(Both_Shift_Roster!AF$2,Morning_Shift!$B$2:$BJ$2,0),0),"")="",IFERROR(VLOOKUP($B16,Evening_Shift!$B$4:$BJ$62,MATCH(Both_Shift_Roster!AF$2,Evening_Shift!$B$2:$BJ$2,0),0),""),IFERROR(VLOOKUP($B16,Morning_Shift!$B$4:$BJ$61,MATCH(Both_Shift_Roster!AF$2,Morning_Shift!$B$2:$BJ$2,0),0),""))</f>
        <v>7:00-14:30</v>
      </c>
      <c r="AG16" s="2" t="str">
        <f>IF(IFERROR(VLOOKUP($B16,Morning_Shift!$B$4:$BJ$61,MATCH(Both_Shift_Roster!AG$2,Morning_Shift!$B$2:$BJ$2,0),0),"")="",IFERROR(VLOOKUP($B16,Evening_Shift!$B$4:$BJ$62,MATCH(Both_Shift_Roster!AG$2,Evening_Shift!$B$2:$BJ$2,0),0),""),IFERROR(VLOOKUP($B16,Morning_Shift!$B$4:$BJ$61,MATCH(Both_Shift_Roster!AG$2,Morning_Shift!$B$2:$BJ$2,0),0),""))</f>
        <v>7:00-14:30</v>
      </c>
      <c r="AH16" s="2" t="str">
        <f>IF(IFERROR(VLOOKUP($B16,Morning_Shift!$B$4:$BJ$61,MATCH(Both_Shift_Roster!AH$2,Morning_Shift!$B$2:$BJ$2,0),0),"")="",IFERROR(VLOOKUP($B16,Evening_Shift!$B$4:$BJ$62,MATCH(Both_Shift_Roster!AH$2,Evening_Shift!$B$2:$BJ$2,0),0),""),IFERROR(VLOOKUP($B16,Morning_Shift!$B$4:$BJ$61,MATCH(Both_Shift_Roster!AH$2,Morning_Shift!$B$2:$BJ$2,0),0),""))</f>
        <v>7:00-14:30</v>
      </c>
      <c r="AI16" s="2" t="str">
        <f>IF(IFERROR(VLOOKUP($B16,Morning_Shift!$B$4:$BJ$61,MATCH(Both_Shift_Roster!AI$2,Morning_Shift!$B$2:$BJ$2,0),0),"")="",IFERROR(VLOOKUP($B16,Evening_Shift!$B$4:$BJ$62,MATCH(Both_Shift_Roster!AI$2,Evening_Shift!$B$2:$BJ$2,0),0),""),IFERROR(VLOOKUP($B16,Morning_Shift!$B$4:$BJ$61,MATCH(Both_Shift_Roster!AI$2,Morning_Shift!$B$2:$BJ$2,0),0),""))</f>
        <v>7:00-14:30</v>
      </c>
      <c r="AJ16" s="2" t="str">
        <f>IF(IFERROR(VLOOKUP($B16,Morning_Shift!$B$4:$BJ$61,MATCH(Both_Shift_Roster!AJ$2,Morning_Shift!$B$2:$BJ$2,0),0),"")="",IFERROR(VLOOKUP($B16,Evening_Shift!$B$4:$BJ$62,MATCH(Both_Shift_Roster!AJ$2,Evening_Shift!$B$2:$BJ$2,0),0),""),IFERROR(VLOOKUP($B16,Morning_Shift!$B$4:$BJ$61,MATCH(Both_Shift_Roster!AJ$2,Morning_Shift!$B$2:$BJ$2,0),0),""))</f>
        <v>7:00-14:30</v>
      </c>
      <c r="AK16" s="2" t="str">
        <f>IF(IFERROR(VLOOKUP($B16,Morning_Shift!$B$4:$BJ$61,MATCH(Both_Shift_Roster!AK$2,Morning_Shift!$B$2:$BJ$2,0),0),"")="",IFERROR(VLOOKUP($B16,Evening_Shift!$B$4:$BJ$62,MATCH(Both_Shift_Roster!AK$2,Evening_Shift!$B$2:$BJ$2,0),0),""),IFERROR(VLOOKUP($B16,Morning_Shift!$B$4:$BJ$61,MATCH(Both_Shift_Roster!AK$2,Morning_Shift!$B$2:$BJ$2,0),0),""))</f>
        <v>Agent Choice WO</v>
      </c>
      <c r="AL16" s="2">
        <f t="shared" si="25"/>
        <v>1</v>
      </c>
      <c r="AM16" s="2">
        <f t="shared" si="26"/>
        <v>0</v>
      </c>
      <c r="AN16" s="2">
        <f t="shared" si="27"/>
        <v>0</v>
      </c>
      <c r="AO16" s="2">
        <f t="shared" si="28"/>
        <v>0</v>
      </c>
      <c r="AP16" s="2">
        <f t="shared" si="29"/>
        <v>0</v>
      </c>
      <c r="AQ16" s="2" t="str">
        <f>IF(IFERROR(VLOOKUP($B16,Morning_Shift!$B$4:$BJ$61,MATCH(Both_Shift_Roster!AQ$2,Morning_Shift!$B$2:$BJ$2,0),0),"")="",IFERROR(VLOOKUP($B16,Evening_Shift!$B$4:$BJ$62,MATCH(Both_Shift_Roster!AQ$2,Evening_Shift!$B$2:$BJ$2,0),0),""),IFERROR(VLOOKUP($B16,Morning_Shift!$B$4:$BJ$61,MATCH(Both_Shift_Roster!AQ$2,Morning_Shift!$B$2:$BJ$2,0),0),""))</f>
        <v>Agent Choice WO</v>
      </c>
      <c r="AR16" s="2" t="str">
        <f>IF(IFERROR(VLOOKUP($B16,Morning_Shift!$B$4:$BJ$61,MATCH(Both_Shift_Roster!AR$2,Morning_Shift!$B$2:$BJ$2,0),0),"")="",IFERROR(VLOOKUP($B16,Evening_Shift!$B$4:$BJ$62,MATCH(Both_Shift_Roster!AR$2,Evening_Shift!$B$2:$BJ$2,0),0),""),IFERROR(VLOOKUP($B16,Morning_Shift!$B$4:$BJ$61,MATCH(Both_Shift_Roster!AR$2,Morning_Shift!$B$2:$BJ$2,0),0),""))</f>
        <v>Agent Choice WO</v>
      </c>
      <c r="AS16" s="2" t="str">
        <f>IF(IFERROR(VLOOKUP($B16,Morning_Shift!$B$4:$BJ$61,MATCH(Both_Shift_Roster!AS$2,Morning_Shift!$B$2:$BJ$2,0),0),"")="",IFERROR(VLOOKUP($B16,Evening_Shift!$B$4:$BJ$62,MATCH(Both_Shift_Roster!AS$2,Evening_Shift!$B$2:$BJ$2,0),0),""),IFERROR(VLOOKUP($B16,Morning_Shift!$B$4:$BJ$61,MATCH(Both_Shift_Roster!AS$2,Morning_Shift!$B$2:$BJ$2,0),0),""))</f>
        <v>7:00-14:30</v>
      </c>
      <c r="AT16" s="2" t="str">
        <f>IF(IFERROR(VLOOKUP($B16,Morning_Shift!$B$4:$BJ$61,MATCH(Both_Shift_Roster!AT$2,Morning_Shift!$B$2:$BJ$2,0),0),"")="",IFERROR(VLOOKUP($B16,Evening_Shift!$B$4:$BJ$62,MATCH(Both_Shift_Roster!AT$2,Evening_Shift!$B$2:$BJ$2,0),0),""),IFERROR(VLOOKUP($B16,Morning_Shift!$B$4:$BJ$61,MATCH(Both_Shift_Roster!AT$2,Morning_Shift!$B$2:$BJ$2,0),0),""))</f>
        <v>7:00-14:30</v>
      </c>
      <c r="AU16" s="2" t="str">
        <f>IF(IFERROR(VLOOKUP($B16,Morning_Shift!$B$4:$BJ$61,MATCH(Both_Shift_Roster!AU$2,Morning_Shift!$B$2:$BJ$2,0),0),"")="",IFERROR(VLOOKUP($B16,Evening_Shift!$B$4:$BJ$62,MATCH(Both_Shift_Roster!AU$2,Evening_Shift!$B$2:$BJ$2,0),0),""),IFERROR(VLOOKUP($B16,Morning_Shift!$B$4:$BJ$61,MATCH(Both_Shift_Roster!AU$2,Morning_Shift!$B$2:$BJ$2,0),0),""))</f>
        <v>7:00-14:30</v>
      </c>
      <c r="AV16" s="2" t="str">
        <f>IF(IFERROR(VLOOKUP($B16,Morning_Shift!$B$4:$BJ$61,MATCH(Both_Shift_Roster!AV$2,Morning_Shift!$B$2:$BJ$2,0),0),"")="",IFERROR(VLOOKUP($B16,Evening_Shift!$B$4:$BJ$62,MATCH(Both_Shift_Roster!AV$2,Evening_Shift!$B$2:$BJ$2,0),0),""),IFERROR(VLOOKUP($B16,Morning_Shift!$B$4:$BJ$61,MATCH(Both_Shift_Roster!AV$2,Morning_Shift!$B$2:$BJ$2,0),0),""))</f>
        <v>7:00-14:30</v>
      </c>
      <c r="AW16" s="2" t="str">
        <f>IF(IFERROR(VLOOKUP($B16,Morning_Shift!$B$4:$BJ$61,MATCH(Both_Shift_Roster!AW$2,Morning_Shift!$B$2:$BJ$2,0),0),"")="",IFERROR(VLOOKUP($B16,Evening_Shift!$B$4:$BJ$62,MATCH(Both_Shift_Roster!AW$2,Evening_Shift!$B$2:$BJ$2,0),0),""),IFERROR(VLOOKUP($B16,Morning_Shift!$B$4:$BJ$61,MATCH(Both_Shift_Roster!AW$2,Morning_Shift!$B$2:$BJ$2,0),0),""))</f>
        <v>7:00-14:30</v>
      </c>
      <c r="AX16" s="2">
        <f t="shared" si="30"/>
        <v>2</v>
      </c>
      <c r="AY16" s="2">
        <f t="shared" si="31"/>
        <v>0</v>
      </c>
      <c r="AZ16" s="2">
        <f t="shared" si="32"/>
        <v>0</v>
      </c>
      <c r="BA16" s="2">
        <f t="shared" si="33"/>
        <v>0</v>
      </c>
      <c r="BB16" s="2">
        <f t="shared" si="34"/>
        <v>0</v>
      </c>
      <c r="BC16" s="2" t="str">
        <f>IF(IFERROR(VLOOKUP($B16,Morning_Shift!$B$4:$BJ$61,MATCH(Both_Shift_Roster!BC$2,Morning_Shift!$B$2:$BJ$2,0),0),"")="",IFERROR(VLOOKUP($B16,Evening_Shift!$B$4:$BJ$62,MATCH(Both_Shift_Roster!BC$2,Evening_Shift!$B$2:$BJ$2,0),0),""),IFERROR(VLOOKUP($B16,Morning_Shift!$B$4:$BJ$61,MATCH(Both_Shift_Roster!BC$2,Morning_Shift!$B$2:$BJ$2,0),0),""))</f>
        <v>7:00-14:30</v>
      </c>
      <c r="BD16" s="2" t="str">
        <f>IF(IFERROR(VLOOKUP($B16,Morning_Shift!$B$4:$BJ$61,MATCH(Both_Shift_Roster!BD$2,Morning_Shift!$B$2:$BJ$2,0),0),"")="",IFERROR(VLOOKUP($B16,Evening_Shift!$B$4:$BJ$62,MATCH(Both_Shift_Roster!BD$2,Evening_Shift!$B$2:$BJ$2,0),0),""),IFERROR(VLOOKUP($B16,Morning_Shift!$B$4:$BJ$61,MATCH(Both_Shift_Roster!BD$2,Morning_Shift!$B$2:$BJ$2,0),0),""))</f>
        <v>7:00-14:30</v>
      </c>
      <c r="BE16" s="2" t="str">
        <f>IF(IFERROR(VLOOKUP($B16,Morning_Shift!$B$4:$BJ$61,MATCH(Both_Shift_Roster!BE$2,Morning_Shift!$B$2:$BJ$2,0),0),"")="",IFERROR(VLOOKUP($B16,Evening_Shift!$B$4:$BJ$59,MATCH(Both_Shift_Roster!BE$2,Evening_Shift!$B$2:$BJ$2,0),0),""),IFERROR(VLOOKUP($B16,Morning_Shift!$B$4:$BJ$61,MATCH(Both_Shift_Roster!BE$2,Morning_Shift!$B$2:$BJ$2,0),0),""))</f>
        <v>7:00-14:30</v>
      </c>
      <c r="BF16" s="2">
        <f t="shared" si="35"/>
        <v>0</v>
      </c>
      <c r="BG16" s="2">
        <f t="shared" si="36"/>
        <v>0</v>
      </c>
      <c r="BH16" s="2">
        <f t="shared" si="37"/>
        <v>0</v>
      </c>
      <c r="BI16" s="2">
        <f t="shared" si="38"/>
        <v>0</v>
      </c>
      <c r="BJ16" s="2">
        <f t="shared" si="39"/>
        <v>0</v>
      </c>
    </row>
    <row r="17" spans="1:62">
      <c r="A17" s="17">
        <f t="shared" si="40"/>
        <v>14</v>
      </c>
      <c r="B17" s="16" t="str">
        <f>Morning_Shift!$B17</f>
        <v>Dritm152</v>
      </c>
      <c r="C17" s="21" t="str">
        <f>IF(IFERROR(VLOOKUP(B17,Morning_Shift!B:C,2,0),"")="",IFERROR(VLOOKUP(B17,Evening_Shift!B:C,2,0),""),IFERROR(VLOOKUP(B17,Morning_Shift!B:C,2,0),""))</f>
        <v>Jeenat Thakur</v>
      </c>
      <c r="D17" s="15" t="str">
        <f>IF(IFERROR(VLOOKUP(B17,Morning_Shift!B:D,3,0),"")="",IFERROR(VLOOKUP(B17,Evening_Shift!B:D,3,0),""),IFERROR(VLOOKUP(B17,Morning_Shift!B:D,3,0),""))</f>
        <v>Naina</v>
      </c>
      <c r="E17" s="4" t="str">
        <f>IF(IFERROR(VLOOKUP(B17,Morning_Shift!B:E,4,0),"")="",IFERROR(VLOOKUP(B17,Evening_Shift!B:E,4,0),""),IFERROR(VLOOKUP(B17,Morning_Shift!B:E,4,0),""))</f>
        <v>F</v>
      </c>
      <c r="F17" s="5" t="str">
        <f>IF(IFERROR(VLOOKUP(B17,Morning_Shift!B:F,5,0),"")="",IFERROR(VLOOKUP(B17,Evening_Shift!B:F,5,0),""),IFERROR(VLOOKUP(B17,Morning_Shift!B:F,5,0),""))</f>
        <v>Inbound</v>
      </c>
      <c r="G17" s="2" t="str">
        <f>IF(IFERROR(VLOOKUP($B17,Morning_Shift!$B$4:$BJ$61,MATCH(Both_Shift_Roster!G$2,Morning_Shift!$B$2:$BJ$2,0),0),"")="",IFERROR(VLOOKUP($B17,Evening_Shift!$B$4:$BJ$62,MATCH(Both_Shift_Roster!G$2,Evening_Shift!$B$2:$BJ$2,0),0),""),IFERROR(VLOOKUP($B17,Morning_Shift!$B$4:$BJ$61,MATCH(Both_Shift_Roster!G$2,Morning_Shift!$B$2:$BJ$2,0),0),""))</f>
        <v>7:00-14:30</v>
      </c>
      <c r="H17" s="2" t="str">
        <f>IF(IFERROR(VLOOKUP($B17,Morning_Shift!$B$4:$BJ$61,MATCH(Both_Shift_Roster!H$2,Morning_Shift!$B$2:$BJ$2,0),0),"")="",IFERROR(VLOOKUP($B17,Evening_Shift!$B$4:$BJ$62,MATCH(Both_Shift_Roster!H$2,Evening_Shift!$B$2:$BJ$2,0),0),""),IFERROR(VLOOKUP($B17,Morning_Shift!$B$4:$BJ$61,MATCH(Both_Shift_Roster!H$2,Morning_Shift!$B$2:$BJ$2,0),0),""))</f>
        <v>7:00-14:30</v>
      </c>
      <c r="I17" s="2" t="str">
        <f>IF(IFERROR(VLOOKUP($B17,Morning_Shift!$B$4:$BJ$61,MATCH(Both_Shift_Roster!I$2,Morning_Shift!$B$2:$BJ$2,0),0),"")="",IFERROR(VLOOKUP($B17,Evening_Shift!$B$4:$BJ$62,MATCH(Both_Shift_Roster!I$2,Evening_Shift!$B$2:$BJ$2,0),0),""),IFERROR(VLOOKUP($B17,Morning_Shift!$B$4:$BJ$61,MATCH(Both_Shift_Roster!I$2,Morning_Shift!$B$2:$BJ$2,0),0),""))</f>
        <v>7:00-14:30</v>
      </c>
      <c r="J17" s="2" t="str">
        <f>IF(IFERROR(VLOOKUP($B17,Morning_Shift!$B$4:$BJ$61,MATCH(Both_Shift_Roster!J$2,Morning_Shift!$B$2:$BJ$2,0),0),"")="",IFERROR(VLOOKUP($B17,Evening_Shift!$B$4:$BJ$62,MATCH(Both_Shift_Roster!J$2,Evening_Shift!$B$2:$BJ$2,0),0),""),IFERROR(VLOOKUP($B17,Morning_Shift!$B$4:$BJ$61,MATCH(Both_Shift_Roster!J$2,Morning_Shift!$B$2:$BJ$2,0),0),""))</f>
        <v>Agent Choice WO</v>
      </c>
      <c r="K17" s="2" t="str">
        <f>IF(IFERROR(VLOOKUP($B17,Morning_Shift!$B$4:$BJ$61,MATCH(Both_Shift_Roster!K$2,Morning_Shift!$B$2:$BJ$2,0),0),"")="",IFERROR(VLOOKUP($B17,Evening_Shift!$B$4:$BJ$62,MATCH(Both_Shift_Roster!K$2,Evening_Shift!$B$2:$BJ$2,0),0),""),IFERROR(VLOOKUP($B17,Morning_Shift!$B$4:$BJ$61,MATCH(Both_Shift_Roster!K$2,Morning_Shift!$B$2:$BJ$2,0),0),""))</f>
        <v>7:00-14:30</v>
      </c>
      <c r="L17" s="2" t="str">
        <f>IF(IFERROR(VLOOKUP($B17,Morning_Shift!$B$4:$BJ$61,MATCH(Both_Shift_Roster!L$2,Morning_Shift!$B$2:$BJ$2,0),0),"")="",IFERROR(VLOOKUP($B17,Evening_Shift!$B$4:$BJ$62,MATCH(Both_Shift_Roster!L$2,Evening_Shift!$B$2:$BJ$2,0),0),""),IFERROR(VLOOKUP($B17,Morning_Shift!$B$4:$BJ$61,MATCH(Both_Shift_Roster!L$2,Morning_Shift!$B$2:$BJ$2,0),0),""))</f>
        <v>7:00-14:30</v>
      </c>
      <c r="M17" s="2" t="str">
        <f>IF(IFERROR(VLOOKUP($B17,Morning_Shift!$B$4:$BJ$61,MATCH(Both_Shift_Roster!M$2,Morning_Shift!$B$2:$BJ$2,0),0),"")="",IFERROR(VLOOKUP($B17,Evening_Shift!$B$4:$BJ$62,MATCH(Both_Shift_Roster!M$2,Evening_Shift!$B$2:$BJ$2,0),0),""),IFERROR(VLOOKUP($B17,Morning_Shift!$B$4:$BJ$61,MATCH(Both_Shift_Roster!M$2,Morning_Shift!$B$2:$BJ$2,0),0),""))</f>
        <v>7:00-14:30</v>
      </c>
      <c r="N17" s="2">
        <f t="shared" si="15"/>
        <v>1</v>
      </c>
      <c r="O17" s="2">
        <f t="shared" si="16"/>
        <v>0</v>
      </c>
      <c r="P17" s="2">
        <f t="shared" si="17"/>
        <v>0</v>
      </c>
      <c r="Q17" s="2">
        <f t="shared" si="18"/>
        <v>0</v>
      </c>
      <c r="R17" s="2">
        <f t="shared" si="19"/>
        <v>0</v>
      </c>
      <c r="S17" s="2" t="str">
        <f>IF(IFERROR(VLOOKUP($B17,Morning_Shift!$B$4:$BJ$61,MATCH(Both_Shift_Roster!S$2,Morning_Shift!$B$2:$BJ$2,0),0),"")="",IFERROR(VLOOKUP($B17,Evening_Shift!$B$4:$BJ$62,MATCH(Both_Shift_Roster!S$2,Evening_Shift!$B$2:$BJ$2,0),0),""),IFERROR(VLOOKUP($B17,Morning_Shift!$B$4:$BJ$61,MATCH(Both_Shift_Roster!S$2,Morning_Shift!$B$2:$BJ$2,0),0),""))</f>
        <v>7:00-14:30</v>
      </c>
      <c r="T17" s="2" t="str">
        <f>IF(IFERROR(VLOOKUP($B17,Morning_Shift!$B$4:$BJ$61,MATCH(Both_Shift_Roster!T$2,Morning_Shift!$B$2:$BJ$2,0),0),"")="",IFERROR(VLOOKUP($B17,Evening_Shift!$B$4:$BJ$62,MATCH(Both_Shift_Roster!T$2,Evening_Shift!$B$2:$BJ$2,0),0),""),IFERROR(VLOOKUP($B17,Morning_Shift!$B$4:$BJ$61,MATCH(Both_Shift_Roster!T$2,Morning_Shift!$B$2:$BJ$2,0),0),""))</f>
        <v>7:00-14:30</v>
      </c>
      <c r="U17" s="2" t="str">
        <f>IF(IFERROR(VLOOKUP($B17,Morning_Shift!$B$4:$BJ$61,MATCH(Both_Shift_Roster!U$2,Morning_Shift!$B$2:$BJ$2,0),0),"")="",IFERROR(VLOOKUP($B17,Evening_Shift!$B$4:$BJ$62,MATCH(Both_Shift_Roster!U$2,Evening_Shift!$B$2:$BJ$2,0),0),""),IFERROR(VLOOKUP($B17,Morning_Shift!$B$4:$BJ$61,MATCH(Both_Shift_Roster!U$2,Morning_Shift!$B$2:$BJ$2,0),0),""))</f>
        <v>7:00-14:30</v>
      </c>
      <c r="V17" s="2" t="str">
        <f>IF(IFERROR(VLOOKUP($B17,Morning_Shift!$B$4:$BJ$61,MATCH(Both_Shift_Roster!V$2,Morning_Shift!$B$2:$BJ$2,0),0),"")="",IFERROR(VLOOKUP($B17,Evening_Shift!$B$4:$BJ$62,MATCH(Both_Shift_Roster!V$2,Evening_Shift!$B$2:$BJ$2,0),0),""),IFERROR(VLOOKUP($B17,Morning_Shift!$B$4:$BJ$61,MATCH(Both_Shift_Roster!V$2,Morning_Shift!$B$2:$BJ$2,0),0),""))</f>
        <v>7:00-14:30</v>
      </c>
      <c r="W17" s="2" t="str">
        <f>IF(IFERROR(VLOOKUP($B17,Morning_Shift!$B$4:$BJ$61,MATCH(Both_Shift_Roster!W$2,Morning_Shift!$B$2:$BJ$2,0),0),"")="",IFERROR(VLOOKUP($B17,Evening_Shift!$B$4:$BJ$62,MATCH(Both_Shift_Roster!W$2,Evening_Shift!$B$2:$BJ$2,0),0),""),IFERROR(VLOOKUP($B17,Morning_Shift!$B$4:$BJ$61,MATCH(Both_Shift_Roster!W$2,Morning_Shift!$B$2:$BJ$2,0),0),""))</f>
        <v>Agent Choice WO</v>
      </c>
      <c r="X17" s="2" t="str">
        <f>IF(IFERROR(VLOOKUP($B17,Morning_Shift!$B$4:$BJ$61,MATCH(Both_Shift_Roster!X$2,Morning_Shift!$B$2:$BJ$2,0),0),"")="",IFERROR(VLOOKUP($B17,Evening_Shift!$B$4:$BJ$62,MATCH(Both_Shift_Roster!X$2,Evening_Shift!$B$2:$BJ$2,0),0),""),IFERROR(VLOOKUP($B17,Morning_Shift!$B$4:$BJ$61,MATCH(Both_Shift_Roster!X$2,Morning_Shift!$B$2:$BJ$2,0),0),""))</f>
        <v>Agent Choice WO</v>
      </c>
      <c r="Y17" s="2" t="str">
        <f>IF(IFERROR(VLOOKUP($B17,Morning_Shift!$B$4:$BJ$61,MATCH(Both_Shift_Roster!Y$2,Morning_Shift!$B$2:$BJ$2,0),0),"")="",IFERROR(VLOOKUP($B17,Evening_Shift!$B$4:$BJ$62,MATCH(Both_Shift_Roster!Y$2,Evening_Shift!$B$2:$BJ$2,0),0),""),IFERROR(VLOOKUP($B17,Morning_Shift!$B$4:$BJ$61,MATCH(Both_Shift_Roster!Y$2,Morning_Shift!$B$2:$BJ$2,0),0),""))</f>
        <v>Agent Choice WO</v>
      </c>
      <c r="Z17" s="2">
        <f t="shared" si="20"/>
        <v>3</v>
      </c>
      <c r="AA17" s="2">
        <f t="shared" si="21"/>
        <v>0</v>
      </c>
      <c r="AB17" s="2">
        <f t="shared" si="22"/>
        <v>0</v>
      </c>
      <c r="AC17" s="2">
        <f t="shared" si="23"/>
        <v>0</v>
      </c>
      <c r="AD17" s="2">
        <f t="shared" si="24"/>
        <v>0</v>
      </c>
      <c r="AE17" s="2" t="str">
        <f>IF(IFERROR(VLOOKUP($B17,Morning_Shift!$B$4:$BJ$61,MATCH(Both_Shift_Roster!AE$2,Morning_Shift!$B$2:$BJ$2,0),0),"")="",IFERROR(VLOOKUP($B17,Evening_Shift!$B$4:$BJ$62,MATCH(Both_Shift_Roster!AE$2,Evening_Shift!$B$2:$BJ$2,0),0),""),IFERROR(VLOOKUP($B17,Morning_Shift!$B$4:$BJ$61,MATCH(Both_Shift_Roster!AE$2,Morning_Shift!$B$2:$BJ$2,0),0),""))</f>
        <v>7:00-14:30</v>
      </c>
      <c r="AF17" s="2" t="str">
        <f>IF(IFERROR(VLOOKUP($B17,Morning_Shift!$B$4:$BJ$61,MATCH(Both_Shift_Roster!AF$2,Morning_Shift!$B$2:$BJ$2,0),0),"")="",IFERROR(VLOOKUP($B17,Evening_Shift!$B$4:$BJ$62,MATCH(Both_Shift_Roster!AF$2,Evening_Shift!$B$2:$BJ$2,0),0),""),IFERROR(VLOOKUP($B17,Morning_Shift!$B$4:$BJ$61,MATCH(Both_Shift_Roster!AF$2,Morning_Shift!$B$2:$BJ$2,0),0),""))</f>
        <v>7:00-14:30</v>
      </c>
      <c r="AG17" s="2" t="str">
        <f>IF(IFERROR(VLOOKUP($B17,Morning_Shift!$B$4:$BJ$61,MATCH(Both_Shift_Roster!AG$2,Morning_Shift!$B$2:$BJ$2,0),0),"")="",IFERROR(VLOOKUP($B17,Evening_Shift!$B$4:$BJ$62,MATCH(Both_Shift_Roster!AG$2,Evening_Shift!$B$2:$BJ$2,0),0),""),IFERROR(VLOOKUP($B17,Morning_Shift!$B$4:$BJ$61,MATCH(Both_Shift_Roster!AG$2,Morning_Shift!$B$2:$BJ$2,0),0),""))</f>
        <v>7:00-14:30</v>
      </c>
      <c r="AH17" s="2" t="str">
        <f>IF(IFERROR(VLOOKUP($B17,Morning_Shift!$B$4:$BJ$61,MATCH(Both_Shift_Roster!AH$2,Morning_Shift!$B$2:$BJ$2,0),0),"")="",IFERROR(VLOOKUP($B17,Evening_Shift!$B$4:$BJ$62,MATCH(Both_Shift_Roster!AH$2,Evening_Shift!$B$2:$BJ$2,0),0),""),IFERROR(VLOOKUP($B17,Morning_Shift!$B$4:$BJ$61,MATCH(Both_Shift_Roster!AH$2,Morning_Shift!$B$2:$BJ$2,0),0),""))</f>
        <v>7:00-14:30</v>
      </c>
      <c r="AI17" s="2" t="str">
        <f>IF(IFERROR(VLOOKUP($B17,Morning_Shift!$B$4:$BJ$61,MATCH(Both_Shift_Roster!AI$2,Morning_Shift!$B$2:$BJ$2,0),0),"")="",IFERROR(VLOOKUP($B17,Evening_Shift!$B$4:$BJ$62,MATCH(Both_Shift_Roster!AI$2,Evening_Shift!$B$2:$BJ$2,0),0),""),IFERROR(VLOOKUP($B17,Morning_Shift!$B$4:$BJ$61,MATCH(Both_Shift_Roster!AI$2,Morning_Shift!$B$2:$BJ$2,0),0),""))</f>
        <v>7:00-14:30</v>
      </c>
      <c r="AJ17" s="2" t="str">
        <f>IF(IFERROR(VLOOKUP($B17,Morning_Shift!$B$4:$BJ$61,MATCH(Both_Shift_Roster!AJ$2,Morning_Shift!$B$2:$BJ$2,0),0),"")="",IFERROR(VLOOKUP($B17,Evening_Shift!$B$4:$BJ$62,MATCH(Both_Shift_Roster!AJ$2,Evening_Shift!$B$2:$BJ$2,0),0),""),IFERROR(VLOOKUP($B17,Morning_Shift!$B$4:$BJ$61,MATCH(Both_Shift_Roster!AJ$2,Morning_Shift!$B$2:$BJ$2,0),0),""))</f>
        <v>7:00-14:30</v>
      </c>
      <c r="AK17" s="2" t="str">
        <f>IF(IFERROR(VLOOKUP($B17,Morning_Shift!$B$4:$BJ$61,MATCH(Both_Shift_Roster!AK$2,Morning_Shift!$B$2:$BJ$2,0),0),"")="",IFERROR(VLOOKUP($B17,Evening_Shift!$B$4:$BJ$62,MATCH(Both_Shift_Roster!AK$2,Evening_Shift!$B$2:$BJ$2,0),0),""),IFERROR(VLOOKUP($B17,Morning_Shift!$B$4:$BJ$61,MATCH(Both_Shift_Roster!AK$2,Morning_Shift!$B$2:$BJ$2,0),0),""))</f>
        <v>7:00-14:30</v>
      </c>
      <c r="AL17" s="2">
        <f t="shared" si="25"/>
        <v>0</v>
      </c>
      <c r="AM17" s="2">
        <f t="shared" si="26"/>
        <v>0</v>
      </c>
      <c r="AN17" s="2">
        <f t="shared" si="27"/>
        <v>0</v>
      </c>
      <c r="AO17" s="2">
        <f t="shared" si="28"/>
        <v>0</v>
      </c>
      <c r="AP17" s="2">
        <f t="shared" si="29"/>
        <v>0</v>
      </c>
      <c r="AQ17" s="2" t="str">
        <f>IF(IFERROR(VLOOKUP($B17,Morning_Shift!$B$4:$BJ$61,MATCH(Both_Shift_Roster!AQ$2,Morning_Shift!$B$2:$BJ$2,0),0),"")="",IFERROR(VLOOKUP($B17,Evening_Shift!$B$4:$BJ$62,MATCH(Both_Shift_Roster!AQ$2,Evening_Shift!$B$2:$BJ$2,0),0),""),IFERROR(VLOOKUP($B17,Morning_Shift!$B$4:$BJ$61,MATCH(Both_Shift_Roster!AQ$2,Morning_Shift!$B$2:$BJ$2,0),0),""))</f>
        <v>7:00-14:30</v>
      </c>
      <c r="AR17" s="2" t="str">
        <f>IF(IFERROR(VLOOKUP($B17,Morning_Shift!$B$4:$BJ$61,MATCH(Both_Shift_Roster!AR$2,Morning_Shift!$B$2:$BJ$2,0),0),"")="",IFERROR(VLOOKUP($B17,Evening_Shift!$B$4:$BJ$62,MATCH(Both_Shift_Roster!AR$2,Evening_Shift!$B$2:$BJ$2,0),0),""),IFERROR(VLOOKUP($B17,Morning_Shift!$B$4:$BJ$61,MATCH(Both_Shift_Roster!AR$2,Morning_Shift!$B$2:$BJ$2,0),0),""))</f>
        <v>7:00-14:30</v>
      </c>
      <c r="AS17" s="2" t="str">
        <f>IF(IFERROR(VLOOKUP($B17,Morning_Shift!$B$4:$BJ$61,MATCH(Both_Shift_Roster!AS$2,Morning_Shift!$B$2:$BJ$2,0),0),"")="",IFERROR(VLOOKUP($B17,Evening_Shift!$B$4:$BJ$62,MATCH(Both_Shift_Roster!AS$2,Evening_Shift!$B$2:$BJ$2,0),0),""),IFERROR(VLOOKUP($B17,Morning_Shift!$B$4:$BJ$61,MATCH(Both_Shift_Roster!AS$2,Morning_Shift!$B$2:$BJ$2,0),0),""))</f>
        <v>7:00-14:30</v>
      </c>
      <c r="AT17" s="2" t="str">
        <f>IF(IFERROR(VLOOKUP($B17,Morning_Shift!$B$4:$BJ$61,MATCH(Both_Shift_Roster!AT$2,Morning_Shift!$B$2:$BJ$2,0),0),"")="",IFERROR(VLOOKUP($B17,Evening_Shift!$B$4:$BJ$62,MATCH(Both_Shift_Roster!AT$2,Evening_Shift!$B$2:$BJ$2,0),0),""),IFERROR(VLOOKUP($B17,Morning_Shift!$B$4:$BJ$61,MATCH(Both_Shift_Roster!AT$2,Morning_Shift!$B$2:$BJ$2,0),0),""))</f>
        <v>7:00-14:30</v>
      </c>
      <c r="AU17" s="2" t="str">
        <f>IF(IFERROR(VLOOKUP($B17,Morning_Shift!$B$4:$BJ$61,MATCH(Both_Shift_Roster!AU$2,Morning_Shift!$B$2:$BJ$2,0),0),"")="",IFERROR(VLOOKUP($B17,Evening_Shift!$B$4:$BJ$62,MATCH(Both_Shift_Roster!AU$2,Evening_Shift!$B$2:$BJ$2,0),0),""),IFERROR(VLOOKUP($B17,Morning_Shift!$B$4:$BJ$61,MATCH(Both_Shift_Roster!AU$2,Morning_Shift!$B$2:$BJ$2,0),0),""))</f>
        <v>7:00-14:30</v>
      </c>
      <c r="AV17" s="2" t="str">
        <f>IF(IFERROR(VLOOKUP($B17,Morning_Shift!$B$4:$BJ$61,MATCH(Both_Shift_Roster!AV$2,Morning_Shift!$B$2:$BJ$2,0),0),"")="",IFERROR(VLOOKUP($B17,Evening_Shift!$B$4:$BJ$62,MATCH(Both_Shift_Roster!AV$2,Evening_Shift!$B$2:$BJ$2,0),0),""),IFERROR(VLOOKUP($B17,Morning_Shift!$B$4:$BJ$61,MATCH(Both_Shift_Roster!AV$2,Morning_Shift!$B$2:$BJ$2,0),0),""))</f>
        <v>7:00-14:30</v>
      </c>
      <c r="AW17" s="2" t="str">
        <f>IF(IFERROR(VLOOKUP($B17,Morning_Shift!$B$4:$BJ$61,MATCH(Both_Shift_Roster!AW$2,Morning_Shift!$B$2:$BJ$2,0),0),"")="",IFERROR(VLOOKUP($B17,Evening_Shift!$B$4:$BJ$62,MATCH(Both_Shift_Roster!AW$2,Evening_Shift!$B$2:$BJ$2,0),0),""),IFERROR(VLOOKUP($B17,Morning_Shift!$B$4:$BJ$61,MATCH(Both_Shift_Roster!AW$2,Morning_Shift!$B$2:$BJ$2,0),0),""))</f>
        <v>7:00-14:30</v>
      </c>
      <c r="AX17" s="2">
        <f t="shared" si="30"/>
        <v>0</v>
      </c>
      <c r="AY17" s="2">
        <f t="shared" si="31"/>
        <v>0</v>
      </c>
      <c r="AZ17" s="2">
        <f t="shared" si="32"/>
        <v>0</v>
      </c>
      <c r="BA17" s="2">
        <f t="shared" si="33"/>
        <v>0</v>
      </c>
      <c r="BB17" s="2">
        <f t="shared" si="34"/>
        <v>0</v>
      </c>
      <c r="BC17" s="2" t="str">
        <f>IF(IFERROR(VLOOKUP($B17,Morning_Shift!$B$4:$BJ$61,MATCH(Both_Shift_Roster!BC$2,Morning_Shift!$B$2:$BJ$2,0),0),"")="",IFERROR(VLOOKUP($B17,Evening_Shift!$B$4:$BJ$62,MATCH(Both_Shift_Roster!BC$2,Evening_Shift!$B$2:$BJ$2,0),0),""),IFERROR(VLOOKUP($B17,Morning_Shift!$B$4:$BJ$61,MATCH(Both_Shift_Roster!BC$2,Morning_Shift!$B$2:$BJ$2,0),0),""))</f>
        <v>7:00-14:30</v>
      </c>
      <c r="BD17" s="2" t="str">
        <f>IF(IFERROR(VLOOKUP($B17,Morning_Shift!$B$4:$BJ$61,MATCH(Both_Shift_Roster!BD$2,Morning_Shift!$B$2:$BJ$2,0),0),"")="",IFERROR(VLOOKUP($B17,Evening_Shift!$B$4:$BJ$62,MATCH(Both_Shift_Roster!BD$2,Evening_Shift!$B$2:$BJ$2,0),0),""),IFERROR(VLOOKUP($B17,Morning_Shift!$B$4:$BJ$61,MATCH(Both_Shift_Roster!BD$2,Morning_Shift!$B$2:$BJ$2,0),0),""))</f>
        <v>7:00-14:30</v>
      </c>
      <c r="BE17" s="2" t="str">
        <f>IF(IFERROR(VLOOKUP($B17,Morning_Shift!$B$4:$BJ$61,MATCH(Both_Shift_Roster!BE$2,Morning_Shift!$B$2:$BJ$2,0),0),"")="",IFERROR(VLOOKUP($B17,Evening_Shift!$B$4:$BJ$59,MATCH(Both_Shift_Roster!BE$2,Evening_Shift!$B$2:$BJ$2,0),0),""),IFERROR(VLOOKUP($B17,Morning_Shift!$B$4:$BJ$61,MATCH(Both_Shift_Roster!BE$2,Morning_Shift!$B$2:$BJ$2,0),0),""))</f>
        <v>7:00-14:30</v>
      </c>
      <c r="BF17" s="2">
        <f t="shared" si="35"/>
        <v>0</v>
      </c>
      <c r="BG17" s="2">
        <f t="shared" si="36"/>
        <v>0</v>
      </c>
      <c r="BH17" s="2">
        <f t="shared" si="37"/>
        <v>0</v>
      </c>
      <c r="BI17" s="2">
        <f t="shared" si="38"/>
        <v>0</v>
      </c>
      <c r="BJ17" s="2">
        <f t="shared" si="39"/>
        <v>0</v>
      </c>
    </row>
    <row r="18" spans="1:62">
      <c r="A18" s="17">
        <f t="shared" si="40"/>
        <v>15</v>
      </c>
      <c r="B18" s="16" t="str">
        <f>Morning_Shift!$B18</f>
        <v>Dritm74</v>
      </c>
      <c r="C18" s="21" t="str">
        <f>IF(IFERROR(VLOOKUP(B18,Morning_Shift!B:C,2,0),"")="",IFERROR(VLOOKUP(B18,Evening_Shift!B:C,2,0),""),IFERROR(VLOOKUP(B18,Morning_Shift!B:C,2,0),""))</f>
        <v>Jyoti Thapa</v>
      </c>
      <c r="D18" s="15" t="str">
        <f>IF(IFERROR(VLOOKUP(B18,Morning_Shift!B:D,3,0),"")="",IFERROR(VLOOKUP(B18,Evening_Shift!B:D,3,0),""),IFERROR(VLOOKUP(B18,Morning_Shift!B:D,3,0),""))</f>
        <v>Naina</v>
      </c>
      <c r="E18" s="4" t="str">
        <f>IF(IFERROR(VLOOKUP(B18,Morning_Shift!B:E,4,0),"")="",IFERROR(VLOOKUP(B18,Evening_Shift!B:E,4,0),""),IFERROR(VLOOKUP(B18,Morning_Shift!B:E,4,0),""))</f>
        <v>F</v>
      </c>
      <c r="F18" s="5" t="str">
        <f>IF(IFERROR(VLOOKUP(B18,Morning_Shift!B:F,5,0),"")="",IFERROR(VLOOKUP(B18,Evening_Shift!B:F,5,0),""),IFERROR(VLOOKUP(B18,Morning_Shift!B:F,5,0),""))</f>
        <v>Inbound</v>
      </c>
      <c r="G18" s="2" t="str">
        <f>IF(IFERROR(VLOOKUP($B18,Morning_Shift!$B$4:$BJ$61,MATCH(Both_Shift_Roster!G$2,Morning_Shift!$B$2:$BJ$2,0),0),"")="",IFERROR(VLOOKUP($B18,Evening_Shift!$B$4:$BJ$62,MATCH(Both_Shift_Roster!G$2,Evening_Shift!$B$2:$BJ$2,0),0),""),IFERROR(VLOOKUP($B18,Morning_Shift!$B$4:$BJ$61,MATCH(Both_Shift_Roster!G$2,Morning_Shift!$B$2:$BJ$2,0),0),""))</f>
        <v>7:00-14:30</v>
      </c>
      <c r="H18" s="2" t="str">
        <f>IF(IFERROR(VLOOKUP($B18,Morning_Shift!$B$4:$BJ$61,MATCH(Both_Shift_Roster!H$2,Morning_Shift!$B$2:$BJ$2,0),0),"")="",IFERROR(VLOOKUP($B18,Evening_Shift!$B$4:$BJ$62,MATCH(Both_Shift_Roster!H$2,Evening_Shift!$B$2:$BJ$2,0),0),""),IFERROR(VLOOKUP($B18,Morning_Shift!$B$4:$BJ$61,MATCH(Both_Shift_Roster!H$2,Morning_Shift!$B$2:$BJ$2,0),0),""))</f>
        <v>Agent Choice WO</v>
      </c>
      <c r="I18" s="2" t="str">
        <f>IF(IFERROR(VLOOKUP($B18,Morning_Shift!$B$4:$BJ$61,MATCH(Both_Shift_Roster!I$2,Morning_Shift!$B$2:$BJ$2,0),0),"")="",IFERROR(VLOOKUP($B18,Evening_Shift!$B$4:$BJ$62,MATCH(Both_Shift_Roster!I$2,Evening_Shift!$B$2:$BJ$2,0),0),""),IFERROR(VLOOKUP($B18,Morning_Shift!$B$4:$BJ$61,MATCH(Both_Shift_Roster!I$2,Morning_Shift!$B$2:$BJ$2,0),0),""))</f>
        <v>7:00-14:30</v>
      </c>
      <c r="J18" s="2" t="str">
        <f>IF(IFERROR(VLOOKUP($B18,Morning_Shift!$B$4:$BJ$61,MATCH(Both_Shift_Roster!J$2,Morning_Shift!$B$2:$BJ$2,0),0),"")="",IFERROR(VLOOKUP($B18,Evening_Shift!$B$4:$BJ$62,MATCH(Both_Shift_Roster!J$2,Evening_Shift!$B$2:$BJ$2,0),0),""),IFERROR(VLOOKUP($B18,Morning_Shift!$B$4:$BJ$61,MATCH(Both_Shift_Roster!J$2,Morning_Shift!$B$2:$BJ$2,0),0),""))</f>
        <v>7:00-14:30</v>
      </c>
      <c r="K18" s="2" t="str">
        <f>IF(IFERROR(VLOOKUP($B18,Morning_Shift!$B$4:$BJ$61,MATCH(Both_Shift_Roster!K$2,Morning_Shift!$B$2:$BJ$2,0),0),"")="",IFERROR(VLOOKUP($B18,Evening_Shift!$B$4:$BJ$62,MATCH(Both_Shift_Roster!K$2,Evening_Shift!$B$2:$BJ$2,0),0),""),IFERROR(VLOOKUP($B18,Morning_Shift!$B$4:$BJ$61,MATCH(Both_Shift_Roster!K$2,Morning_Shift!$B$2:$BJ$2,0),0),""))</f>
        <v>7:00-14:30</v>
      </c>
      <c r="L18" s="2" t="str">
        <f>IF(IFERROR(VLOOKUP($B18,Morning_Shift!$B$4:$BJ$61,MATCH(Both_Shift_Roster!L$2,Morning_Shift!$B$2:$BJ$2,0),0),"")="",IFERROR(VLOOKUP($B18,Evening_Shift!$B$4:$BJ$62,MATCH(Both_Shift_Roster!L$2,Evening_Shift!$B$2:$BJ$2,0),0),""),IFERROR(VLOOKUP($B18,Morning_Shift!$B$4:$BJ$61,MATCH(Both_Shift_Roster!L$2,Morning_Shift!$B$2:$BJ$2,0),0),""))</f>
        <v>7:00-14:30</v>
      </c>
      <c r="M18" s="2" t="str">
        <f>IF(IFERROR(VLOOKUP($B18,Morning_Shift!$B$4:$BJ$61,MATCH(Both_Shift_Roster!M$2,Morning_Shift!$B$2:$BJ$2,0),0),"")="",IFERROR(VLOOKUP($B18,Evening_Shift!$B$4:$BJ$62,MATCH(Both_Shift_Roster!M$2,Evening_Shift!$B$2:$BJ$2,0),0),""),IFERROR(VLOOKUP($B18,Morning_Shift!$B$4:$BJ$61,MATCH(Both_Shift_Roster!M$2,Morning_Shift!$B$2:$BJ$2,0),0),""))</f>
        <v>7:00-14:30</v>
      </c>
      <c r="N18" s="2">
        <f t="shared" si="15"/>
        <v>1</v>
      </c>
      <c r="O18" s="2">
        <f t="shared" si="16"/>
        <v>0</v>
      </c>
      <c r="P18" s="2">
        <f t="shared" si="17"/>
        <v>0</v>
      </c>
      <c r="Q18" s="2">
        <f t="shared" si="18"/>
        <v>0</v>
      </c>
      <c r="R18" s="2">
        <f t="shared" si="19"/>
        <v>0</v>
      </c>
      <c r="S18" s="2" t="str">
        <f>IF(IFERROR(VLOOKUP($B18,Morning_Shift!$B$4:$BJ$61,MATCH(Both_Shift_Roster!S$2,Morning_Shift!$B$2:$BJ$2,0),0),"")="",IFERROR(VLOOKUP($B18,Evening_Shift!$B$4:$BJ$62,MATCH(Both_Shift_Roster!S$2,Evening_Shift!$B$2:$BJ$2,0),0),""),IFERROR(VLOOKUP($B18,Morning_Shift!$B$4:$BJ$61,MATCH(Both_Shift_Roster!S$2,Morning_Shift!$B$2:$BJ$2,0),0),""))</f>
        <v>7:00-14:30</v>
      </c>
      <c r="T18" s="2" t="str">
        <f>IF(IFERROR(VLOOKUP($B18,Morning_Shift!$B$4:$BJ$61,MATCH(Both_Shift_Roster!T$2,Morning_Shift!$B$2:$BJ$2,0),0),"")="",IFERROR(VLOOKUP($B18,Evening_Shift!$B$4:$BJ$62,MATCH(Both_Shift_Roster!T$2,Evening_Shift!$B$2:$BJ$2,0),0),""),IFERROR(VLOOKUP($B18,Morning_Shift!$B$4:$BJ$61,MATCH(Both_Shift_Roster!T$2,Morning_Shift!$B$2:$BJ$2,0),0),""))</f>
        <v>7:00-14:30</v>
      </c>
      <c r="U18" s="2" t="str">
        <f>IF(IFERROR(VLOOKUP($B18,Morning_Shift!$B$4:$BJ$61,MATCH(Both_Shift_Roster!U$2,Morning_Shift!$B$2:$BJ$2,0),0),"")="",IFERROR(VLOOKUP($B18,Evening_Shift!$B$4:$BJ$62,MATCH(Both_Shift_Roster!U$2,Evening_Shift!$B$2:$BJ$2,0),0),""),IFERROR(VLOOKUP($B18,Morning_Shift!$B$4:$BJ$61,MATCH(Both_Shift_Roster!U$2,Morning_Shift!$B$2:$BJ$2,0),0),""))</f>
        <v>7:00-14:30</v>
      </c>
      <c r="V18" s="2" t="str">
        <f>IF(IFERROR(VLOOKUP($B18,Morning_Shift!$B$4:$BJ$61,MATCH(Both_Shift_Roster!V$2,Morning_Shift!$B$2:$BJ$2,0),0),"")="",IFERROR(VLOOKUP($B18,Evening_Shift!$B$4:$BJ$62,MATCH(Both_Shift_Roster!V$2,Evening_Shift!$B$2:$BJ$2,0),0),""),IFERROR(VLOOKUP($B18,Morning_Shift!$B$4:$BJ$61,MATCH(Both_Shift_Roster!V$2,Morning_Shift!$B$2:$BJ$2,0),0),""))</f>
        <v>7:00-14:30</v>
      </c>
      <c r="W18" s="2" t="str">
        <f>IF(IFERROR(VLOOKUP($B18,Morning_Shift!$B$4:$BJ$61,MATCH(Both_Shift_Roster!W$2,Morning_Shift!$B$2:$BJ$2,0),0),"")="",IFERROR(VLOOKUP($B18,Evening_Shift!$B$4:$BJ$62,MATCH(Both_Shift_Roster!W$2,Evening_Shift!$B$2:$BJ$2,0),0),""),IFERROR(VLOOKUP($B18,Morning_Shift!$B$4:$BJ$61,MATCH(Both_Shift_Roster!W$2,Morning_Shift!$B$2:$BJ$2,0),0),""))</f>
        <v>7:00-14:30</v>
      </c>
      <c r="X18" s="2" t="str">
        <f>IF(IFERROR(VLOOKUP($B18,Morning_Shift!$B$4:$BJ$61,MATCH(Both_Shift_Roster!X$2,Morning_Shift!$B$2:$BJ$2,0),0),"")="",IFERROR(VLOOKUP($B18,Evening_Shift!$B$4:$BJ$62,MATCH(Both_Shift_Roster!X$2,Evening_Shift!$B$2:$BJ$2,0),0),""),IFERROR(VLOOKUP($B18,Morning_Shift!$B$4:$BJ$61,MATCH(Both_Shift_Roster!X$2,Morning_Shift!$B$2:$BJ$2,0),0),""))</f>
        <v>7:00-14:30</v>
      </c>
      <c r="Y18" s="2" t="str">
        <f>IF(IFERROR(VLOOKUP($B18,Morning_Shift!$B$4:$BJ$61,MATCH(Both_Shift_Roster!Y$2,Morning_Shift!$B$2:$BJ$2,0),0),"")="",IFERROR(VLOOKUP($B18,Evening_Shift!$B$4:$BJ$62,MATCH(Both_Shift_Roster!Y$2,Evening_Shift!$B$2:$BJ$2,0),0),""),IFERROR(VLOOKUP($B18,Morning_Shift!$B$4:$BJ$61,MATCH(Both_Shift_Roster!Y$2,Morning_Shift!$B$2:$BJ$2,0),0),""))</f>
        <v>7:00-14:30</v>
      </c>
      <c r="Z18" s="2">
        <f t="shared" si="20"/>
        <v>0</v>
      </c>
      <c r="AA18" s="2">
        <f t="shared" si="21"/>
        <v>0</v>
      </c>
      <c r="AB18" s="2">
        <f t="shared" si="22"/>
        <v>0</v>
      </c>
      <c r="AC18" s="2">
        <f t="shared" si="23"/>
        <v>0</v>
      </c>
      <c r="AD18" s="2">
        <f t="shared" si="24"/>
        <v>0</v>
      </c>
      <c r="AE18" s="2" t="str">
        <f>IF(IFERROR(VLOOKUP($B18,Morning_Shift!$B$4:$BJ$61,MATCH(Both_Shift_Roster!AE$2,Morning_Shift!$B$2:$BJ$2,0),0),"")="",IFERROR(VLOOKUP($B18,Evening_Shift!$B$4:$BJ$62,MATCH(Both_Shift_Roster!AE$2,Evening_Shift!$B$2:$BJ$2,0),0),""),IFERROR(VLOOKUP($B18,Morning_Shift!$B$4:$BJ$61,MATCH(Both_Shift_Roster!AE$2,Morning_Shift!$B$2:$BJ$2,0),0),""))</f>
        <v>7:00-14:30</v>
      </c>
      <c r="AF18" s="2" t="str">
        <f>IF(IFERROR(VLOOKUP($B18,Morning_Shift!$B$4:$BJ$61,MATCH(Both_Shift_Roster!AF$2,Morning_Shift!$B$2:$BJ$2,0),0),"")="",IFERROR(VLOOKUP($B18,Evening_Shift!$B$4:$BJ$62,MATCH(Both_Shift_Roster!AF$2,Evening_Shift!$B$2:$BJ$2,0),0),""),IFERROR(VLOOKUP($B18,Morning_Shift!$B$4:$BJ$61,MATCH(Both_Shift_Roster!AF$2,Morning_Shift!$B$2:$BJ$2,0),0),""))</f>
        <v>7:00-14:30</v>
      </c>
      <c r="AG18" s="2" t="str">
        <f>IF(IFERROR(VLOOKUP($B18,Morning_Shift!$B$4:$BJ$61,MATCH(Both_Shift_Roster!AG$2,Morning_Shift!$B$2:$BJ$2,0),0),"")="",IFERROR(VLOOKUP($B18,Evening_Shift!$B$4:$BJ$62,MATCH(Both_Shift_Roster!AG$2,Evening_Shift!$B$2:$BJ$2,0),0),""),IFERROR(VLOOKUP($B18,Morning_Shift!$B$4:$BJ$61,MATCH(Both_Shift_Roster!AG$2,Morning_Shift!$B$2:$BJ$2,0),0),""))</f>
        <v>Agent Choice WO</v>
      </c>
      <c r="AH18" s="2" t="str">
        <f>IF(IFERROR(VLOOKUP($B18,Morning_Shift!$B$4:$BJ$61,MATCH(Both_Shift_Roster!AH$2,Morning_Shift!$B$2:$BJ$2,0),0),"")="",IFERROR(VLOOKUP($B18,Evening_Shift!$B$4:$BJ$62,MATCH(Both_Shift_Roster!AH$2,Evening_Shift!$B$2:$BJ$2,0),0),""),IFERROR(VLOOKUP($B18,Morning_Shift!$B$4:$BJ$61,MATCH(Both_Shift_Roster!AH$2,Morning_Shift!$B$2:$BJ$2,0),0),""))</f>
        <v>Agent Choice WO</v>
      </c>
      <c r="AI18" s="2" t="str">
        <f>IF(IFERROR(VLOOKUP($B18,Morning_Shift!$B$4:$BJ$61,MATCH(Both_Shift_Roster!AI$2,Morning_Shift!$B$2:$BJ$2,0),0),"")="",IFERROR(VLOOKUP($B18,Evening_Shift!$B$4:$BJ$62,MATCH(Both_Shift_Roster!AI$2,Evening_Shift!$B$2:$BJ$2,0),0),""),IFERROR(VLOOKUP($B18,Morning_Shift!$B$4:$BJ$61,MATCH(Both_Shift_Roster!AI$2,Morning_Shift!$B$2:$BJ$2,0),0),""))</f>
        <v>7:00-14:30</v>
      </c>
      <c r="AJ18" s="2" t="str">
        <f>IF(IFERROR(VLOOKUP($B18,Morning_Shift!$B$4:$BJ$61,MATCH(Both_Shift_Roster!AJ$2,Morning_Shift!$B$2:$BJ$2,0),0),"")="",IFERROR(VLOOKUP($B18,Evening_Shift!$B$4:$BJ$62,MATCH(Both_Shift_Roster!AJ$2,Evening_Shift!$B$2:$BJ$2,0),0),""),IFERROR(VLOOKUP($B18,Morning_Shift!$B$4:$BJ$61,MATCH(Both_Shift_Roster!AJ$2,Morning_Shift!$B$2:$BJ$2,0),0),""))</f>
        <v>7:00-14:30</v>
      </c>
      <c r="AK18" s="2" t="str">
        <f>IF(IFERROR(VLOOKUP($B18,Morning_Shift!$B$4:$BJ$61,MATCH(Both_Shift_Roster!AK$2,Morning_Shift!$B$2:$BJ$2,0),0),"")="",IFERROR(VLOOKUP($B18,Evening_Shift!$B$4:$BJ$62,MATCH(Both_Shift_Roster!AK$2,Evening_Shift!$B$2:$BJ$2,0),0),""),IFERROR(VLOOKUP($B18,Morning_Shift!$B$4:$BJ$61,MATCH(Both_Shift_Roster!AK$2,Morning_Shift!$B$2:$BJ$2,0),0),""))</f>
        <v>7:00-14:30</v>
      </c>
      <c r="AL18" s="2">
        <f t="shared" si="25"/>
        <v>2</v>
      </c>
      <c r="AM18" s="2">
        <f t="shared" si="26"/>
        <v>0</v>
      </c>
      <c r="AN18" s="2">
        <f t="shared" si="27"/>
        <v>0</v>
      </c>
      <c r="AO18" s="2">
        <f t="shared" si="28"/>
        <v>0</v>
      </c>
      <c r="AP18" s="2">
        <f t="shared" si="29"/>
        <v>0</v>
      </c>
      <c r="AQ18" s="2" t="str">
        <f>IF(IFERROR(VLOOKUP($B18,Morning_Shift!$B$4:$BJ$61,MATCH(Both_Shift_Roster!AQ$2,Morning_Shift!$B$2:$BJ$2,0),0),"")="",IFERROR(VLOOKUP($B18,Evening_Shift!$B$4:$BJ$62,MATCH(Both_Shift_Roster!AQ$2,Evening_Shift!$B$2:$BJ$2,0),0),""),IFERROR(VLOOKUP($B18,Morning_Shift!$B$4:$BJ$61,MATCH(Both_Shift_Roster!AQ$2,Morning_Shift!$B$2:$BJ$2,0),0),""))</f>
        <v>7:00-14:30</v>
      </c>
      <c r="AR18" s="2" t="str">
        <f>IF(IFERROR(VLOOKUP($B18,Morning_Shift!$B$4:$BJ$61,MATCH(Both_Shift_Roster!AR$2,Morning_Shift!$B$2:$BJ$2,0),0),"")="",IFERROR(VLOOKUP($B18,Evening_Shift!$B$4:$BJ$62,MATCH(Both_Shift_Roster!AR$2,Evening_Shift!$B$2:$BJ$2,0),0),""),IFERROR(VLOOKUP($B18,Morning_Shift!$B$4:$BJ$61,MATCH(Both_Shift_Roster!AR$2,Morning_Shift!$B$2:$BJ$2,0),0),""))</f>
        <v>7:00-14:30</v>
      </c>
      <c r="AS18" s="2" t="str">
        <f>IF(IFERROR(VLOOKUP($B18,Morning_Shift!$B$4:$BJ$61,MATCH(Both_Shift_Roster!AS$2,Morning_Shift!$B$2:$BJ$2,0),0),"")="",IFERROR(VLOOKUP($B18,Evening_Shift!$B$4:$BJ$62,MATCH(Both_Shift_Roster!AS$2,Evening_Shift!$B$2:$BJ$2,0),0),""),IFERROR(VLOOKUP($B18,Morning_Shift!$B$4:$BJ$61,MATCH(Both_Shift_Roster!AS$2,Morning_Shift!$B$2:$BJ$2,0),0),""))</f>
        <v>7:00-14:30</v>
      </c>
      <c r="AT18" s="2" t="str">
        <f>IF(IFERROR(VLOOKUP($B18,Morning_Shift!$B$4:$BJ$61,MATCH(Both_Shift_Roster!AT$2,Morning_Shift!$B$2:$BJ$2,0),0),"")="",IFERROR(VLOOKUP($B18,Evening_Shift!$B$4:$BJ$62,MATCH(Both_Shift_Roster!AT$2,Evening_Shift!$B$2:$BJ$2,0),0),""),IFERROR(VLOOKUP($B18,Morning_Shift!$B$4:$BJ$61,MATCH(Both_Shift_Roster!AT$2,Morning_Shift!$B$2:$BJ$2,0),0),""))</f>
        <v>7:00-14:30</v>
      </c>
      <c r="AU18" s="2" t="str">
        <f>IF(IFERROR(VLOOKUP($B18,Morning_Shift!$B$4:$BJ$61,MATCH(Both_Shift_Roster!AU$2,Morning_Shift!$B$2:$BJ$2,0),0),"")="",IFERROR(VLOOKUP($B18,Evening_Shift!$B$4:$BJ$62,MATCH(Both_Shift_Roster!AU$2,Evening_Shift!$B$2:$BJ$2,0),0),""),IFERROR(VLOOKUP($B18,Morning_Shift!$B$4:$BJ$61,MATCH(Both_Shift_Roster!AU$2,Morning_Shift!$B$2:$BJ$2,0),0),""))</f>
        <v>7:00-14:30</v>
      </c>
      <c r="AV18" s="2" t="str">
        <f>IF(IFERROR(VLOOKUP($B18,Morning_Shift!$B$4:$BJ$61,MATCH(Both_Shift_Roster!AV$2,Morning_Shift!$B$2:$BJ$2,0),0),"")="",IFERROR(VLOOKUP($B18,Evening_Shift!$B$4:$BJ$62,MATCH(Both_Shift_Roster!AV$2,Evening_Shift!$B$2:$BJ$2,0),0),""),IFERROR(VLOOKUP($B18,Morning_Shift!$B$4:$BJ$61,MATCH(Both_Shift_Roster!AV$2,Morning_Shift!$B$2:$BJ$2,0),0),""))</f>
        <v>Agent Choice WO</v>
      </c>
      <c r="AW18" s="2" t="str">
        <f>IF(IFERROR(VLOOKUP($B18,Morning_Shift!$B$4:$BJ$61,MATCH(Both_Shift_Roster!AW$2,Morning_Shift!$B$2:$BJ$2,0),0),"")="",IFERROR(VLOOKUP($B18,Evening_Shift!$B$4:$BJ$62,MATCH(Both_Shift_Roster!AW$2,Evening_Shift!$B$2:$BJ$2,0),0),""),IFERROR(VLOOKUP($B18,Morning_Shift!$B$4:$BJ$61,MATCH(Both_Shift_Roster!AW$2,Morning_Shift!$B$2:$BJ$2,0),0),""))</f>
        <v>CL</v>
      </c>
      <c r="AX18" s="2">
        <f t="shared" si="30"/>
        <v>1</v>
      </c>
      <c r="AY18" s="2">
        <f t="shared" si="31"/>
        <v>0</v>
      </c>
      <c r="AZ18" s="2">
        <f t="shared" si="32"/>
        <v>1</v>
      </c>
      <c r="BA18" s="2">
        <f t="shared" si="33"/>
        <v>0</v>
      </c>
      <c r="BB18" s="2">
        <f t="shared" si="34"/>
        <v>0</v>
      </c>
      <c r="BC18" s="2" t="str">
        <f>IF(IFERROR(VLOOKUP($B18,Morning_Shift!$B$4:$BJ$61,MATCH(Both_Shift_Roster!BC$2,Morning_Shift!$B$2:$BJ$2,0),0),"")="",IFERROR(VLOOKUP($B18,Evening_Shift!$B$4:$BJ$62,MATCH(Both_Shift_Roster!BC$2,Evening_Shift!$B$2:$BJ$2,0),0),""),IFERROR(VLOOKUP($B18,Morning_Shift!$B$4:$BJ$61,MATCH(Both_Shift_Roster!BC$2,Morning_Shift!$B$2:$BJ$2,0),0),""))</f>
        <v>7:00-14:30</v>
      </c>
      <c r="BD18" s="2" t="str">
        <f>IF(IFERROR(VLOOKUP($B18,Morning_Shift!$B$4:$BJ$61,MATCH(Both_Shift_Roster!BD$2,Morning_Shift!$B$2:$BJ$2,0),0),"")="",IFERROR(VLOOKUP($B18,Evening_Shift!$B$4:$BJ$62,MATCH(Both_Shift_Roster!BD$2,Evening_Shift!$B$2:$BJ$2,0),0),""),IFERROR(VLOOKUP($B18,Morning_Shift!$B$4:$BJ$61,MATCH(Both_Shift_Roster!BD$2,Morning_Shift!$B$2:$BJ$2,0),0),""))</f>
        <v>7:00-14:30</v>
      </c>
      <c r="BE18" s="2" t="str">
        <f>IF(IFERROR(VLOOKUP($B18,Morning_Shift!$B$4:$BJ$61,MATCH(Both_Shift_Roster!BE$2,Morning_Shift!$B$2:$BJ$2,0),0),"")="",IFERROR(VLOOKUP($B18,Evening_Shift!$B$4:$BJ$59,MATCH(Both_Shift_Roster!BE$2,Evening_Shift!$B$2:$BJ$2,0),0),""),IFERROR(VLOOKUP($B18,Morning_Shift!$B$4:$BJ$61,MATCH(Both_Shift_Roster!BE$2,Morning_Shift!$B$2:$BJ$2,0),0),""))</f>
        <v>7:00-14:30</v>
      </c>
      <c r="BF18" s="2">
        <f t="shared" si="35"/>
        <v>0</v>
      </c>
      <c r="BG18" s="2">
        <f t="shared" si="36"/>
        <v>0</v>
      </c>
      <c r="BH18" s="2">
        <f t="shared" si="37"/>
        <v>0</v>
      </c>
      <c r="BI18" s="2">
        <f t="shared" si="38"/>
        <v>0</v>
      </c>
      <c r="BJ18" s="2">
        <f t="shared" si="39"/>
        <v>0</v>
      </c>
    </row>
    <row r="19" spans="1:62">
      <c r="A19" s="17">
        <f t="shared" si="40"/>
        <v>16</v>
      </c>
      <c r="B19" s="16" t="str">
        <f>Morning_Shift!$B19</f>
        <v>Dritm88</v>
      </c>
      <c r="C19" s="21" t="str">
        <f>IF(IFERROR(VLOOKUP(B19,Morning_Shift!B:C,2,0),"")="",IFERROR(VLOOKUP(B19,Evening_Shift!B:C,2,0),""),IFERROR(VLOOKUP(B19,Morning_Shift!B:C,2,0),""))</f>
        <v>Kameshwar</v>
      </c>
      <c r="D19" s="15" t="str">
        <f>IF(IFERROR(VLOOKUP(B19,Morning_Shift!B:D,3,0),"")="",IFERROR(VLOOKUP(B19,Evening_Shift!B:D,3,0),""),IFERROR(VLOOKUP(B19,Morning_Shift!B:D,3,0),""))</f>
        <v>Naina</v>
      </c>
      <c r="E19" s="4" t="str">
        <f>IF(IFERROR(VLOOKUP(B19,Morning_Shift!B:E,4,0),"")="",IFERROR(VLOOKUP(B19,Evening_Shift!B:E,4,0),""),IFERROR(VLOOKUP(B19,Morning_Shift!B:E,4,0),""))</f>
        <v>M</v>
      </c>
      <c r="F19" s="5" t="str">
        <f>IF(IFERROR(VLOOKUP(B19,Morning_Shift!B:F,5,0),"")="",IFERROR(VLOOKUP(B19,Evening_Shift!B:F,5,0),""),IFERROR(VLOOKUP(B19,Morning_Shift!B:F,5,0),""))</f>
        <v>Inbound</v>
      </c>
      <c r="G19" s="2" t="str">
        <f>IF(IFERROR(VLOOKUP($B19,Morning_Shift!$B$4:$BJ$61,MATCH(Both_Shift_Roster!G$2,Morning_Shift!$B$2:$BJ$2,0),0),"")="",IFERROR(VLOOKUP($B19,Evening_Shift!$B$4:$BJ$62,MATCH(Both_Shift_Roster!G$2,Evening_Shift!$B$2:$BJ$2,0),0),""),IFERROR(VLOOKUP($B19,Morning_Shift!$B$4:$BJ$61,MATCH(Both_Shift_Roster!G$2,Morning_Shift!$B$2:$BJ$2,0),0),""))</f>
        <v>7:00-14:30</v>
      </c>
      <c r="H19" s="2" t="str">
        <f>IF(IFERROR(VLOOKUP($B19,Morning_Shift!$B$4:$BJ$61,MATCH(Both_Shift_Roster!H$2,Morning_Shift!$B$2:$BJ$2,0),0),"")="",IFERROR(VLOOKUP($B19,Evening_Shift!$B$4:$BJ$62,MATCH(Both_Shift_Roster!H$2,Evening_Shift!$B$2:$BJ$2,0),0),""),IFERROR(VLOOKUP($B19,Morning_Shift!$B$4:$BJ$61,MATCH(Both_Shift_Roster!H$2,Morning_Shift!$B$2:$BJ$2,0),0),""))</f>
        <v>7:00-14:30</v>
      </c>
      <c r="I19" s="2" t="str">
        <f>IF(IFERROR(VLOOKUP($B19,Morning_Shift!$B$4:$BJ$61,MATCH(Both_Shift_Roster!I$2,Morning_Shift!$B$2:$BJ$2,0),0),"")="",IFERROR(VLOOKUP($B19,Evening_Shift!$B$4:$BJ$62,MATCH(Both_Shift_Roster!I$2,Evening_Shift!$B$2:$BJ$2,0),0),""),IFERROR(VLOOKUP($B19,Morning_Shift!$B$4:$BJ$61,MATCH(Both_Shift_Roster!I$2,Morning_Shift!$B$2:$BJ$2,0),0),""))</f>
        <v>7:00-14:30</v>
      </c>
      <c r="J19" s="2" t="str">
        <f>IF(IFERROR(VLOOKUP($B19,Morning_Shift!$B$4:$BJ$61,MATCH(Both_Shift_Roster!J$2,Morning_Shift!$B$2:$BJ$2,0),0),"")="",IFERROR(VLOOKUP($B19,Evening_Shift!$B$4:$BJ$62,MATCH(Both_Shift_Roster!J$2,Evening_Shift!$B$2:$BJ$2,0),0),""),IFERROR(VLOOKUP($B19,Morning_Shift!$B$4:$BJ$61,MATCH(Both_Shift_Roster!J$2,Morning_Shift!$B$2:$BJ$2,0),0),""))</f>
        <v>7:00-14:30</v>
      </c>
      <c r="K19" s="2" t="str">
        <f>IF(IFERROR(VLOOKUP($B19,Morning_Shift!$B$4:$BJ$61,MATCH(Both_Shift_Roster!K$2,Morning_Shift!$B$2:$BJ$2,0),0),"")="",IFERROR(VLOOKUP($B19,Evening_Shift!$B$4:$BJ$62,MATCH(Both_Shift_Roster!K$2,Evening_Shift!$B$2:$BJ$2,0),0),""),IFERROR(VLOOKUP($B19,Morning_Shift!$B$4:$BJ$61,MATCH(Both_Shift_Roster!K$2,Morning_Shift!$B$2:$BJ$2,0),0),""))</f>
        <v>7:00-14:30</v>
      </c>
      <c r="L19" s="2" t="str">
        <f>IF(IFERROR(VLOOKUP($B19,Morning_Shift!$B$4:$BJ$61,MATCH(Both_Shift_Roster!L$2,Morning_Shift!$B$2:$BJ$2,0),0),"")="",IFERROR(VLOOKUP($B19,Evening_Shift!$B$4:$BJ$62,MATCH(Both_Shift_Roster!L$2,Evening_Shift!$B$2:$BJ$2,0),0),""),IFERROR(VLOOKUP($B19,Morning_Shift!$B$4:$BJ$61,MATCH(Both_Shift_Roster!L$2,Morning_Shift!$B$2:$BJ$2,0),0),""))</f>
        <v>7:00-14:30</v>
      </c>
      <c r="M19" s="2" t="str">
        <f>IF(IFERROR(VLOOKUP($B19,Morning_Shift!$B$4:$BJ$61,MATCH(Both_Shift_Roster!M$2,Morning_Shift!$B$2:$BJ$2,0),0),"")="",IFERROR(VLOOKUP($B19,Evening_Shift!$B$4:$BJ$62,MATCH(Both_Shift_Roster!M$2,Evening_Shift!$B$2:$BJ$2,0),0),""),IFERROR(VLOOKUP($B19,Morning_Shift!$B$4:$BJ$61,MATCH(Both_Shift_Roster!M$2,Morning_Shift!$B$2:$BJ$2,0),0),""))</f>
        <v>7:00-14:30</v>
      </c>
      <c r="N19" s="2">
        <f t="shared" si="15"/>
        <v>0</v>
      </c>
      <c r="O19" s="2">
        <f t="shared" si="16"/>
        <v>0</v>
      </c>
      <c r="P19" s="2">
        <f t="shared" si="17"/>
        <v>0</v>
      </c>
      <c r="Q19" s="2">
        <f t="shared" si="18"/>
        <v>0</v>
      </c>
      <c r="R19" s="2">
        <f t="shared" si="19"/>
        <v>0</v>
      </c>
      <c r="S19" s="2" t="str">
        <f>IF(IFERROR(VLOOKUP($B19,Morning_Shift!$B$4:$BJ$61,MATCH(Both_Shift_Roster!S$2,Morning_Shift!$B$2:$BJ$2,0),0),"")="",IFERROR(VLOOKUP($B19,Evening_Shift!$B$4:$BJ$62,MATCH(Both_Shift_Roster!S$2,Evening_Shift!$B$2:$BJ$2,0),0),""),IFERROR(VLOOKUP($B19,Morning_Shift!$B$4:$BJ$61,MATCH(Both_Shift_Roster!S$2,Morning_Shift!$B$2:$BJ$2,0),0),""))</f>
        <v>7:00-14:30</v>
      </c>
      <c r="T19" s="2" t="str">
        <f>IF(IFERROR(VLOOKUP($B19,Morning_Shift!$B$4:$BJ$61,MATCH(Both_Shift_Roster!T$2,Morning_Shift!$B$2:$BJ$2,0),0),"")="",IFERROR(VLOOKUP($B19,Evening_Shift!$B$4:$BJ$62,MATCH(Both_Shift_Roster!T$2,Evening_Shift!$B$2:$BJ$2,0),0),""),IFERROR(VLOOKUP($B19,Morning_Shift!$B$4:$BJ$61,MATCH(Both_Shift_Roster!T$2,Morning_Shift!$B$2:$BJ$2,0),0),""))</f>
        <v>7:00-14:30</v>
      </c>
      <c r="U19" s="2" t="str">
        <f>IF(IFERROR(VLOOKUP($B19,Morning_Shift!$B$4:$BJ$61,MATCH(Both_Shift_Roster!U$2,Morning_Shift!$B$2:$BJ$2,0),0),"")="",IFERROR(VLOOKUP($B19,Evening_Shift!$B$4:$BJ$62,MATCH(Both_Shift_Roster!U$2,Evening_Shift!$B$2:$BJ$2,0),0),""),IFERROR(VLOOKUP($B19,Morning_Shift!$B$4:$BJ$61,MATCH(Both_Shift_Roster!U$2,Morning_Shift!$B$2:$BJ$2,0),0),""))</f>
        <v>7:00-14:30</v>
      </c>
      <c r="V19" s="2" t="str">
        <f>IF(IFERROR(VLOOKUP($B19,Morning_Shift!$B$4:$BJ$61,MATCH(Both_Shift_Roster!V$2,Morning_Shift!$B$2:$BJ$2,0),0),"")="",IFERROR(VLOOKUP($B19,Evening_Shift!$B$4:$BJ$62,MATCH(Both_Shift_Roster!V$2,Evening_Shift!$B$2:$BJ$2,0),0),""),IFERROR(VLOOKUP($B19,Morning_Shift!$B$4:$BJ$61,MATCH(Both_Shift_Roster!V$2,Morning_Shift!$B$2:$BJ$2,0),0),""))</f>
        <v>7:00-14:30</v>
      </c>
      <c r="W19" s="2" t="str">
        <f>IF(IFERROR(VLOOKUP($B19,Morning_Shift!$B$4:$BJ$61,MATCH(Both_Shift_Roster!W$2,Morning_Shift!$B$2:$BJ$2,0),0),"")="",IFERROR(VLOOKUP($B19,Evening_Shift!$B$4:$BJ$62,MATCH(Both_Shift_Roster!W$2,Evening_Shift!$B$2:$BJ$2,0),0),""),IFERROR(VLOOKUP($B19,Morning_Shift!$B$4:$BJ$61,MATCH(Both_Shift_Roster!W$2,Morning_Shift!$B$2:$BJ$2,0),0),""))</f>
        <v>7:00-14:30</v>
      </c>
      <c r="X19" s="2" t="str">
        <f>IF(IFERROR(VLOOKUP($B19,Morning_Shift!$B$4:$BJ$61,MATCH(Both_Shift_Roster!X$2,Morning_Shift!$B$2:$BJ$2,0),0),"")="",IFERROR(VLOOKUP($B19,Evening_Shift!$B$4:$BJ$62,MATCH(Both_Shift_Roster!X$2,Evening_Shift!$B$2:$BJ$2,0),0),""),IFERROR(VLOOKUP($B19,Morning_Shift!$B$4:$BJ$61,MATCH(Both_Shift_Roster!X$2,Morning_Shift!$B$2:$BJ$2,0),0),""))</f>
        <v>7:00-14:30</v>
      </c>
      <c r="Y19" s="2" t="str">
        <f>IF(IFERROR(VLOOKUP($B19,Morning_Shift!$B$4:$BJ$61,MATCH(Both_Shift_Roster!Y$2,Morning_Shift!$B$2:$BJ$2,0),0),"")="",IFERROR(VLOOKUP($B19,Evening_Shift!$B$4:$BJ$62,MATCH(Both_Shift_Roster!Y$2,Evening_Shift!$B$2:$BJ$2,0),0),""),IFERROR(VLOOKUP($B19,Morning_Shift!$B$4:$BJ$61,MATCH(Both_Shift_Roster!Y$2,Morning_Shift!$B$2:$BJ$2,0),0),""))</f>
        <v>7:00-14:30</v>
      </c>
      <c r="Z19" s="2">
        <f t="shared" si="20"/>
        <v>0</v>
      </c>
      <c r="AA19" s="2">
        <f t="shared" si="21"/>
        <v>0</v>
      </c>
      <c r="AB19" s="2">
        <f t="shared" si="22"/>
        <v>0</v>
      </c>
      <c r="AC19" s="2">
        <f t="shared" si="23"/>
        <v>0</v>
      </c>
      <c r="AD19" s="2">
        <f t="shared" si="24"/>
        <v>0</v>
      </c>
      <c r="AE19" s="2" t="str">
        <f>IF(IFERROR(VLOOKUP($B19,Morning_Shift!$B$4:$BJ$61,MATCH(Both_Shift_Roster!AE$2,Morning_Shift!$B$2:$BJ$2,0),0),"")="",IFERROR(VLOOKUP($B19,Evening_Shift!$B$4:$BJ$62,MATCH(Both_Shift_Roster!AE$2,Evening_Shift!$B$2:$BJ$2,0),0),""),IFERROR(VLOOKUP($B19,Morning_Shift!$B$4:$BJ$61,MATCH(Both_Shift_Roster!AE$2,Morning_Shift!$B$2:$BJ$2,0),0),""))</f>
        <v>Agent Choice WO</v>
      </c>
      <c r="AF19" s="2" t="str">
        <f>IF(IFERROR(VLOOKUP($B19,Morning_Shift!$B$4:$BJ$61,MATCH(Both_Shift_Roster!AF$2,Morning_Shift!$B$2:$BJ$2,0),0),"")="",IFERROR(VLOOKUP($B19,Evening_Shift!$B$4:$BJ$62,MATCH(Both_Shift_Roster!AF$2,Evening_Shift!$B$2:$BJ$2,0),0),""),IFERROR(VLOOKUP($B19,Morning_Shift!$B$4:$BJ$61,MATCH(Both_Shift_Roster!AF$2,Morning_Shift!$B$2:$BJ$2,0),0),""))</f>
        <v>Agent Choice WO</v>
      </c>
      <c r="AG19" s="2" t="str">
        <f>IF(IFERROR(VLOOKUP($B19,Morning_Shift!$B$4:$BJ$61,MATCH(Both_Shift_Roster!AG$2,Morning_Shift!$B$2:$BJ$2,0),0),"")="",IFERROR(VLOOKUP($B19,Evening_Shift!$B$4:$BJ$62,MATCH(Both_Shift_Roster!AG$2,Evening_Shift!$B$2:$BJ$2,0),0),""),IFERROR(VLOOKUP($B19,Morning_Shift!$B$4:$BJ$61,MATCH(Both_Shift_Roster!AG$2,Morning_Shift!$B$2:$BJ$2,0),0),""))</f>
        <v>7:00-14:30</v>
      </c>
      <c r="AH19" s="2" t="str">
        <f>IF(IFERROR(VLOOKUP($B19,Morning_Shift!$B$4:$BJ$61,MATCH(Both_Shift_Roster!AH$2,Morning_Shift!$B$2:$BJ$2,0),0),"")="",IFERROR(VLOOKUP($B19,Evening_Shift!$B$4:$BJ$62,MATCH(Both_Shift_Roster!AH$2,Evening_Shift!$B$2:$BJ$2,0),0),""),IFERROR(VLOOKUP($B19,Morning_Shift!$B$4:$BJ$61,MATCH(Both_Shift_Roster!AH$2,Morning_Shift!$B$2:$BJ$2,0),0),""))</f>
        <v>Agent Choice WO</v>
      </c>
      <c r="AI19" s="2" t="str">
        <f>IF(IFERROR(VLOOKUP($B19,Morning_Shift!$B$4:$BJ$61,MATCH(Both_Shift_Roster!AI$2,Morning_Shift!$B$2:$BJ$2,0),0),"")="",IFERROR(VLOOKUP($B19,Evening_Shift!$B$4:$BJ$62,MATCH(Both_Shift_Roster!AI$2,Evening_Shift!$B$2:$BJ$2,0),0),""),IFERROR(VLOOKUP($B19,Morning_Shift!$B$4:$BJ$61,MATCH(Both_Shift_Roster!AI$2,Morning_Shift!$B$2:$BJ$2,0),0),""))</f>
        <v>7:00-14:30</v>
      </c>
      <c r="AJ19" s="2" t="str">
        <f>IF(IFERROR(VLOOKUP($B19,Morning_Shift!$B$4:$BJ$61,MATCH(Both_Shift_Roster!AJ$2,Morning_Shift!$B$2:$BJ$2,0),0),"")="",IFERROR(VLOOKUP($B19,Evening_Shift!$B$4:$BJ$62,MATCH(Both_Shift_Roster!AJ$2,Evening_Shift!$B$2:$BJ$2,0),0),""),IFERROR(VLOOKUP($B19,Morning_Shift!$B$4:$BJ$61,MATCH(Both_Shift_Roster!AJ$2,Morning_Shift!$B$2:$BJ$2,0),0),""))</f>
        <v>7:00-14:30</v>
      </c>
      <c r="AK19" s="2" t="str">
        <f>IF(IFERROR(VLOOKUP($B19,Morning_Shift!$B$4:$BJ$61,MATCH(Both_Shift_Roster!AK$2,Morning_Shift!$B$2:$BJ$2,0),0),"")="",IFERROR(VLOOKUP($B19,Evening_Shift!$B$4:$BJ$62,MATCH(Both_Shift_Roster!AK$2,Evening_Shift!$B$2:$BJ$2,0),0),""),IFERROR(VLOOKUP($B19,Morning_Shift!$B$4:$BJ$61,MATCH(Both_Shift_Roster!AK$2,Morning_Shift!$B$2:$BJ$2,0),0),""))</f>
        <v>7:00-14:30</v>
      </c>
      <c r="AL19" s="2">
        <f t="shared" si="25"/>
        <v>3</v>
      </c>
      <c r="AM19" s="2">
        <f t="shared" si="26"/>
        <v>0</v>
      </c>
      <c r="AN19" s="2">
        <f t="shared" si="27"/>
        <v>0</v>
      </c>
      <c r="AO19" s="2">
        <f t="shared" si="28"/>
        <v>0</v>
      </c>
      <c r="AP19" s="2">
        <f t="shared" si="29"/>
        <v>0</v>
      </c>
      <c r="AQ19" s="2" t="str">
        <f>IF(IFERROR(VLOOKUP($B19,Morning_Shift!$B$4:$BJ$61,MATCH(Both_Shift_Roster!AQ$2,Morning_Shift!$B$2:$BJ$2,0),0),"")="",IFERROR(VLOOKUP($B19,Evening_Shift!$B$4:$BJ$62,MATCH(Both_Shift_Roster!AQ$2,Evening_Shift!$B$2:$BJ$2,0),0),""),IFERROR(VLOOKUP($B19,Morning_Shift!$B$4:$BJ$61,MATCH(Both_Shift_Roster!AQ$2,Morning_Shift!$B$2:$BJ$2,0),0),""))</f>
        <v>7:00-14:30</v>
      </c>
      <c r="AR19" s="2" t="str">
        <f>IF(IFERROR(VLOOKUP($B19,Morning_Shift!$B$4:$BJ$61,MATCH(Both_Shift_Roster!AR$2,Morning_Shift!$B$2:$BJ$2,0),0),"")="",IFERROR(VLOOKUP($B19,Evening_Shift!$B$4:$BJ$62,MATCH(Both_Shift_Roster!AR$2,Evening_Shift!$B$2:$BJ$2,0),0),""),IFERROR(VLOOKUP($B19,Morning_Shift!$B$4:$BJ$61,MATCH(Both_Shift_Roster!AR$2,Morning_Shift!$B$2:$BJ$2,0),0),""))</f>
        <v>7:00-14:30</v>
      </c>
      <c r="AS19" s="2" t="str">
        <f>IF(IFERROR(VLOOKUP($B19,Morning_Shift!$B$4:$BJ$61,MATCH(Both_Shift_Roster!AS$2,Morning_Shift!$B$2:$BJ$2,0),0),"")="",IFERROR(VLOOKUP($B19,Evening_Shift!$B$4:$BJ$62,MATCH(Both_Shift_Roster!AS$2,Evening_Shift!$B$2:$BJ$2,0),0),""),IFERROR(VLOOKUP($B19,Morning_Shift!$B$4:$BJ$61,MATCH(Both_Shift_Roster!AS$2,Morning_Shift!$B$2:$BJ$2,0),0),""))</f>
        <v>7:00-14:30</v>
      </c>
      <c r="AT19" s="2" t="str">
        <f>IF(IFERROR(VLOOKUP($B19,Morning_Shift!$B$4:$BJ$61,MATCH(Both_Shift_Roster!AT$2,Morning_Shift!$B$2:$BJ$2,0),0),"")="",IFERROR(VLOOKUP($B19,Evening_Shift!$B$4:$BJ$62,MATCH(Both_Shift_Roster!AT$2,Evening_Shift!$B$2:$BJ$2,0),0),""),IFERROR(VLOOKUP($B19,Morning_Shift!$B$4:$BJ$61,MATCH(Both_Shift_Roster!AT$2,Morning_Shift!$B$2:$BJ$2,0),0),""))</f>
        <v>7:00-14:30</v>
      </c>
      <c r="AU19" s="2" t="str">
        <f>IF(IFERROR(VLOOKUP($B19,Morning_Shift!$B$4:$BJ$61,MATCH(Both_Shift_Roster!AU$2,Morning_Shift!$B$2:$BJ$2,0),0),"")="",IFERROR(VLOOKUP($B19,Evening_Shift!$B$4:$BJ$62,MATCH(Both_Shift_Roster!AU$2,Evening_Shift!$B$2:$BJ$2,0),0),""),IFERROR(VLOOKUP($B19,Morning_Shift!$B$4:$BJ$61,MATCH(Both_Shift_Roster!AU$2,Morning_Shift!$B$2:$BJ$2,0),0),""))</f>
        <v>7:00-14:30</v>
      </c>
      <c r="AV19" s="2" t="str">
        <f>IF(IFERROR(VLOOKUP($B19,Morning_Shift!$B$4:$BJ$61,MATCH(Both_Shift_Roster!AV$2,Morning_Shift!$B$2:$BJ$2,0),0),"")="",IFERROR(VLOOKUP($B19,Evening_Shift!$B$4:$BJ$62,MATCH(Both_Shift_Roster!AV$2,Evening_Shift!$B$2:$BJ$2,0),0),""),IFERROR(VLOOKUP($B19,Morning_Shift!$B$4:$BJ$61,MATCH(Both_Shift_Roster!AV$2,Morning_Shift!$B$2:$BJ$2,0),0),""))</f>
        <v>7:00-14:30</v>
      </c>
      <c r="AW19" s="2" t="str">
        <f>IF(IFERROR(VLOOKUP($B19,Morning_Shift!$B$4:$BJ$61,MATCH(Both_Shift_Roster!AW$2,Morning_Shift!$B$2:$BJ$2,0),0),"")="",IFERROR(VLOOKUP($B19,Evening_Shift!$B$4:$BJ$62,MATCH(Both_Shift_Roster!AW$2,Evening_Shift!$B$2:$BJ$2,0),0),""),IFERROR(VLOOKUP($B19,Morning_Shift!$B$4:$BJ$61,MATCH(Both_Shift_Roster!AW$2,Morning_Shift!$B$2:$BJ$2,0),0),""))</f>
        <v>7:00-14:30</v>
      </c>
      <c r="AX19" s="2">
        <f t="shared" si="30"/>
        <v>0</v>
      </c>
      <c r="AY19" s="2">
        <f t="shared" si="31"/>
        <v>0</v>
      </c>
      <c r="AZ19" s="2">
        <f t="shared" si="32"/>
        <v>0</v>
      </c>
      <c r="BA19" s="2">
        <f t="shared" si="33"/>
        <v>0</v>
      </c>
      <c r="BB19" s="2">
        <f t="shared" si="34"/>
        <v>0</v>
      </c>
      <c r="BC19" s="2" t="str">
        <f>IF(IFERROR(VLOOKUP($B19,Morning_Shift!$B$4:$BJ$61,MATCH(Both_Shift_Roster!BC$2,Morning_Shift!$B$2:$BJ$2,0),0),"")="",IFERROR(VLOOKUP($B19,Evening_Shift!$B$4:$BJ$62,MATCH(Both_Shift_Roster!BC$2,Evening_Shift!$B$2:$BJ$2,0),0),""),IFERROR(VLOOKUP($B19,Morning_Shift!$B$4:$BJ$61,MATCH(Both_Shift_Roster!BC$2,Morning_Shift!$B$2:$BJ$2,0),0),""))</f>
        <v>7:00-14:30</v>
      </c>
      <c r="BD19" s="2" t="str">
        <f>IF(IFERROR(VLOOKUP($B19,Morning_Shift!$B$4:$BJ$61,MATCH(Both_Shift_Roster!BD$2,Morning_Shift!$B$2:$BJ$2,0),0),"")="",IFERROR(VLOOKUP($B19,Evening_Shift!$B$4:$BJ$62,MATCH(Both_Shift_Roster!BD$2,Evening_Shift!$B$2:$BJ$2,0),0),""),IFERROR(VLOOKUP($B19,Morning_Shift!$B$4:$BJ$61,MATCH(Both_Shift_Roster!BD$2,Morning_Shift!$B$2:$BJ$2,0),0),""))</f>
        <v>Agent Choice WO</v>
      </c>
      <c r="BE19" s="2" t="str">
        <f>IF(IFERROR(VLOOKUP($B19,Morning_Shift!$B$4:$BJ$61,MATCH(Both_Shift_Roster!BE$2,Morning_Shift!$B$2:$BJ$2,0),0),"")="",IFERROR(VLOOKUP($B19,Evening_Shift!$B$4:$BJ$59,MATCH(Both_Shift_Roster!BE$2,Evening_Shift!$B$2:$BJ$2,0),0),""),IFERROR(VLOOKUP($B19,Morning_Shift!$B$4:$BJ$61,MATCH(Both_Shift_Roster!BE$2,Morning_Shift!$B$2:$BJ$2,0),0),""))</f>
        <v>7:00-14:30</v>
      </c>
      <c r="BF19" s="2">
        <f t="shared" si="35"/>
        <v>1</v>
      </c>
      <c r="BG19" s="2">
        <f t="shared" si="36"/>
        <v>0</v>
      </c>
      <c r="BH19" s="2">
        <f t="shared" si="37"/>
        <v>0</v>
      </c>
      <c r="BI19" s="2">
        <f t="shared" si="38"/>
        <v>0</v>
      </c>
      <c r="BJ19" s="2">
        <f t="shared" si="39"/>
        <v>0</v>
      </c>
    </row>
    <row r="20" spans="1:62">
      <c r="A20" s="17">
        <f t="shared" si="40"/>
        <v>17</v>
      </c>
      <c r="B20" s="16" t="str">
        <f>Morning_Shift!$B20</f>
        <v>Dritm127</v>
      </c>
      <c r="C20" s="21" t="str">
        <f>IF(IFERROR(VLOOKUP(B20,Morning_Shift!B:C,2,0),"")="",IFERROR(VLOOKUP(B20,Evening_Shift!B:C,2,0),""),IFERROR(VLOOKUP(B20,Morning_Shift!B:C,2,0),""))</f>
        <v>Kiran</v>
      </c>
      <c r="D20" s="15" t="str">
        <f>IF(IFERROR(VLOOKUP(B20,Morning_Shift!B:D,3,0),"")="",IFERROR(VLOOKUP(B20,Evening_Shift!B:D,3,0),""),IFERROR(VLOOKUP(B20,Morning_Shift!B:D,3,0),""))</f>
        <v>Naina</v>
      </c>
      <c r="E20" s="4" t="str">
        <f>IF(IFERROR(VLOOKUP(B20,Morning_Shift!B:E,4,0),"")="",IFERROR(VLOOKUP(B20,Evening_Shift!B:E,4,0),""),IFERROR(VLOOKUP(B20,Morning_Shift!B:E,4,0),""))</f>
        <v>F</v>
      </c>
      <c r="F20" s="5" t="str">
        <f>IF(IFERROR(VLOOKUP(B20,Morning_Shift!B:F,5,0),"")="",IFERROR(VLOOKUP(B20,Evening_Shift!B:F,5,0),""),IFERROR(VLOOKUP(B20,Morning_Shift!B:F,5,0),""))</f>
        <v>Inbound</v>
      </c>
      <c r="G20" s="2" t="str">
        <f>IF(IFERROR(VLOOKUP($B20,Morning_Shift!$B$4:$BJ$61,MATCH(Both_Shift_Roster!G$2,Morning_Shift!$B$2:$BJ$2,0),0),"")="",IFERROR(VLOOKUP($B20,Evening_Shift!$B$4:$BJ$62,MATCH(Both_Shift_Roster!G$2,Evening_Shift!$B$2:$BJ$2,0),0),""),IFERROR(VLOOKUP($B20,Morning_Shift!$B$4:$BJ$61,MATCH(Both_Shift_Roster!G$2,Morning_Shift!$B$2:$BJ$2,0),0),""))</f>
        <v>7:00-14:30</v>
      </c>
      <c r="H20" s="2" t="str">
        <f>IF(IFERROR(VLOOKUP($B20,Morning_Shift!$B$4:$BJ$61,MATCH(Both_Shift_Roster!H$2,Morning_Shift!$B$2:$BJ$2,0),0),"")="",IFERROR(VLOOKUP($B20,Evening_Shift!$B$4:$BJ$62,MATCH(Both_Shift_Roster!H$2,Evening_Shift!$B$2:$BJ$2,0),0),""),IFERROR(VLOOKUP($B20,Morning_Shift!$B$4:$BJ$61,MATCH(Both_Shift_Roster!H$2,Morning_Shift!$B$2:$BJ$2,0),0),""))</f>
        <v>7:00-14:30</v>
      </c>
      <c r="I20" s="2" t="str">
        <f>IF(IFERROR(VLOOKUP($B20,Morning_Shift!$B$4:$BJ$61,MATCH(Both_Shift_Roster!I$2,Morning_Shift!$B$2:$BJ$2,0),0),"")="",IFERROR(VLOOKUP($B20,Evening_Shift!$B$4:$BJ$62,MATCH(Both_Shift_Roster!I$2,Evening_Shift!$B$2:$BJ$2,0),0),""),IFERROR(VLOOKUP($B20,Morning_Shift!$B$4:$BJ$61,MATCH(Both_Shift_Roster!I$2,Morning_Shift!$B$2:$BJ$2,0),0),""))</f>
        <v>7:00-14:30</v>
      </c>
      <c r="J20" s="2" t="str">
        <f>IF(IFERROR(VLOOKUP($B20,Morning_Shift!$B$4:$BJ$61,MATCH(Both_Shift_Roster!J$2,Morning_Shift!$B$2:$BJ$2,0),0),"")="",IFERROR(VLOOKUP($B20,Evening_Shift!$B$4:$BJ$62,MATCH(Both_Shift_Roster!J$2,Evening_Shift!$B$2:$BJ$2,0),0),""),IFERROR(VLOOKUP($B20,Morning_Shift!$B$4:$BJ$61,MATCH(Both_Shift_Roster!J$2,Morning_Shift!$B$2:$BJ$2,0),0),""))</f>
        <v>7:00-14:30</v>
      </c>
      <c r="K20" s="2" t="str">
        <f>IF(IFERROR(VLOOKUP($B20,Morning_Shift!$B$4:$BJ$61,MATCH(Both_Shift_Roster!K$2,Morning_Shift!$B$2:$BJ$2,0),0),"")="",IFERROR(VLOOKUP($B20,Evening_Shift!$B$4:$BJ$62,MATCH(Both_Shift_Roster!K$2,Evening_Shift!$B$2:$BJ$2,0),0),""),IFERROR(VLOOKUP($B20,Morning_Shift!$B$4:$BJ$61,MATCH(Both_Shift_Roster!K$2,Morning_Shift!$B$2:$BJ$2,0),0),""))</f>
        <v>7:00-14:30</v>
      </c>
      <c r="L20" s="2" t="str">
        <f>IF(IFERROR(VLOOKUP($B20,Morning_Shift!$B$4:$BJ$61,MATCH(Both_Shift_Roster!L$2,Morning_Shift!$B$2:$BJ$2,0),0),"")="",IFERROR(VLOOKUP($B20,Evening_Shift!$B$4:$BJ$62,MATCH(Both_Shift_Roster!L$2,Evening_Shift!$B$2:$BJ$2,0),0),""),IFERROR(VLOOKUP($B20,Morning_Shift!$B$4:$BJ$61,MATCH(Both_Shift_Roster!L$2,Morning_Shift!$B$2:$BJ$2,0),0),""))</f>
        <v>7:00-14:30</v>
      </c>
      <c r="M20" s="2" t="str">
        <f>IF(IFERROR(VLOOKUP($B20,Morning_Shift!$B$4:$BJ$61,MATCH(Both_Shift_Roster!M$2,Morning_Shift!$B$2:$BJ$2,0),0),"")="",IFERROR(VLOOKUP($B20,Evening_Shift!$B$4:$BJ$62,MATCH(Both_Shift_Roster!M$2,Evening_Shift!$B$2:$BJ$2,0),0),""),IFERROR(VLOOKUP($B20,Morning_Shift!$B$4:$BJ$61,MATCH(Both_Shift_Roster!M$2,Morning_Shift!$B$2:$BJ$2,0),0),""))</f>
        <v>7:00-14:30</v>
      </c>
      <c r="N20" s="2">
        <f t="shared" si="15"/>
        <v>0</v>
      </c>
      <c r="O20" s="2">
        <f t="shared" si="16"/>
        <v>0</v>
      </c>
      <c r="P20" s="2">
        <f t="shared" si="17"/>
        <v>0</v>
      </c>
      <c r="Q20" s="2">
        <f t="shared" si="18"/>
        <v>0</v>
      </c>
      <c r="R20" s="2">
        <f t="shared" si="19"/>
        <v>0</v>
      </c>
      <c r="S20" s="2" t="str">
        <f>IF(IFERROR(VLOOKUP($B20,Morning_Shift!$B$4:$BJ$61,MATCH(Both_Shift_Roster!S$2,Morning_Shift!$B$2:$BJ$2,0),0),"")="",IFERROR(VLOOKUP($B20,Evening_Shift!$B$4:$BJ$62,MATCH(Both_Shift_Roster!S$2,Evening_Shift!$B$2:$BJ$2,0),0),""),IFERROR(VLOOKUP($B20,Morning_Shift!$B$4:$BJ$61,MATCH(Both_Shift_Roster!S$2,Morning_Shift!$B$2:$BJ$2,0),0),""))</f>
        <v>7:00-14:30</v>
      </c>
      <c r="T20" s="2" t="str">
        <f>IF(IFERROR(VLOOKUP($B20,Morning_Shift!$B$4:$BJ$61,MATCH(Both_Shift_Roster!T$2,Morning_Shift!$B$2:$BJ$2,0),0),"")="",IFERROR(VLOOKUP($B20,Evening_Shift!$B$4:$BJ$62,MATCH(Both_Shift_Roster!T$2,Evening_Shift!$B$2:$BJ$2,0),0),""),IFERROR(VLOOKUP($B20,Morning_Shift!$B$4:$BJ$61,MATCH(Both_Shift_Roster!T$2,Morning_Shift!$B$2:$BJ$2,0),0),""))</f>
        <v>Agent Choice WO</v>
      </c>
      <c r="U20" s="2" t="str">
        <f>IF(IFERROR(VLOOKUP($B20,Morning_Shift!$B$4:$BJ$61,MATCH(Both_Shift_Roster!U$2,Morning_Shift!$B$2:$BJ$2,0),0),"")="",IFERROR(VLOOKUP($B20,Evening_Shift!$B$4:$BJ$62,MATCH(Both_Shift_Roster!U$2,Evening_Shift!$B$2:$BJ$2,0),0),""),IFERROR(VLOOKUP($B20,Morning_Shift!$B$4:$BJ$61,MATCH(Both_Shift_Roster!U$2,Morning_Shift!$B$2:$BJ$2,0),0),""))</f>
        <v>7:00-14:30</v>
      </c>
      <c r="V20" s="2" t="str">
        <f>IF(IFERROR(VLOOKUP($B20,Morning_Shift!$B$4:$BJ$61,MATCH(Both_Shift_Roster!V$2,Morning_Shift!$B$2:$BJ$2,0),0),"")="",IFERROR(VLOOKUP($B20,Evening_Shift!$B$4:$BJ$62,MATCH(Both_Shift_Roster!V$2,Evening_Shift!$B$2:$BJ$2,0),0),""),IFERROR(VLOOKUP($B20,Morning_Shift!$B$4:$BJ$61,MATCH(Both_Shift_Roster!V$2,Morning_Shift!$B$2:$BJ$2,0),0),""))</f>
        <v>7:00-14:30</v>
      </c>
      <c r="W20" s="2" t="str">
        <f>IF(IFERROR(VLOOKUP($B20,Morning_Shift!$B$4:$BJ$61,MATCH(Both_Shift_Roster!W$2,Morning_Shift!$B$2:$BJ$2,0),0),"")="",IFERROR(VLOOKUP($B20,Evening_Shift!$B$4:$BJ$62,MATCH(Both_Shift_Roster!W$2,Evening_Shift!$B$2:$BJ$2,0),0),""),IFERROR(VLOOKUP($B20,Morning_Shift!$B$4:$BJ$61,MATCH(Both_Shift_Roster!W$2,Morning_Shift!$B$2:$BJ$2,0),0),""))</f>
        <v>7:00-14:30</v>
      </c>
      <c r="X20" s="2" t="str">
        <f>IF(IFERROR(VLOOKUP($B20,Morning_Shift!$B$4:$BJ$61,MATCH(Both_Shift_Roster!X$2,Morning_Shift!$B$2:$BJ$2,0),0),"")="",IFERROR(VLOOKUP($B20,Evening_Shift!$B$4:$BJ$62,MATCH(Both_Shift_Roster!X$2,Evening_Shift!$B$2:$BJ$2,0),0),""),IFERROR(VLOOKUP($B20,Morning_Shift!$B$4:$BJ$61,MATCH(Both_Shift_Roster!X$2,Morning_Shift!$B$2:$BJ$2,0),0),""))</f>
        <v>7:00-14:30</v>
      </c>
      <c r="Y20" s="2" t="str">
        <f>IF(IFERROR(VLOOKUP($B20,Morning_Shift!$B$4:$BJ$61,MATCH(Both_Shift_Roster!Y$2,Morning_Shift!$B$2:$BJ$2,0),0),"")="",IFERROR(VLOOKUP($B20,Evening_Shift!$B$4:$BJ$62,MATCH(Both_Shift_Roster!Y$2,Evening_Shift!$B$2:$BJ$2,0),0),""),IFERROR(VLOOKUP($B20,Morning_Shift!$B$4:$BJ$61,MATCH(Both_Shift_Roster!Y$2,Morning_Shift!$B$2:$BJ$2,0),0),""))</f>
        <v>7:00-14:30</v>
      </c>
      <c r="Z20" s="2">
        <f t="shared" si="20"/>
        <v>1</v>
      </c>
      <c r="AA20" s="2">
        <f t="shared" si="21"/>
        <v>0</v>
      </c>
      <c r="AB20" s="2">
        <f t="shared" si="22"/>
        <v>0</v>
      </c>
      <c r="AC20" s="2">
        <f t="shared" si="23"/>
        <v>0</v>
      </c>
      <c r="AD20" s="2">
        <f t="shared" si="24"/>
        <v>0</v>
      </c>
      <c r="AE20" s="2" t="str">
        <f>IF(IFERROR(VLOOKUP($B20,Morning_Shift!$B$4:$BJ$61,MATCH(Both_Shift_Roster!AE$2,Morning_Shift!$B$2:$BJ$2,0),0),"")="",IFERROR(VLOOKUP($B20,Evening_Shift!$B$4:$BJ$62,MATCH(Both_Shift_Roster!AE$2,Evening_Shift!$B$2:$BJ$2,0),0),""),IFERROR(VLOOKUP($B20,Morning_Shift!$B$4:$BJ$61,MATCH(Both_Shift_Roster!AE$2,Morning_Shift!$B$2:$BJ$2,0),0),""))</f>
        <v>7:00-14:30</v>
      </c>
      <c r="AF20" s="2" t="str">
        <f>IF(IFERROR(VLOOKUP($B20,Morning_Shift!$B$4:$BJ$61,MATCH(Both_Shift_Roster!AF$2,Morning_Shift!$B$2:$BJ$2,0),0),"")="",IFERROR(VLOOKUP($B20,Evening_Shift!$B$4:$BJ$62,MATCH(Both_Shift_Roster!AF$2,Evening_Shift!$B$2:$BJ$2,0),0),""),IFERROR(VLOOKUP($B20,Morning_Shift!$B$4:$BJ$61,MATCH(Both_Shift_Roster!AF$2,Morning_Shift!$B$2:$BJ$2,0),0),""))</f>
        <v>7:00-14:30</v>
      </c>
      <c r="AG20" s="2" t="str">
        <f>IF(IFERROR(VLOOKUP($B20,Morning_Shift!$B$4:$BJ$61,MATCH(Both_Shift_Roster!AG$2,Morning_Shift!$B$2:$BJ$2,0),0),"")="",IFERROR(VLOOKUP($B20,Evening_Shift!$B$4:$BJ$62,MATCH(Both_Shift_Roster!AG$2,Evening_Shift!$B$2:$BJ$2,0),0),""),IFERROR(VLOOKUP($B20,Morning_Shift!$B$4:$BJ$61,MATCH(Both_Shift_Roster!AG$2,Morning_Shift!$B$2:$BJ$2,0),0),""))</f>
        <v>Agent Choice WO</v>
      </c>
      <c r="AH20" s="2" t="str">
        <f>IF(IFERROR(VLOOKUP($B20,Morning_Shift!$B$4:$BJ$61,MATCH(Both_Shift_Roster!AH$2,Morning_Shift!$B$2:$BJ$2,0),0),"")="",IFERROR(VLOOKUP($B20,Evening_Shift!$B$4:$BJ$62,MATCH(Both_Shift_Roster!AH$2,Evening_Shift!$B$2:$BJ$2,0),0),""),IFERROR(VLOOKUP($B20,Morning_Shift!$B$4:$BJ$61,MATCH(Both_Shift_Roster!AH$2,Morning_Shift!$B$2:$BJ$2,0),0),""))</f>
        <v>7:00-14:30</v>
      </c>
      <c r="AI20" s="2" t="str">
        <f>IF(IFERROR(VLOOKUP($B20,Morning_Shift!$B$4:$BJ$61,MATCH(Both_Shift_Roster!AI$2,Morning_Shift!$B$2:$BJ$2,0),0),"")="",IFERROR(VLOOKUP($B20,Evening_Shift!$B$4:$BJ$62,MATCH(Both_Shift_Roster!AI$2,Evening_Shift!$B$2:$BJ$2,0),0),""),IFERROR(VLOOKUP($B20,Morning_Shift!$B$4:$BJ$61,MATCH(Both_Shift_Roster!AI$2,Morning_Shift!$B$2:$BJ$2,0),0),""))</f>
        <v>7:00-14:30</v>
      </c>
      <c r="AJ20" s="2" t="str">
        <f>IF(IFERROR(VLOOKUP($B20,Morning_Shift!$B$4:$BJ$61,MATCH(Both_Shift_Roster!AJ$2,Morning_Shift!$B$2:$BJ$2,0),0),"")="",IFERROR(VLOOKUP($B20,Evening_Shift!$B$4:$BJ$62,MATCH(Both_Shift_Roster!AJ$2,Evening_Shift!$B$2:$BJ$2,0),0),""),IFERROR(VLOOKUP($B20,Morning_Shift!$B$4:$BJ$61,MATCH(Both_Shift_Roster!AJ$2,Morning_Shift!$B$2:$BJ$2,0),0),""))</f>
        <v>Agent Choice WO</v>
      </c>
      <c r="AK20" s="2" t="str">
        <f>IF(IFERROR(VLOOKUP($B20,Morning_Shift!$B$4:$BJ$61,MATCH(Both_Shift_Roster!AK$2,Morning_Shift!$B$2:$BJ$2,0),0),"")="",IFERROR(VLOOKUP($B20,Evening_Shift!$B$4:$BJ$62,MATCH(Both_Shift_Roster!AK$2,Evening_Shift!$B$2:$BJ$2,0),0),""),IFERROR(VLOOKUP($B20,Morning_Shift!$B$4:$BJ$61,MATCH(Both_Shift_Roster!AK$2,Morning_Shift!$B$2:$BJ$2,0),0),""))</f>
        <v>Agent Choice WO</v>
      </c>
      <c r="AL20" s="2">
        <f t="shared" si="25"/>
        <v>3</v>
      </c>
      <c r="AM20" s="2">
        <f t="shared" si="26"/>
        <v>0</v>
      </c>
      <c r="AN20" s="2">
        <f t="shared" si="27"/>
        <v>0</v>
      </c>
      <c r="AO20" s="2">
        <f t="shared" si="28"/>
        <v>0</v>
      </c>
      <c r="AP20" s="2">
        <f t="shared" si="29"/>
        <v>0</v>
      </c>
      <c r="AQ20" s="2" t="str">
        <f>IF(IFERROR(VLOOKUP($B20,Morning_Shift!$B$4:$BJ$61,MATCH(Both_Shift_Roster!AQ$2,Morning_Shift!$B$2:$BJ$2,0),0),"")="",IFERROR(VLOOKUP($B20,Evening_Shift!$B$4:$BJ$62,MATCH(Both_Shift_Roster!AQ$2,Evening_Shift!$B$2:$BJ$2,0),0),""),IFERROR(VLOOKUP($B20,Morning_Shift!$B$4:$BJ$61,MATCH(Both_Shift_Roster!AQ$2,Morning_Shift!$B$2:$BJ$2,0),0),""))</f>
        <v>CL</v>
      </c>
      <c r="AR20" s="2" t="str">
        <f>IF(IFERROR(VLOOKUP($B20,Morning_Shift!$B$4:$BJ$61,MATCH(Both_Shift_Roster!AR$2,Morning_Shift!$B$2:$BJ$2,0),0),"")="",IFERROR(VLOOKUP($B20,Evening_Shift!$B$4:$BJ$62,MATCH(Both_Shift_Roster!AR$2,Evening_Shift!$B$2:$BJ$2,0),0),""),IFERROR(VLOOKUP($B20,Morning_Shift!$B$4:$BJ$61,MATCH(Both_Shift_Roster!AR$2,Morning_Shift!$B$2:$BJ$2,0),0),""))</f>
        <v>7:00-14:30</v>
      </c>
      <c r="AS20" s="2" t="str">
        <f>IF(IFERROR(VLOOKUP($B20,Morning_Shift!$B$4:$BJ$61,MATCH(Both_Shift_Roster!AS$2,Morning_Shift!$B$2:$BJ$2,0),0),"")="",IFERROR(VLOOKUP($B20,Evening_Shift!$B$4:$BJ$62,MATCH(Both_Shift_Roster!AS$2,Evening_Shift!$B$2:$BJ$2,0),0),""),IFERROR(VLOOKUP($B20,Morning_Shift!$B$4:$BJ$61,MATCH(Both_Shift_Roster!AS$2,Morning_Shift!$B$2:$BJ$2,0),0),""))</f>
        <v>7:00-14:30</v>
      </c>
      <c r="AT20" s="2" t="str">
        <f>IF(IFERROR(VLOOKUP($B20,Morning_Shift!$B$4:$BJ$61,MATCH(Both_Shift_Roster!AT$2,Morning_Shift!$B$2:$BJ$2,0),0),"")="",IFERROR(VLOOKUP($B20,Evening_Shift!$B$4:$BJ$62,MATCH(Both_Shift_Roster!AT$2,Evening_Shift!$B$2:$BJ$2,0),0),""),IFERROR(VLOOKUP($B20,Morning_Shift!$B$4:$BJ$61,MATCH(Both_Shift_Roster!AT$2,Morning_Shift!$B$2:$BJ$2,0),0),""))</f>
        <v>7:00-14:30</v>
      </c>
      <c r="AU20" s="2" t="str">
        <f>IF(IFERROR(VLOOKUP($B20,Morning_Shift!$B$4:$BJ$61,MATCH(Both_Shift_Roster!AU$2,Morning_Shift!$B$2:$BJ$2,0),0),"")="",IFERROR(VLOOKUP($B20,Evening_Shift!$B$4:$BJ$62,MATCH(Both_Shift_Roster!AU$2,Evening_Shift!$B$2:$BJ$2,0),0),""),IFERROR(VLOOKUP($B20,Morning_Shift!$B$4:$BJ$61,MATCH(Both_Shift_Roster!AU$2,Morning_Shift!$B$2:$BJ$2,0),0),""))</f>
        <v>7:00-14:30</v>
      </c>
      <c r="AV20" s="2" t="str">
        <f>IF(IFERROR(VLOOKUP($B20,Morning_Shift!$B$4:$BJ$61,MATCH(Both_Shift_Roster!AV$2,Morning_Shift!$B$2:$BJ$2,0),0),"")="",IFERROR(VLOOKUP($B20,Evening_Shift!$B$4:$BJ$62,MATCH(Both_Shift_Roster!AV$2,Evening_Shift!$B$2:$BJ$2,0),0),""),IFERROR(VLOOKUP($B20,Morning_Shift!$B$4:$BJ$61,MATCH(Both_Shift_Roster!AV$2,Morning_Shift!$B$2:$BJ$2,0),0),""))</f>
        <v>7:00-14:30</v>
      </c>
      <c r="AW20" s="2" t="str">
        <f>IF(IFERROR(VLOOKUP($B20,Morning_Shift!$B$4:$BJ$61,MATCH(Both_Shift_Roster!AW$2,Morning_Shift!$B$2:$BJ$2,0),0),"")="",IFERROR(VLOOKUP($B20,Evening_Shift!$B$4:$BJ$62,MATCH(Both_Shift_Roster!AW$2,Evening_Shift!$B$2:$BJ$2,0),0),""),IFERROR(VLOOKUP($B20,Morning_Shift!$B$4:$BJ$61,MATCH(Both_Shift_Roster!AW$2,Morning_Shift!$B$2:$BJ$2,0),0),""))</f>
        <v>7:00-14:30</v>
      </c>
      <c r="AX20" s="2">
        <f t="shared" si="30"/>
        <v>0</v>
      </c>
      <c r="AY20" s="2">
        <f t="shared" si="31"/>
        <v>0</v>
      </c>
      <c r="AZ20" s="2">
        <f t="shared" si="32"/>
        <v>1</v>
      </c>
      <c r="BA20" s="2">
        <f t="shared" si="33"/>
        <v>0</v>
      </c>
      <c r="BB20" s="2">
        <f t="shared" si="34"/>
        <v>0</v>
      </c>
      <c r="BC20" s="2" t="str">
        <f>IF(IFERROR(VLOOKUP($B20,Morning_Shift!$B$4:$BJ$61,MATCH(Both_Shift_Roster!BC$2,Morning_Shift!$B$2:$BJ$2,0),0),"")="",IFERROR(VLOOKUP($B20,Evening_Shift!$B$4:$BJ$62,MATCH(Both_Shift_Roster!BC$2,Evening_Shift!$B$2:$BJ$2,0),0),""),IFERROR(VLOOKUP($B20,Morning_Shift!$B$4:$BJ$61,MATCH(Both_Shift_Roster!BC$2,Morning_Shift!$B$2:$BJ$2,0),0),""))</f>
        <v>7:00-14:30</v>
      </c>
      <c r="BD20" s="2" t="str">
        <f>IF(IFERROR(VLOOKUP($B20,Morning_Shift!$B$4:$BJ$61,MATCH(Both_Shift_Roster!BD$2,Morning_Shift!$B$2:$BJ$2,0),0),"")="",IFERROR(VLOOKUP($B20,Evening_Shift!$B$4:$BJ$62,MATCH(Both_Shift_Roster!BD$2,Evening_Shift!$B$2:$BJ$2,0),0),""),IFERROR(VLOOKUP($B20,Morning_Shift!$B$4:$BJ$61,MATCH(Both_Shift_Roster!BD$2,Morning_Shift!$B$2:$BJ$2,0),0),""))</f>
        <v>7:00-14:30</v>
      </c>
      <c r="BE20" s="2" t="str">
        <f>IF(IFERROR(VLOOKUP($B20,Morning_Shift!$B$4:$BJ$61,MATCH(Both_Shift_Roster!BE$2,Morning_Shift!$B$2:$BJ$2,0),0),"")="",IFERROR(VLOOKUP($B20,Evening_Shift!$B$4:$BJ$59,MATCH(Both_Shift_Roster!BE$2,Evening_Shift!$B$2:$BJ$2,0),0),""),IFERROR(VLOOKUP($B20,Morning_Shift!$B$4:$BJ$61,MATCH(Both_Shift_Roster!BE$2,Morning_Shift!$B$2:$BJ$2,0),0),""))</f>
        <v>7:00-14:30</v>
      </c>
      <c r="BF20" s="2">
        <f t="shared" si="35"/>
        <v>0</v>
      </c>
      <c r="BG20" s="2">
        <f t="shared" si="36"/>
        <v>0</v>
      </c>
      <c r="BH20" s="2">
        <f t="shared" si="37"/>
        <v>0</v>
      </c>
      <c r="BI20" s="2">
        <f t="shared" si="38"/>
        <v>0</v>
      </c>
      <c r="BJ20" s="2">
        <f t="shared" si="39"/>
        <v>0</v>
      </c>
    </row>
    <row r="21" spans="1:62">
      <c r="A21" s="17">
        <f t="shared" si="40"/>
        <v>18</v>
      </c>
      <c r="B21" s="16" t="str">
        <f>Morning_Shift!$B21</f>
        <v>Dritm147</v>
      </c>
      <c r="C21" s="21" t="str">
        <f>IF(IFERROR(VLOOKUP(B21,Morning_Shift!B:C,2,0),"")="",IFERROR(VLOOKUP(B21,Evening_Shift!B:C,2,0),""),IFERROR(VLOOKUP(B21,Morning_Shift!B:C,2,0),""))</f>
        <v>Kiran Bhrota</v>
      </c>
      <c r="D21" s="15" t="str">
        <f>IF(IFERROR(VLOOKUP(B21,Morning_Shift!B:D,3,0),"")="",IFERROR(VLOOKUP(B21,Evening_Shift!B:D,3,0),""),IFERROR(VLOOKUP(B21,Morning_Shift!B:D,3,0),""))</f>
        <v>Naina</v>
      </c>
      <c r="E21" s="4" t="str">
        <f>IF(IFERROR(VLOOKUP(B21,Morning_Shift!B:E,4,0),"")="",IFERROR(VLOOKUP(B21,Evening_Shift!B:E,4,0),""),IFERROR(VLOOKUP(B21,Morning_Shift!B:E,4,0),""))</f>
        <v>F</v>
      </c>
      <c r="F21" s="5" t="str">
        <f>IF(IFERROR(VLOOKUP(B21,Morning_Shift!B:F,5,0),"")="",IFERROR(VLOOKUP(B21,Evening_Shift!B:F,5,0),""),IFERROR(VLOOKUP(B21,Morning_Shift!B:F,5,0),""))</f>
        <v>Himseva manual Inbound</v>
      </c>
      <c r="G21" s="2" t="str">
        <f>IF(IFERROR(VLOOKUP($B21,Morning_Shift!$B$4:$BJ$61,MATCH(Both_Shift_Roster!G$2,Morning_Shift!$B$2:$BJ$2,0),0),"")="",IFERROR(VLOOKUP($B21,Evening_Shift!$B$4:$BJ$62,MATCH(Both_Shift_Roster!G$2,Evening_Shift!$B$2:$BJ$2,0),0),""),IFERROR(VLOOKUP($B21,Morning_Shift!$B$4:$BJ$61,MATCH(Both_Shift_Roster!G$2,Morning_Shift!$B$2:$BJ$2,0),0),""))</f>
        <v>10:00-17:30</v>
      </c>
      <c r="H21" s="2" t="str">
        <f>IF(IFERROR(VLOOKUP($B21,Morning_Shift!$B$4:$BJ$61,MATCH(Both_Shift_Roster!H$2,Morning_Shift!$B$2:$BJ$2,0),0),"")="",IFERROR(VLOOKUP($B21,Evening_Shift!$B$4:$BJ$62,MATCH(Both_Shift_Roster!H$2,Evening_Shift!$B$2:$BJ$2,0),0),""),IFERROR(VLOOKUP($B21,Morning_Shift!$B$4:$BJ$61,MATCH(Both_Shift_Roster!H$2,Morning_Shift!$B$2:$BJ$2,0),0),""))</f>
        <v>10:00-17:30</v>
      </c>
      <c r="I21" s="2" t="str">
        <f>IF(IFERROR(VLOOKUP($B21,Morning_Shift!$B$4:$BJ$61,MATCH(Both_Shift_Roster!I$2,Morning_Shift!$B$2:$BJ$2,0),0),"")="",IFERROR(VLOOKUP($B21,Evening_Shift!$B$4:$BJ$62,MATCH(Both_Shift_Roster!I$2,Evening_Shift!$B$2:$BJ$2,0),0),""),IFERROR(VLOOKUP($B21,Morning_Shift!$B$4:$BJ$61,MATCH(Both_Shift_Roster!I$2,Morning_Shift!$B$2:$BJ$2,0),0),""))</f>
        <v>10:00-17:30</v>
      </c>
      <c r="J21" s="2" t="str">
        <f>IF(IFERROR(VLOOKUP($B21,Morning_Shift!$B$4:$BJ$61,MATCH(Both_Shift_Roster!J$2,Morning_Shift!$B$2:$BJ$2,0),0),"")="",IFERROR(VLOOKUP($B21,Evening_Shift!$B$4:$BJ$62,MATCH(Both_Shift_Roster!J$2,Evening_Shift!$B$2:$BJ$2,0),0),""),IFERROR(VLOOKUP($B21,Morning_Shift!$B$4:$BJ$61,MATCH(Both_Shift_Roster!J$2,Morning_Shift!$B$2:$BJ$2,0),0),""))</f>
        <v>10:00-17:30</v>
      </c>
      <c r="K21" s="2" t="str">
        <f>IF(IFERROR(VLOOKUP($B21,Morning_Shift!$B$4:$BJ$61,MATCH(Both_Shift_Roster!K$2,Morning_Shift!$B$2:$BJ$2,0),0),"")="",IFERROR(VLOOKUP($B21,Evening_Shift!$B$4:$BJ$62,MATCH(Both_Shift_Roster!K$2,Evening_Shift!$B$2:$BJ$2,0),0),""),IFERROR(VLOOKUP($B21,Morning_Shift!$B$4:$BJ$61,MATCH(Both_Shift_Roster!K$2,Morning_Shift!$B$2:$BJ$2,0),0),""))</f>
        <v>10:00-17:30</v>
      </c>
      <c r="L21" s="2" t="str">
        <f>IF(IFERROR(VLOOKUP($B21,Morning_Shift!$B$4:$BJ$61,MATCH(Both_Shift_Roster!L$2,Morning_Shift!$B$2:$BJ$2,0),0),"")="",IFERROR(VLOOKUP($B21,Evening_Shift!$B$4:$BJ$62,MATCH(Both_Shift_Roster!L$2,Evening_Shift!$B$2:$BJ$2,0),0),""),IFERROR(VLOOKUP($B21,Morning_Shift!$B$4:$BJ$61,MATCH(Both_Shift_Roster!L$2,Morning_Shift!$B$2:$BJ$2,0),0),""))</f>
        <v>Agent Choice WO</v>
      </c>
      <c r="M21" s="2" t="str">
        <f>IF(IFERROR(VLOOKUP($B21,Morning_Shift!$B$4:$BJ$61,MATCH(Both_Shift_Roster!M$2,Morning_Shift!$B$2:$BJ$2,0),0),"")="",IFERROR(VLOOKUP($B21,Evening_Shift!$B$4:$BJ$62,MATCH(Both_Shift_Roster!M$2,Evening_Shift!$B$2:$BJ$2,0),0),""),IFERROR(VLOOKUP($B21,Morning_Shift!$B$4:$BJ$61,MATCH(Both_Shift_Roster!M$2,Morning_Shift!$B$2:$BJ$2,0),0),""))</f>
        <v>10:00-17:30</v>
      </c>
      <c r="N21" s="2">
        <f t="shared" si="15"/>
        <v>1</v>
      </c>
      <c r="O21" s="2">
        <f t="shared" si="16"/>
        <v>0</v>
      </c>
      <c r="P21" s="2">
        <f t="shared" si="17"/>
        <v>0</v>
      </c>
      <c r="Q21" s="2">
        <f t="shared" si="18"/>
        <v>0</v>
      </c>
      <c r="R21" s="2">
        <f t="shared" si="19"/>
        <v>0</v>
      </c>
      <c r="S21" s="2" t="str">
        <f>IF(IFERROR(VLOOKUP($B21,Morning_Shift!$B$4:$BJ$61,MATCH(Both_Shift_Roster!S$2,Morning_Shift!$B$2:$BJ$2,0),0),"")="",IFERROR(VLOOKUP($B21,Evening_Shift!$B$4:$BJ$62,MATCH(Both_Shift_Roster!S$2,Evening_Shift!$B$2:$BJ$2,0),0),""),IFERROR(VLOOKUP($B21,Morning_Shift!$B$4:$BJ$61,MATCH(Both_Shift_Roster!S$2,Morning_Shift!$B$2:$BJ$2,0),0),""))</f>
        <v>10:00-17:30</v>
      </c>
      <c r="T21" s="2" t="str">
        <f>IF(IFERROR(VLOOKUP($B21,Morning_Shift!$B$4:$BJ$61,MATCH(Both_Shift_Roster!T$2,Morning_Shift!$B$2:$BJ$2,0),0),"")="",IFERROR(VLOOKUP($B21,Evening_Shift!$B$4:$BJ$62,MATCH(Both_Shift_Roster!T$2,Evening_Shift!$B$2:$BJ$2,0),0),""),IFERROR(VLOOKUP($B21,Morning_Shift!$B$4:$BJ$61,MATCH(Both_Shift_Roster!T$2,Morning_Shift!$B$2:$BJ$2,0),0),""))</f>
        <v>10:00-17:30</v>
      </c>
      <c r="U21" s="2" t="str">
        <f>IF(IFERROR(VLOOKUP($B21,Morning_Shift!$B$4:$BJ$61,MATCH(Both_Shift_Roster!U$2,Morning_Shift!$B$2:$BJ$2,0),0),"")="",IFERROR(VLOOKUP($B21,Evening_Shift!$B$4:$BJ$62,MATCH(Both_Shift_Roster!U$2,Evening_Shift!$B$2:$BJ$2,0),0),""),IFERROR(VLOOKUP($B21,Morning_Shift!$B$4:$BJ$61,MATCH(Both_Shift_Roster!U$2,Morning_Shift!$B$2:$BJ$2,0),0),""))</f>
        <v>10:00-17:30</v>
      </c>
      <c r="V21" s="2" t="str">
        <f>IF(IFERROR(VLOOKUP($B21,Morning_Shift!$B$4:$BJ$61,MATCH(Both_Shift_Roster!V$2,Morning_Shift!$B$2:$BJ$2,0),0),"")="",IFERROR(VLOOKUP($B21,Evening_Shift!$B$4:$BJ$62,MATCH(Both_Shift_Roster!V$2,Evening_Shift!$B$2:$BJ$2,0),0),""),IFERROR(VLOOKUP($B21,Morning_Shift!$B$4:$BJ$61,MATCH(Both_Shift_Roster!V$2,Morning_Shift!$B$2:$BJ$2,0),0),""))</f>
        <v>10:00-17:30</v>
      </c>
      <c r="W21" s="2" t="str">
        <f>IF(IFERROR(VLOOKUP($B21,Morning_Shift!$B$4:$BJ$61,MATCH(Both_Shift_Roster!W$2,Morning_Shift!$B$2:$BJ$2,0),0),"")="",IFERROR(VLOOKUP($B21,Evening_Shift!$B$4:$BJ$62,MATCH(Both_Shift_Roster!W$2,Evening_Shift!$B$2:$BJ$2,0),0),""),IFERROR(VLOOKUP($B21,Morning_Shift!$B$4:$BJ$61,MATCH(Both_Shift_Roster!W$2,Morning_Shift!$B$2:$BJ$2,0),0),""))</f>
        <v>10:00-17:30</v>
      </c>
      <c r="X21" s="2" t="str">
        <f>IF(IFERROR(VLOOKUP($B21,Morning_Shift!$B$4:$BJ$61,MATCH(Both_Shift_Roster!X$2,Morning_Shift!$B$2:$BJ$2,0),0),"")="",IFERROR(VLOOKUP($B21,Evening_Shift!$B$4:$BJ$62,MATCH(Both_Shift_Roster!X$2,Evening_Shift!$B$2:$BJ$2,0),0),""),IFERROR(VLOOKUP($B21,Morning_Shift!$B$4:$BJ$61,MATCH(Both_Shift_Roster!X$2,Morning_Shift!$B$2:$BJ$2,0),0),""))</f>
        <v>Agent Choice WO</v>
      </c>
      <c r="Y21" s="2" t="str">
        <f>IF(IFERROR(VLOOKUP($B21,Morning_Shift!$B$4:$BJ$61,MATCH(Both_Shift_Roster!Y$2,Morning_Shift!$B$2:$BJ$2,0),0),"")="",IFERROR(VLOOKUP($B21,Evening_Shift!$B$4:$BJ$62,MATCH(Both_Shift_Roster!Y$2,Evening_Shift!$B$2:$BJ$2,0),0),""),IFERROR(VLOOKUP($B21,Morning_Shift!$B$4:$BJ$61,MATCH(Both_Shift_Roster!Y$2,Morning_Shift!$B$2:$BJ$2,0),0),""))</f>
        <v>10:00-17:30</v>
      </c>
      <c r="Z21" s="2">
        <f t="shared" si="20"/>
        <v>1</v>
      </c>
      <c r="AA21" s="2">
        <f t="shared" si="21"/>
        <v>0</v>
      </c>
      <c r="AB21" s="2">
        <f t="shared" si="22"/>
        <v>0</v>
      </c>
      <c r="AC21" s="2">
        <f t="shared" si="23"/>
        <v>0</v>
      </c>
      <c r="AD21" s="2">
        <f t="shared" si="24"/>
        <v>0</v>
      </c>
      <c r="AE21" s="2" t="str">
        <f>IF(IFERROR(VLOOKUP($B21,Morning_Shift!$B$4:$BJ$61,MATCH(Both_Shift_Roster!AE$2,Morning_Shift!$B$2:$BJ$2,0),0),"")="",IFERROR(VLOOKUP($B21,Evening_Shift!$B$4:$BJ$62,MATCH(Both_Shift_Roster!AE$2,Evening_Shift!$B$2:$BJ$2,0),0),""),IFERROR(VLOOKUP($B21,Morning_Shift!$B$4:$BJ$61,MATCH(Both_Shift_Roster!AE$2,Morning_Shift!$B$2:$BJ$2,0),0),""))</f>
        <v>10:00-17:30</v>
      </c>
      <c r="AF21" s="2" t="str">
        <f>IF(IFERROR(VLOOKUP($B21,Morning_Shift!$B$4:$BJ$61,MATCH(Both_Shift_Roster!AF$2,Morning_Shift!$B$2:$BJ$2,0),0),"")="",IFERROR(VLOOKUP($B21,Evening_Shift!$B$4:$BJ$62,MATCH(Both_Shift_Roster!AF$2,Evening_Shift!$B$2:$BJ$2,0),0),""),IFERROR(VLOOKUP($B21,Morning_Shift!$B$4:$BJ$61,MATCH(Both_Shift_Roster!AF$2,Morning_Shift!$B$2:$BJ$2,0),0),""))</f>
        <v>10:00-17:30</v>
      </c>
      <c r="AG21" s="2" t="str">
        <f>IF(IFERROR(VLOOKUP($B21,Morning_Shift!$B$4:$BJ$61,MATCH(Both_Shift_Roster!AG$2,Morning_Shift!$B$2:$BJ$2,0),0),"")="",IFERROR(VLOOKUP($B21,Evening_Shift!$B$4:$BJ$62,MATCH(Both_Shift_Roster!AG$2,Evening_Shift!$B$2:$BJ$2,0),0),""),IFERROR(VLOOKUP($B21,Morning_Shift!$B$4:$BJ$61,MATCH(Both_Shift_Roster!AG$2,Morning_Shift!$B$2:$BJ$2,0),0),""))</f>
        <v>10:00-17:30</v>
      </c>
      <c r="AH21" s="2" t="str">
        <f>IF(IFERROR(VLOOKUP($B21,Morning_Shift!$B$4:$BJ$61,MATCH(Both_Shift_Roster!AH$2,Morning_Shift!$B$2:$BJ$2,0),0),"")="",IFERROR(VLOOKUP($B21,Evening_Shift!$B$4:$BJ$62,MATCH(Both_Shift_Roster!AH$2,Evening_Shift!$B$2:$BJ$2,0),0),""),IFERROR(VLOOKUP($B21,Morning_Shift!$B$4:$BJ$61,MATCH(Both_Shift_Roster!AH$2,Morning_Shift!$B$2:$BJ$2,0),0),""))</f>
        <v>10:00-17:30</v>
      </c>
      <c r="AI21" s="2" t="str">
        <f>IF(IFERROR(VLOOKUP($B21,Morning_Shift!$B$4:$BJ$61,MATCH(Both_Shift_Roster!AI$2,Morning_Shift!$B$2:$BJ$2,0),0),"")="",IFERROR(VLOOKUP($B21,Evening_Shift!$B$4:$BJ$62,MATCH(Both_Shift_Roster!AI$2,Evening_Shift!$B$2:$BJ$2,0),0),""),IFERROR(VLOOKUP($B21,Morning_Shift!$B$4:$BJ$61,MATCH(Both_Shift_Roster!AI$2,Morning_Shift!$B$2:$BJ$2,0),0),""))</f>
        <v>10:00-17:30</v>
      </c>
      <c r="AJ21" s="2" t="str">
        <f>IF(IFERROR(VLOOKUP($B21,Morning_Shift!$B$4:$BJ$61,MATCH(Both_Shift_Roster!AJ$2,Morning_Shift!$B$2:$BJ$2,0),0),"")="",IFERROR(VLOOKUP($B21,Evening_Shift!$B$4:$BJ$62,MATCH(Both_Shift_Roster!AJ$2,Evening_Shift!$B$2:$BJ$2,0),0),""),IFERROR(VLOOKUP($B21,Morning_Shift!$B$4:$BJ$61,MATCH(Both_Shift_Roster!AJ$2,Morning_Shift!$B$2:$BJ$2,0),0),""))</f>
        <v>Agent Choice WO</v>
      </c>
      <c r="AK21" s="2" t="str">
        <f>IF(IFERROR(VLOOKUP($B21,Morning_Shift!$B$4:$BJ$61,MATCH(Both_Shift_Roster!AK$2,Morning_Shift!$B$2:$BJ$2,0),0),"")="",IFERROR(VLOOKUP($B21,Evening_Shift!$B$4:$BJ$62,MATCH(Both_Shift_Roster!AK$2,Evening_Shift!$B$2:$BJ$2,0),0),""),IFERROR(VLOOKUP($B21,Morning_Shift!$B$4:$BJ$61,MATCH(Both_Shift_Roster!AK$2,Morning_Shift!$B$2:$BJ$2,0),0),""))</f>
        <v>10:00-17:30</v>
      </c>
      <c r="AL21" s="2">
        <f t="shared" si="25"/>
        <v>1</v>
      </c>
      <c r="AM21" s="2">
        <f t="shared" si="26"/>
        <v>0</v>
      </c>
      <c r="AN21" s="2">
        <f t="shared" si="27"/>
        <v>0</v>
      </c>
      <c r="AO21" s="2">
        <f t="shared" si="28"/>
        <v>0</v>
      </c>
      <c r="AP21" s="2">
        <f t="shared" si="29"/>
        <v>0</v>
      </c>
      <c r="AQ21" s="2" t="str">
        <f>IF(IFERROR(VLOOKUP($B21,Morning_Shift!$B$4:$BJ$61,MATCH(Both_Shift_Roster!AQ$2,Morning_Shift!$B$2:$BJ$2,0),0),"")="",IFERROR(VLOOKUP($B21,Evening_Shift!$B$4:$BJ$62,MATCH(Both_Shift_Roster!AQ$2,Evening_Shift!$B$2:$BJ$2,0),0),""),IFERROR(VLOOKUP($B21,Morning_Shift!$B$4:$BJ$61,MATCH(Both_Shift_Roster!AQ$2,Morning_Shift!$B$2:$BJ$2,0),0),""))</f>
        <v>10:00-17:30</v>
      </c>
      <c r="AR21" s="2" t="str">
        <f>IF(IFERROR(VLOOKUP($B21,Morning_Shift!$B$4:$BJ$61,MATCH(Both_Shift_Roster!AR$2,Morning_Shift!$B$2:$BJ$2,0),0),"")="",IFERROR(VLOOKUP($B21,Evening_Shift!$B$4:$BJ$62,MATCH(Both_Shift_Roster!AR$2,Evening_Shift!$B$2:$BJ$2,0),0),""),IFERROR(VLOOKUP($B21,Morning_Shift!$B$4:$BJ$61,MATCH(Both_Shift_Roster!AR$2,Morning_Shift!$B$2:$BJ$2,0),0),""))</f>
        <v>10:00-17:30</v>
      </c>
      <c r="AS21" s="2" t="str">
        <f>IF(IFERROR(VLOOKUP($B21,Morning_Shift!$B$4:$BJ$61,MATCH(Both_Shift_Roster!AS$2,Morning_Shift!$B$2:$BJ$2,0),0),"")="",IFERROR(VLOOKUP($B21,Evening_Shift!$B$4:$BJ$62,MATCH(Both_Shift_Roster!AS$2,Evening_Shift!$B$2:$BJ$2,0),0),""),IFERROR(VLOOKUP($B21,Morning_Shift!$B$4:$BJ$61,MATCH(Both_Shift_Roster!AS$2,Morning_Shift!$B$2:$BJ$2,0),0),""))</f>
        <v>10:00-17:30</v>
      </c>
      <c r="AT21" s="2" t="str">
        <f>IF(IFERROR(VLOOKUP($B21,Morning_Shift!$B$4:$BJ$61,MATCH(Both_Shift_Roster!AT$2,Morning_Shift!$B$2:$BJ$2,0),0),"")="",IFERROR(VLOOKUP($B21,Evening_Shift!$B$4:$BJ$62,MATCH(Both_Shift_Roster!AT$2,Evening_Shift!$B$2:$BJ$2,0),0),""),IFERROR(VLOOKUP($B21,Morning_Shift!$B$4:$BJ$61,MATCH(Both_Shift_Roster!AT$2,Morning_Shift!$B$2:$BJ$2,0),0),""))</f>
        <v>Agent Choice WO</v>
      </c>
      <c r="AU21" s="2" t="str">
        <f>IF(IFERROR(VLOOKUP($B21,Morning_Shift!$B$4:$BJ$61,MATCH(Both_Shift_Roster!AU$2,Morning_Shift!$B$2:$BJ$2,0),0),"")="",IFERROR(VLOOKUP($B21,Evening_Shift!$B$4:$BJ$62,MATCH(Both_Shift_Roster!AU$2,Evening_Shift!$B$2:$BJ$2,0),0),""),IFERROR(VLOOKUP($B21,Morning_Shift!$B$4:$BJ$61,MATCH(Both_Shift_Roster!AU$2,Morning_Shift!$B$2:$BJ$2,0),0),""))</f>
        <v>10:00-17:30</v>
      </c>
      <c r="AV21" s="2" t="str">
        <f>IF(IFERROR(VLOOKUP($B21,Morning_Shift!$B$4:$BJ$61,MATCH(Both_Shift_Roster!AV$2,Morning_Shift!$B$2:$BJ$2,0),0),"")="",IFERROR(VLOOKUP($B21,Evening_Shift!$B$4:$BJ$62,MATCH(Both_Shift_Roster!AV$2,Evening_Shift!$B$2:$BJ$2,0),0),""),IFERROR(VLOOKUP($B21,Morning_Shift!$B$4:$BJ$61,MATCH(Both_Shift_Roster!AV$2,Morning_Shift!$B$2:$BJ$2,0),0),""))</f>
        <v>Agent Choice WO</v>
      </c>
      <c r="AW21" s="2" t="str">
        <f>IF(IFERROR(VLOOKUP($B21,Morning_Shift!$B$4:$BJ$61,MATCH(Both_Shift_Roster!AW$2,Morning_Shift!$B$2:$BJ$2,0),0),"")="",IFERROR(VLOOKUP($B21,Evening_Shift!$B$4:$BJ$62,MATCH(Both_Shift_Roster!AW$2,Evening_Shift!$B$2:$BJ$2,0),0),""),IFERROR(VLOOKUP($B21,Morning_Shift!$B$4:$BJ$61,MATCH(Both_Shift_Roster!AW$2,Morning_Shift!$B$2:$BJ$2,0),0),""))</f>
        <v>10:00-17:30</v>
      </c>
      <c r="AX21" s="2">
        <f t="shared" si="30"/>
        <v>2</v>
      </c>
      <c r="AY21" s="2">
        <f t="shared" si="31"/>
        <v>0</v>
      </c>
      <c r="AZ21" s="2">
        <f t="shared" si="32"/>
        <v>0</v>
      </c>
      <c r="BA21" s="2">
        <f t="shared" si="33"/>
        <v>0</v>
      </c>
      <c r="BB21" s="2">
        <f t="shared" si="34"/>
        <v>0</v>
      </c>
      <c r="BC21" s="2" t="str">
        <f>IF(IFERROR(VLOOKUP($B21,Morning_Shift!$B$4:$BJ$61,MATCH(Both_Shift_Roster!BC$2,Morning_Shift!$B$2:$BJ$2,0),0),"")="",IFERROR(VLOOKUP($B21,Evening_Shift!$B$4:$BJ$62,MATCH(Both_Shift_Roster!BC$2,Evening_Shift!$B$2:$BJ$2,0),0),""),IFERROR(VLOOKUP($B21,Morning_Shift!$B$4:$BJ$61,MATCH(Both_Shift_Roster!BC$2,Morning_Shift!$B$2:$BJ$2,0),0),""))</f>
        <v>10:00-17:30</v>
      </c>
      <c r="BD21" s="2" t="str">
        <f>IF(IFERROR(VLOOKUP($B21,Morning_Shift!$B$4:$BJ$61,MATCH(Both_Shift_Roster!BD$2,Morning_Shift!$B$2:$BJ$2,0),0),"")="",IFERROR(VLOOKUP($B21,Evening_Shift!$B$4:$BJ$62,MATCH(Both_Shift_Roster!BD$2,Evening_Shift!$B$2:$BJ$2,0),0),""),IFERROR(VLOOKUP($B21,Morning_Shift!$B$4:$BJ$61,MATCH(Both_Shift_Roster!BD$2,Morning_Shift!$B$2:$BJ$2,0),0),""))</f>
        <v>10:00-17:30</v>
      </c>
      <c r="BE21" s="2" t="str">
        <f>IF(IFERROR(VLOOKUP($B21,Morning_Shift!$B$4:$BJ$61,MATCH(Both_Shift_Roster!BE$2,Morning_Shift!$B$2:$BJ$2,0),0),"")="",IFERROR(VLOOKUP($B21,Evening_Shift!$B$4:$BJ$59,MATCH(Both_Shift_Roster!BE$2,Evening_Shift!$B$2:$BJ$2,0),0),""),IFERROR(VLOOKUP($B21,Morning_Shift!$B$4:$BJ$61,MATCH(Both_Shift_Roster!BE$2,Morning_Shift!$B$2:$BJ$2,0),0),""))</f>
        <v>10:00-17:30</v>
      </c>
      <c r="BF21" s="2">
        <f t="shared" si="35"/>
        <v>0</v>
      </c>
      <c r="BG21" s="2">
        <f t="shared" si="36"/>
        <v>0</v>
      </c>
      <c r="BH21" s="2">
        <f t="shared" si="37"/>
        <v>0</v>
      </c>
      <c r="BI21" s="2">
        <f t="shared" si="38"/>
        <v>0</v>
      </c>
      <c r="BJ21" s="2">
        <f t="shared" si="39"/>
        <v>0</v>
      </c>
    </row>
    <row r="22" spans="1:62">
      <c r="A22" s="17">
        <f t="shared" si="40"/>
        <v>19</v>
      </c>
      <c r="B22" s="16" t="str">
        <f>Morning_Shift!$B22</f>
        <v>Dritm113</v>
      </c>
      <c r="C22" s="21" t="str">
        <f>IF(IFERROR(VLOOKUP(B22,Morning_Shift!B:C,2,0),"")="",IFERROR(VLOOKUP(B22,Evening_Shift!B:C,2,0),""),IFERROR(VLOOKUP(B22,Morning_Shift!B:C,2,0),""))</f>
        <v xml:space="preserve">Kiran Sharma </v>
      </c>
      <c r="D22" s="15" t="str">
        <f>IF(IFERROR(VLOOKUP(B22,Morning_Shift!B:D,3,0),"")="",IFERROR(VLOOKUP(B22,Evening_Shift!B:D,3,0),""),IFERROR(VLOOKUP(B22,Morning_Shift!B:D,3,0),""))</f>
        <v>Naina</v>
      </c>
      <c r="E22" s="4" t="str">
        <f>IF(IFERROR(VLOOKUP(B22,Morning_Shift!B:E,4,0),"")="",IFERROR(VLOOKUP(B22,Evening_Shift!B:E,4,0),""),IFERROR(VLOOKUP(B22,Morning_Shift!B:E,4,0),""))</f>
        <v>F</v>
      </c>
      <c r="F22" s="5" t="str">
        <f>IF(IFERROR(VLOOKUP(B22,Morning_Shift!B:F,5,0),"")="",IFERROR(VLOOKUP(B22,Evening_Shift!B:F,5,0),""),IFERROR(VLOOKUP(B22,Morning_Shift!B:F,5,0),""))</f>
        <v>Inbound</v>
      </c>
      <c r="G22" s="2" t="str">
        <f>IF(IFERROR(VLOOKUP($B22,Morning_Shift!$B$4:$BJ$61,MATCH(Both_Shift_Roster!G$2,Morning_Shift!$B$2:$BJ$2,0),0),"")="",IFERROR(VLOOKUP($B22,Evening_Shift!$B$4:$BJ$62,MATCH(Both_Shift_Roster!G$2,Evening_Shift!$B$2:$BJ$2,0),0),""),IFERROR(VLOOKUP($B22,Morning_Shift!$B$4:$BJ$61,MATCH(Both_Shift_Roster!G$2,Morning_Shift!$B$2:$BJ$2,0),0),""))</f>
        <v>7:00-14:30</v>
      </c>
      <c r="H22" s="2" t="str">
        <f>IF(IFERROR(VLOOKUP($B22,Morning_Shift!$B$4:$BJ$61,MATCH(Both_Shift_Roster!H$2,Morning_Shift!$B$2:$BJ$2,0),0),"")="",IFERROR(VLOOKUP($B22,Evening_Shift!$B$4:$BJ$62,MATCH(Both_Shift_Roster!H$2,Evening_Shift!$B$2:$BJ$2,0),0),""),IFERROR(VLOOKUP($B22,Morning_Shift!$B$4:$BJ$61,MATCH(Both_Shift_Roster!H$2,Morning_Shift!$B$2:$BJ$2,0),0),""))</f>
        <v>7:00-14:30</v>
      </c>
      <c r="I22" s="2" t="str">
        <f>IF(IFERROR(VLOOKUP($B22,Morning_Shift!$B$4:$BJ$61,MATCH(Both_Shift_Roster!I$2,Morning_Shift!$B$2:$BJ$2,0),0),"")="",IFERROR(VLOOKUP($B22,Evening_Shift!$B$4:$BJ$62,MATCH(Both_Shift_Roster!I$2,Evening_Shift!$B$2:$BJ$2,0),0),""),IFERROR(VLOOKUP($B22,Morning_Shift!$B$4:$BJ$61,MATCH(Both_Shift_Roster!I$2,Morning_Shift!$B$2:$BJ$2,0),0),""))</f>
        <v>7:00-14:30</v>
      </c>
      <c r="J22" s="2" t="str">
        <f>IF(IFERROR(VLOOKUP($B22,Morning_Shift!$B$4:$BJ$61,MATCH(Both_Shift_Roster!J$2,Morning_Shift!$B$2:$BJ$2,0),0),"")="",IFERROR(VLOOKUP($B22,Evening_Shift!$B$4:$BJ$62,MATCH(Both_Shift_Roster!J$2,Evening_Shift!$B$2:$BJ$2,0),0),""),IFERROR(VLOOKUP($B22,Morning_Shift!$B$4:$BJ$61,MATCH(Both_Shift_Roster!J$2,Morning_Shift!$B$2:$BJ$2,0),0),""))</f>
        <v>Agent Choice WO</v>
      </c>
      <c r="K22" s="2" t="str">
        <f>IF(IFERROR(VLOOKUP($B22,Morning_Shift!$B$4:$BJ$61,MATCH(Both_Shift_Roster!K$2,Morning_Shift!$B$2:$BJ$2,0),0),"")="",IFERROR(VLOOKUP($B22,Evening_Shift!$B$4:$BJ$62,MATCH(Both_Shift_Roster!K$2,Evening_Shift!$B$2:$BJ$2,0),0),""),IFERROR(VLOOKUP($B22,Morning_Shift!$B$4:$BJ$61,MATCH(Both_Shift_Roster!K$2,Morning_Shift!$B$2:$BJ$2,0),0),""))</f>
        <v>Agent Choice WO</v>
      </c>
      <c r="L22" s="2" t="str">
        <f>IF(IFERROR(VLOOKUP($B22,Morning_Shift!$B$4:$BJ$61,MATCH(Both_Shift_Roster!L$2,Morning_Shift!$B$2:$BJ$2,0),0),"")="",IFERROR(VLOOKUP($B22,Evening_Shift!$B$4:$BJ$62,MATCH(Both_Shift_Roster!L$2,Evening_Shift!$B$2:$BJ$2,0),0),""),IFERROR(VLOOKUP($B22,Morning_Shift!$B$4:$BJ$61,MATCH(Both_Shift_Roster!L$2,Morning_Shift!$B$2:$BJ$2,0),0),""))</f>
        <v>Agent Choice WO</v>
      </c>
      <c r="M22" s="2" t="str">
        <f>IF(IFERROR(VLOOKUP($B22,Morning_Shift!$B$4:$BJ$61,MATCH(Both_Shift_Roster!M$2,Morning_Shift!$B$2:$BJ$2,0),0),"")="",IFERROR(VLOOKUP($B22,Evening_Shift!$B$4:$BJ$62,MATCH(Both_Shift_Roster!M$2,Evening_Shift!$B$2:$BJ$2,0),0),""),IFERROR(VLOOKUP($B22,Morning_Shift!$B$4:$BJ$61,MATCH(Both_Shift_Roster!M$2,Morning_Shift!$B$2:$BJ$2,0),0),""))</f>
        <v>7:00-14:30</v>
      </c>
      <c r="N22" s="2">
        <f t="shared" si="15"/>
        <v>3</v>
      </c>
      <c r="O22" s="2">
        <f t="shared" si="16"/>
        <v>0</v>
      </c>
      <c r="P22" s="2">
        <f t="shared" si="17"/>
        <v>0</v>
      </c>
      <c r="Q22" s="2">
        <f t="shared" si="18"/>
        <v>0</v>
      </c>
      <c r="R22" s="2">
        <f t="shared" si="19"/>
        <v>0</v>
      </c>
      <c r="S22" s="2" t="str">
        <f>IF(IFERROR(VLOOKUP($B22,Morning_Shift!$B$4:$BJ$61,MATCH(Both_Shift_Roster!S$2,Morning_Shift!$B$2:$BJ$2,0),0),"")="",IFERROR(VLOOKUP($B22,Evening_Shift!$B$4:$BJ$62,MATCH(Both_Shift_Roster!S$2,Evening_Shift!$B$2:$BJ$2,0),0),""),IFERROR(VLOOKUP($B22,Morning_Shift!$B$4:$BJ$61,MATCH(Both_Shift_Roster!S$2,Morning_Shift!$B$2:$BJ$2,0),0),""))</f>
        <v>7:00-14:30</v>
      </c>
      <c r="T22" s="2" t="str">
        <f>IF(IFERROR(VLOOKUP($B22,Morning_Shift!$B$4:$BJ$61,MATCH(Both_Shift_Roster!T$2,Morning_Shift!$B$2:$BJ$2,0),0),"")="",IFERROR(VLOOKUP($B22,Evening_Shift!$B$4:$BJ$62,MATCH(Both_Shift_Roster!T$2,Evening_Shift!$B$2:$BJ$2,0),0),""),IFERROR(VLOOKUP($B22,Morning_Shift!$B$4:$BJ$61,MATCH(Both_Shift_Roster!T$2,Morning_Shift!$B$2:$BJ$2,0),0),""))</f>
        <v>7:00-14:30</v>
      </c>
      <c r="U22" s="2" t="str">
        <f>IF(IFERROR(VLOOKUP($B22,Morning_Shift!$B$4:$BJ$61,MATCH(Both_Shift_Roster!U$2,Morning_Shift!$B$2:$BJ$2,0),0),"")="",IFERROR(VLOOKUP($B22,Evening_Shift!$B$4:$BJ$62,MATCH(Both_Shift_Roster!U$2,Evening_Shift!$B$2:$BJ$2,0),0),""),IFERROR(VLOOKUP($B22,Morning_Shift!$B$4:$BJ$61,MATCH(Both_Shift_Roster!U$2,Morning_Shift!$B$2:$BJ$2,0),0),""))</f>
        <v>7:00-14:30</v>
      </c>
      <c r="V22" s="2" t="str">
        <f>IF(IFERROR(VLOOKUP($B22,Morning_Shift!$B$4:$BJ$61,MATCH(Both_Shift_Roster!V$2,Morning_Shift!$B$2:$BJ$2,0),0),"")="",IFERROR(VLOOKUP($B22,Evening_Shift!$B$4:$BJ$62,MATCH(Both_Shift_Roster!V$2,Evening_Shift!$B$2:$BJ$2,0),0),""),IFERROR(VLOOKUP($B22,Morning_Shift!$B$4:$BJ$61,MATCH(Both_Shift_Roster!V$2,Morning_Shift!$B$2:$BJ$2,0),0),""))</f>
        <v>7:00-14:30</v>
      </c>
      <c r="W22" s="2" t="str">
        <f>IF(IFERROR(VLOOKUP($B22,Morning_Shift!$B$4:$BJ$61,MATCH(Both_Shift_Roster!W$2,Morning_Shift!$B$2:$BJ$2,0),0),"")="",IFERROR(VLOOKUP($B22,Evening_Shift!$B$4:$BJ$62,MATCH(Both_Shift_Roster!W$2,Evening_Shift!$B$2:$BJ$2,0),0),""),IFERROR(VLOOKUP($B22,Morning_Shift!$B$4:$BJ$61,MATCH(Both_Shift_Roster!W$2,Morning_Shift!$B$2:$BJ$2,0),0),""))</f>
        <v>7:00-14:30</v>
      </c>
      <c r="X22" s="2" t="str">
        <f>IF(IFERROR(VLOOKUP($B22,Morning_Shift!$B$4:$BJ$61,MATCH(Both_Shift_Roster!X$2,Morning_Shift!$B$2:$BJ$2,0),0),"")="",IFERROR(VLOOKUP($B22,Evening_Shift!$B$4:$BJ$62,MATCH(Both_Shift_Roster!X$2,Evening_Shift!$B$2:$BJ$2,0),0),""),IFERROR(VLOOKUP($B22,Morning_Shift!$B$4:$BJ$61,MATCH(Both_Shift_Roster!X$2,Morning_Shift!$B$2:$BJ$2,0),0),""))</f>
        <v>7:00-14:30</v>
      </c>
      <c r="Y22" s="2" t="str">
        <f>IF(IFERROR(VLOOKUP($B22,Morning_Shift!$B$4:$BJ$61,MATCH(Both_Shift_Roster!Y$2,Morning_Shift!$B$2:$BJ$2,0),0),"")="",IFERROR(VLOOKUP($B22,Evening_Shift!$B$4:$BJ$62,MATCH(Both_Shift_Roster!Y$2,Evening_Shift!$B$2:$BJ$2,0),0),""),IFERROR(VLOOKUP($B22,Morning_Shift!$B$4:$BJ$61,MATCH(Both_Shift_Roster!Y$2,Morning_Shift!$B$2:$BJ$2,0),0),""))</f>
        <v>7:00-14:30</v>
      </c>
      <c r="Z22" s="2">
        <f t="shared" si="20"/>
        <v>0</v>
      </c>
      <c r="AA22" s="2">
        <f t="shared" si="21"/>
        <v>0</v>
      </c>
      <c r="AB22" s="2">
        <f t="shared" si="22"/>
        <v>0</v>
      </c>
      <c r="AC22" s="2">
        <f t="shared" si="23"/>
        <v>0</v>
      </c>
      <c r="AD22" s="2">
        <f t="shared" si="24"/>
        <v>0</v>
      </c>
      <c r="AE22" s="2" t="str">
        <f>IF(IFERROR(VLOOKUP($B22,Morning_Shift!$B$4:$BJ$61,MATCH(Both_Shift_Roster!AE$2,Morning_Shift!$B$2:$BJ$2,0),0),"")="",IFERROR(VLOOKUP($B22,Evening_Shift!$B$4:$BJ$62,MATCH(Both_Shift_Roster!AE$2,Evening_Shift!$B$2:$BJ$2,0),0),""),IFERROR(VLOOKUP($B22,Morning_Shift!$B$4:$BJ$61,MATCH(Both_Shift_Roster!AE$2,Morning_Shift!$B$2:$BJ$2,0),0),""))</f>
        <v>7:00-14:30</v>
      </c>
      <c r="AF22" s="2" t="str">
        <f>IF(IFERROR(VLOOKUP($B22,Morning_Shift!$B$4:$BJ$61,MATCH(Both_Shift_Roster!AF$2,Morning_Shift!$B$2:$BJ$2,0),0),"")="",IFERROR(VLOOKUP($B22,Evening_Shift!$B$4:$BJ$62,MATCH(Both_Shift_Roster!AF$2,Evening_Shift!$B$2:$BJ$2,0),0),""),IFERROR(VLOOKUP($B22,Morning_Shift!$B$4:$BJ$61,MATCH(Both_Shift_Roster!AF$2,Morning_Shift!$B$2:$BJ$2,0),0),""))</f>
        <v>7:00-14:30</v>
      </c>
      <c r="AG22" s="2" t="str">
        <f>IF(IFERROR(VLOOKUP($B22,Morning_Shift!$B$4:$BJ$61,MATCH(Both_Shift_Roster!AG$2,Morning_Shift!$B$2:$BJ$2,0),0),"")="",IFERROR(VLOOKUP($B22,Evening_Shift!$B$4:$BJ$62,MATCH(Both_Shift_Roster!AG$2,Evening_Shift!$B$2:$BJ$2,0),0),""),IFERROR(VLOOKUP($B22,Morning_Shift!$B$4:$BJ$61,MATCH(Both_Shift_Roster!AG$2,Morning_Shift!$B$2:$BJ$2,0),0),""))</f>
        <v>7:00-14:30</v>
      </c>
      <c r="AH22" s="2" t="str">
        <f>IF(IFERROR(VLOOKUP($B22,Morning_Shift!$B$4:$BJ$61,MATCH(Both_Shift_Roster!AH$2,Morning_Shift!$B$2:$BJ$2,0),0),"")="",IFERROR(VLOOKUP($B22,Evening_Shift!$B$4:$BJ$62,MATCH(Both_Shift_Roster!AH$2,Evening_Shift!$B$2:$BJ$2,0),0),""),IFERROR(VLOOKUP($B22,Morning_Shift!$B$4:$BJ$61,MATCH(Both_Shift_Roster!AH$2,Morning_Shift!$B$2:$BJ$2,0),0),""))</f>
        <v>Agent Choice WO</v>
      </c>
      <c r="AI22" s="2" t="str">
        <f>IF(IFERROR(VLOOKUP($B22,Morning_Shift!$B$4:$BJ$61,MATCH(Both_Shift_Roster!AI$2,Morning_Shift!$B$2:$BJ$2,0),0),"")="",IFERROR(VLOOKUP($B22,Evening_Shift!$B$4:$BJ$62,MATCH(Both_Shift_Roster!AI$2,Evening_Shift!$B$2:$BJ$2,0),0),""),IFERROR(VLOOKUP($B22,Morning_Shift!$B$4:$BJ$61,MATCH(Both_Shift_Roster!AI$2,Morning_Shift!$B$2:$BJ$2,0),0),""))</f>
        <v>7:00-14:30</v>
      </c>
      <c r="AJ22" s="2" t="str">
        <f>IF(IFERROR(VLOOKUP($B22,Morning_Shift!$B$4:$BJ$61,MATCH(Both_Shift_Roster!AJ$2,Morning_Shift!$B$2:$BJ$2,0),0),"")="",IFERROR(VLOOKUP($B22,Evening_Shift!$B$4:$BJ$62,MATCH(Both_Shift_Roster!AJ$2,Evening_Shift!$B$2:$BJ$2,0),0),""),IFERROR(VLOOKUP($B22,Morning_Shift!$B$4:$BJ$61,MATCH(Both_Shift_Roster!AJ$2,Morning_Shift!$B$2:$BJ$2,0),0),""))</f>
        <v>7:00-14:30</v>
      </c>
      <c r="AK22" s="2" t="str">
        <f>IF(IFERROR(VLOOKUP($B22,Morning_Shift!$B$4:$BJ$61,MATCH(Both_Shift_Roster!AK$2,Morning_Shift!$B$2:$BJ$2,0),0),"")="",IFERROR(VLOOKUP($B22,Evening_Shift!$B$4:$BJ$62,MATCH(Both_Shift_Roster!AK$2,Evening_Shift!$B$2:$BJ$2,0),0),""),IFERROR(VLOOKUP($B22,Morning_Shift!$B$4:$BJ$61,MATCH(Both_Shift_Roster!AK$2,Morning_Shift!$B$2:$BJ$2,0),0),""))</f>
        <v>7:00-14:30</v>
      </c>
      <c r="AL22" s="2">
        <f t="shared" si="25"/>
        <v>1</v>
      </c>
      <c r="AM22" s="2">
        <f t="shared" si="26"/>
        <v>0</v>
      </c>
      <c r="AN22" s="2">
        <f t="shared" si="27"/>
        <v>0</v>
      </c>
      <c r="AO22" s="2">
        <f t="shared" si="28"/>
        <v>0</v>
      </c>
      <c r="AP22" s="2">
        <f t="shared" si="29"/>
        <v>0</v>
      </c>
      <c r="AQ22" s="2" t="str">
        <f>IF(IFERROR(VLOOKUP($B22,Morning_Shift!$B$4:$BJ$61,MATCH(Both_Shift_Roster!AQ$2,Morning_Shift!$B$2:$BJ$2,0),0),"")="",IFERROR(VLOOKUP($B22,Evening_Shift!$B$4:$BJ$62,MATCH(Both_Shift_Roster!AQ$2,Evening_Shift!$B$2:$BJ$2,0),0),""),IFERROR(VLOOKUP($B22,Morning_Shift!$B$4:$BJ$61,MATCH(Both_Shift_Roster!AQ$2,Morning_Shift!$B$2:$BJ$2,0),0),""))</f>
        <v>7:00-14:30</v>
      </c>
      <c r="AR22" s="2" t="str">
        <f>IF(IFERROR(VLOOKUP($B22,Morning_Shift!$B$4:$BJ$61,MATCH(Both_Shift_Roster!AR$2,Morning_Shift!$B$2:$BJ$2,0),0),"")="",IFERROR(VLOOKUP($B22,Evening_Shift!$B$4:$BJ$62,MATCH(Both_Shift_Roster!AR$2,Evening_Shift!$B$2:$BJ$2,0),0),""),IFERROR(VLOOKUP($B22,Morning_Shift!$B$4:$BJ$61,MATCH(Both_Shift_Roster!AR$2,Morning_Shift!$B$2:$BJ$2,0),0),""))</f>
        <v>7:00-14:30</v>
      </c>
      <c r="AS22" s="2" t="str">
        <f>IF(IFERROR(VLOOKUP($B22,Morning_Shift!$B$4:$BJ$61,MATCH(Both_Shift_Roster!AS$2,Morning_Shift!$B$2:$BJ$2,0),0),"")="",IFERROR(VLOOKUP($B22,Evening_Shift!$B$4:$BJ$62,MATCH(Both_Shift_Roster!AS$2,Evening_Shift!$B$2:$BJ$2,0),0),""),IFERROR(VLOOKUP($B22,Morning_Shift!$B$4:$BJ$61,MATCH(Both_Shift_Roster!AS$2,Morning_Shift!$B$2:$BJ$2,0),0),""))</f>
        <v>7:00-14:30</v>
      </c>
      <c r="AT22" s="2" t="str">
        <f>IF(IFERROR(VLOOKUP($B22,Morning_Shift!$B$4:$BJ$61,MATCH(Both_Shift_Roster!AT$2,Morning_Shift!$B$2:$BJ$2,0),0),"")="",IFERROR(VLOOKUP($B22,Evening_Shift!$B$4:$BJ$62,MATCH(Both_Shift_Roster!AT$2,Evening_Shift!$B$2:$BJ$2,0),0),""),IFERROR(VLOOKUP($B22,Morning_Shift!$B$4:$BJ$61,MATCH(Both_Shift_Roster!AT$2,Morning_Shift!$B$2:$BJ$2,0),0),""))</f>
        <v>7:00-14:30</v>
      </c>
      <c r="AU22" s="2" t="str">
        <f>IF(IFERROR(VLOOKUP($B22,Morning_Shift!$B$4:$BJ$61,MATCH(Both_Shift_Roster!AU$2,Morning_Shift!$B$2:$BJ$2,0),0),"")="",IFERROR(VLOOKUP($B22,Evening_Shift!$B$4:$BJ$62,MATCH(Both_Shift_Roster!AU$2,Evening_Shift!$B$2:$BJ$2,0),0),""),IFERROR(VLOOKUP($B22,Morning_Shift!$B$4:$BJ$61,MATCH(Both_Shift_Roster!AU$2,Morning_Shift!$B$2:$BJ$2,0),0),""))</f>
        <v>7:00-14:30</v>
      </c>
      <c r="AV22" s="2" t="str">
        <f>IF(IFERROR(VLOOKUP($B22,Morning_Shift!$B$4:$BJ$61,MATCH(Both_Shift_Roster!AV$2,Morning_Shift!$B$2:$BJ$2,0),0),"")="",IFERROR(VLOOKUP($B22,Evening_Shift!$B$4:$BJ$62,MATCH(Both_Shift_Roster!AV$2,Evening_Shift!$B$2:$BJ$2,0),0),""),IFERROR(VLOOKUP($B22,Morning_Shift!$B$4:$BJ$61,MATCH(Both_Shift_Roster!AV$2,Morning_Shift!$B$2:$BJ$2,0),0),""))</f>
        <v>7:00-14:30</v>
      </c>
      <c r="AW22" s="2" t="str">
        <f>IF(IFERROR(VLOOKUP($B22,Morning_Shift!$B$4:$BJ$61,MATCH(Both_Shift_Roster!AW$2,Morning_Shift!$B$2:$BJ$2,0),0),"")="",IFERROR(VLOOKUP($B22,Evening_Shift!$B$4:$BJ$62,MATCH(Both_Shift_Roster!AW$2,Evening_Shift!$B$2:$BJ$2,0),0),""),IFERROR(VLOOKUP($B22,Morning_Shift!$B$4:$BJ$61,MATCH(Both_Shift_Roster!AW$2,Morning_Shift!$B$2:$BJ$2,0),0),""))</f>
        <v>7:00-14:30</v>
      </c>
      <c r="AX22" s="2">
        <f t="shared" si="30"/>
        <v>0</v>
      </c>
      <c r="AY22" s="2">
        <f t="shared" si="31"/>
        <v>0</v>
      </c>
      <c r="AZ22" s="2">
        <f t="shared" si="32"/>
        <v>0</v>
      </c>
      <c r="BA22" s="2">
        <f t="shared" si="33"/>
        <v>0</v>
      </c>
      <c r="BB22" s="2">
        <f t="shared" si="34"/>
        <v>0</v>
      </c>
      <c r="BC22" s="2" t="str">
        <f>IF(IFERROR(VLOOKUP($B22,Morning_Shift!$B$4:$BJ$61,MATCH(Both_Shift_Roster!BC$2,Morning_Shift!$B$2:$BJ$2,0),0),"")="",IFERROR(VLOOKUP($B22,Evening_Shift!$B$4:$BJ$62,MATCH(Both_Shift_Roster!BC$2,Evening_Shift!$B$2:$BJ$2,0),0),""),IFERROR(VLOOKUP($B22,Morning_Shift!$B$4:$BJ$61,MATCH(Both_Shift_Roster!BC$2,Morning_Shift!$B$2:$BJ$2,0),0),""))</f>
        <v>7:00-14:30</v>
      </c>
      <c r="BD22" s="2" t="str">
        <f>IF(IFERROR(VLOOKUP($B22,Morning_Shift!$B$4:$BJ$61,MATCH(Both_Shift_Roster!BD$2,Morning_Shift!$B$2:$BJ$2,0),0),"")="",IFERROR(VLOOKUP($B22,Evening_Shift!$B$4:$BJ$62,MATCH(Both_Shift_Roster!BD$2,Evening_Shift!$B$2:$BJ$2,0),0),""),IFERROR(VLOOKUP($B22,Morning_Shift!$B$4:$BJ$61,MATCH(Both_Shift_Roster!BD$2,Morning_Shift!$B$2:$BJ$2,0),0),""))</f>
        <v>7:00-14:30</v>
      </c>
      <c r="BE22" s="2" t="str">
        <f>IF(IFERROR(VLOOKUP($B22,Morning_Shift!$B$4:$BJ$61,MATCH(Both_Shift_Roster!BE$2,Morning_Shift!$B$2:$BJ$2,0),0),"")="",IFERROR(VLOOKUP($B22,Evening_Shift!$B$4:$BJ$59,MATCH(Both_Shift_Roster!BE$2,Evening_Shift!$B$2:$BJ$2,0),0),""),IFERROR(VLOOKUP($B22,Morning_Shift!$B$4:$BJ$61,MATCH(Both_Shift_Roster!BE$2,Morning_Shift!$B$2:$BJ$2,0),0),""))</f>
        <v>7:00-14:30</v>
      </c>
      <c r="BF22" s="2">
        <f t="shared" si="35"/>
        <v>0</v>
      </c>
      <c r="BG22" s="2">
        <f t="shared" si="36"/>
        <v>0</v>
      </c>
      <c r="BH22" s="2">
        <f t="shared" si="37"/>
        <v>0</v>
      </c>
      <c r="BI22" s="2">
        <f t="shared" si="38"/>
        <v>0</v>
      </c>
      <c r="BJ22" s="2">
        <f t="shared" si="39"/>
        <v>0</v>
      </c>
    </row>
    <row r="23" spans="1:62">
      <c r="A23" s="17">
        <f t="shared" si="40"/>
        <v>20</v>
      </c>
      <c r="B23" s="16" t="str">
        <f>Morning_Shift!$B23</f>
        <v>Dritm24</v>
      </c>
      <c r="C23" s="21" t="str">
        <f>IF(IFERROR(VLOOKUP(B23,Morning_Shift!B:C,2,0),"")="",IFERROR(VLOOKUP(B23,Evening_Shift!B:C,2,0),""),IFERROR(VLOOKUP(B23,Morning_Shift!B:C,2,0),""))</f>
        <v>Kumari Anju</v>
      </c>
      <c r="D23" s="15" t="str">
        <f>IF(IFERROR(VLOOKUP(B23,Morning_Shift!B:D,3,0),"")="",IFERROR(VLOOKUP(B23,Evening_Shift!B:D,3,0),""),IFERROR(VLOOKUP(B23,Morning_Shift!B:D,3,0),""))</f>
        <v>Naina</v>
      </c>
      <c r="E23" s="4" t="str">
        <f>IF(IFERROR(VLOOKUP(B23,Morning_Shift!B:E,4,0),"")="",IFERROR(VLOOKUP(B23,Evening_Shift!B:E,4,0),""),IFERROR(VLOOKUP(B23,Morning_Shift!B:E,4,0),""))</f>
        <v>F</v>
      </c>
      <c r="F23" s="5" t="str">
        <f>IF(IFERROR(VLOOKUP(B23,Morning_Shift!B:F,5,0),"")="",IFERROR(VLOOKUP(B23,Evening_Shift!B:F,5,0),""),IFERROR(VLOOKUP(B23,Morning_Shift!B:F,5,0),""))</f>
        <v>Himseva manual preview</v>
      </c>
      <c r="G23" s="2" t="str">
        <f>IF(IFERROR(VLOOKUP($B23,Morning_Shift!$B$4:$BJ$61,MATCH(Both_Shift_Roster!G$2,Morning_Shift!$B$2:$BJ$2,0),0),"")="",IFERROR(VLOOKUP($B23,Evening_Shift!$B$4:$BJ$62,MATCH(Both_Shift_Roster!G$2,Evening_Shift!$B$2:$BJ$2,0),0),""),IFERROR(VLOOKUP($B23,Morning_Shift!$B$4:$BJ$61,MATCH(Both_Shift_Roster!G$2,Morning_Shift!$B$2:$BJ$2,0),0),""))</f>
        <v>7:00-14:30</v>
      </c>
      <c r="H23" s="2" t="str">
        <f>IF(IFERROR(VLOOKUP($B23,Morning_Shift!$B$4:$BJ$61,MATCH(Both_Shift_Roster!H$2,Morning_Shift!$B$2:$BJ$2,0),0),"")="",IFERROR(VLOOKUP($B23,Evening_Shift!$B$4:$BJ$62,MATCH(Both_Shift_Roster!H$2,Evening_Shift!$B$2:$BJ$2,0),0),""),IFERROR(VLOOKUP($B23,Morning_Shift!$B$4:$BJ$61,MATCH(Both_Shift_Roster!H$2,Morning_Shift!$B$2:$BJ$2,0),0),""))</f>
        <v>7:00-14:30</v>
      </c>
      <c r="I23" s="2" t="str">
        <f>IF(IFERROR(VLOOKUP($B23,Morning_Shift!$B$4:$BJ$61,MATCH(Both_Shift_Roster!I$2,Morning_Shift!$B$2:$BJ$2,0),0),"")="",IFERROR(VLOOKUP($B23,Evening_Shift!$B$4:$BJ$62,MATCH(Both_Shift_Roster!I$2,Evening_Shift!$B$2:$BJ$2,0),0),""),IFERROR(VLOOKUP($B23,Morning_Shift!$B$4:$BJ$61,MATCH(Both_Shift_Roster!I$2,Morning_Shift!$B$2:$BJ$2,0),0),""))</f>
        <v>7:00-14:30</v>
      </c>
      <c r="J23" s="2" t="str">
        <f>IF(IFERROR(VLOOKUP($B23,Morning_Shift!$B$4:$BJ$61,MATCH(Both_Shift_Roster!J$2,Morning_Shift!$B$2:$BJ$2,0),0),"")="",IFERROR(VLOOKUP($B23,Evening_Shift!$B$4:$BJ$62,MATCH(Both_Shift_Roster!J$2,Evening_Shift!$B$2:$BJ$2,0),0),""),IFERROR(VLOOKUP($B23,Morning_Shift!$B$4:$BJ$61,MATCH(Both_Shift_Roster!J$2,Morning_Shift!$B$2:$BJ$2,0),0),""))</f>
        <v>7:00-14:30</v>
      </c>
      <c r="K23" s="2" t="str">
        <f>IF(IFERROR(VLOOKUP($B23,Morning_Shift!$B$4:$BJ$61,MATCH(Both_Shift_Roster!K$2,Morning_Shift!$B$2:$BJ$2,0),0),"")="",IFERROR(VLOOKUP($B23,Evening_Shift!$B$4:$BJ$62,MATCH(Both_Shift_Roster!K$2,Evening_Shift!$B$2:$BJ$2,0),0),""),IFERROR(VLOOKUP($B23,Morning_Shift!$B$4:$BJ$61,MATCH(Both_Shift_Roster!K$2,Morning_Shift!$B$2:$BJ$2,0),0),""))</f>
        <v>Agent Choice WO</v>
      </c>
      <c r="L23" s="2" t="str">
        <f>IF(IFERROR(VLOOKUP($B23,Morning_Shift!$B$4:$BJ$61,MATCH(Both_Shift_Roster!L$2,Morning_Shift!$B$2:$BJ$2,0),0),"")="",IFERROR(VLOOKUP($B23,Evening_Shift!$B$4:$BJ$62,MATCH(Both_Shift_Roster!L$2,Evening_Shift!$B$2:$BJ$2,0),0),""),IFERROR(VLOOKUP($B23,Morning_Shift!$B$4:$BJ$61,MATCH(Both_Shift_Roster!L$2,Morning_Shift!$B$2:$BJ$2,0),0),""))</f>
        <v>Agent Choice WO</v>
      </c>
      <c r="M23" s="2" t="str">
        <f>IF(IFERROR(VLOOKUP($B23,Morning_Shift!$B$4:$BJ$61,MATCH(Both_Shift_Roster!M$2,Morning_Shift!$B$2:$BJ$2,0),0),"")="",IFERROR(VLOOKUP($B23,Evening_Shift!$B$4:$BJ$62,MATCH(Both_Shift_Roster!M$2,Evening_Shift!$B$2:$BJ$2,0),0),""),IFERROR(VLOOKUP($B23,Morning_Shift!$B$4:$BJ$61,MATCH(Both_Shift_Roster!M$2,Morning_Shift!$B$2:$BJ$2,0),0),""))</f>
        <v>Agent Choice WO</v>
      </c>
      <c r="N23" s="2">
        <f t="shared" si="15"/>
        <v>3</v>
      </c>
      <c r="O23" s="2">
        <f t="shared" si="16"/>
        <v>0</v>
      </c>
      <c r="P23" s="2">
        <f t="shared" si="17"/>
        <v>0</v>
      </c>
      <c r="Q23" s="2">
        <f t="shared" si="18"/>
        <v>0</v>
      </c>
      <c r="R23" s="2">
        <f t="shared" si="19"/>
        <v>0</v>
      </c>
      <c r="S23" s="2" t="str">
        <f>IF(IFERROR(VLOOKUP($B23,Morning_Shift!$B$4:$BJ$61,MATCH(Both_Shift_Roster!S$2,Morning_Shift!$B$2:$BJ$2,0),0),"")="",IFERROR(VLOOKUP($B23,Evening_Shift!$B$4:$BJ$62,MATCH(Both_Shift_Roster!S$2,Evening_Shift!$B$2:$BJ$2,0),0),""),IFERROR(VLOOKUP($B23,Morning_Shift!$B$4:$BJ$61,MATCH(Both_Shift_Roster!S$2,Morning_Shift!$B$2:$BJ$2,0),0),""))</f>
        <v>Agent Choice WO</v>
      </c>
      <c r="T23" s="2" t="str">
        <f>IF(IFERROR(VLOOKUP($B23,Morning_Shift!$B$4:$BJ$61,MATCH(Both_Shift_Roster!T$2,Morning_Shift!$B$2:$BJ$2,0),0),"")="",IFERROR(VLOOKUP($B23,Evening_Shift!$B$4:$BJ$62,MATCH(Both_Shift_Roster!T$2,Evening_Shift!$B$2:$BJ$2,0),0),""),IFERROR(VLOOKUP($B23,Morning_Shift!$B$4:$BJ$61,MATCH(Both_Shift_Roster!T$2,Morning_Shift!$B$2:$BJ$2,0),0),""))</f>
        <v>CL</v>
      </c>
      <c r="U23" s="2" t="str">
        <f>IF(IFERROR(VLOOKUP($B23,Morning_Shift!$B$4:$BJ$61,MATCH(Both_Shift_Roster!U$2,Morning_Shift!$B$2:$BJ$2,0),0),"")="",IFERROR(VLOOKUP($B23,Evening_Shift!$B$4:$BJ$62,MATCH(Both_Shift_Roster!U$2,Evening_Shift!$B$2:$BJ$2,0),0),""),IFERROR(VLOOKUP($B23,Morning_Shift!$B$4:$BJ$61,MATCH(Both_Shift_Roster!U$2,Morning_Shift!$B$2:$BJ$2,0),0),""))</f>
        <v>LP</v>
      </c>
      <c r="V23" s="2" t="str">
        <f>IF(IFERROR(VLOOKUP($B23,Morning_Shift!$B$4:$BJ$61,MATCH(Both_Shift_Roster!V$2,Morning_Shift!$B$2:$BJ$2,0),0),"")="",IFERROR(VLOOKUP($B23,Evening_Shift!$B$4:$BJ$62,MATCH(Both_Shift_Roster!V$2,Evening_Shift!$B$2:$BJ$2,0),0),""),IFERROR(VLOOKUP($B23,Morning_Shift!$B$4:$BJ$61,MATCH(Both_Shift_Roster!V$2,Morning_Shift!$B$2:$BJ$2,0),0),""))</f>
        <v>LP</v>
      </c>
      <c r="W23" s="2" t="str">
        <f>IF(IFERROR(VLOOKUP($B23,Morning_Shift!$B$4:$BJ$61,MATCH(Both_Shift_Roster!W$2,Morning_Shift!$B$2:$BJ$2,0),0),"")="",IFERROR(VLOOKUP($B23,Evening_Shift!$B$4:$BJ$62,MATCH(Both_Shift_Roster!W$2,Evening_Shift!$B$2:$BJ$2,0),0),""),IFERROR(VLOOKUP($B23,Morning_Shift!$B$4:$BJ$61,MATCH(Both_Shift_Roster!W$2,Morning_Shift!$B$2:$BJ$2,0),0),""))</f>
        <v>LP</v>
      </c>
      <c r="X23" s="2" t="str">
        <f>IF(IFERROR(VLOOKUP($B23,Morning_Shift!$B$4:$BJ$61,MATCH(Both_Shift_Roster!X$2,Morning_Shift!$B$2:$BJ$2,0),0),"")="",IFERROR(VLOOKUP($B23,Evening_Shift!$B$4:$BJ$62,MATCH(Both_Shift_Roster!X$2,Evening_Shift!$B$2:$BJ$2,0),0),""),IFERROR(VLOOKUP($B23,Morning_Shift!$B$4:$BJ$61,MATCH(Both_Shift_Roster!X$2,Morning_Shift!$B$2:$BJ$2,0),0),""))</f>
        <v>LP</v>
      </c>
      <c r="Y23" s="2" t="str">
        <f>IF(IFERROR(VLOOKUP($B23,Morning_Shift!$B$4:$BJ$61,MATCH(Both_Shift_Roster!Y$2,Morning_Shift!$B$2:$BJ$2,0),0),"")="",IFERROR(VLOOKUP($B23,Evening_Shift!$B$4:$BJ$62,MATCH(Both_Shift_Roster!Y$2,Evening_Shift!$B$2:$BJ$2,0),0),""),IFERROR(VLOOKUP($B23,Morning_Shift!$B$4:$BJ$61,MATCH(Both_Shift_Roster!Y$2,Morning_Shift!$B$2:$BJ$2,0),0),""))</f>
        <v>7:00-14:30</v>
      </c>
      <c r="Z23" s="2">
        <f t="shared" si="20"/>
        <v>1</v>
      </c>
      <c r="AA23" s="2">
        <f t="shared" si="21"/>
        <v>0</v>
      </c>
      <c r="AB23" s="2">
        <f t="shared" si="22"/>
        <v>1</v>
      </c>
      <c r="AC23" s="2">
        <f t="shared" si="23"/>
        <v>0</v>
      </c>
      <c r="AD23" s="2">
        <f t="shared" si="24"/>
        <v>4</v>
      </c>
      <c r="AE23" s="2" t="str">
        <f>IF(IFERROR(VLOOKUP($B23,Morning_Shift!$B$4:$BJ$61,MATCH(Both_Shift_Roster!AE$2,Morning_Shift!$B$2:$BJ$2,0),0),"")="",IFERROR(VLOOKUP($B23,Evening_Shift!$B$4:$BJ$62,MATCH(Both_Shift_Roster!AE$2,Evening_Shift!$B$2:$BJ$2,0),0),""),IFERROR(VLOOKUP($B23,Morning_Shift!$B$4:$BJ$61,MATCH(Both_Shift_Roster!AE$2,Morning_Shift!$B$2:$BJ$2,0),0),""))</f>
        <v>7:00-14:30</v>
      </c>
      <c r="AF23" s="2" t="str">
        <f>IF(IFERROR(VLOOKUP($B23,Morning_Shift!$B$4:$BJ$61,MATCH(Both_Shift_Roster!AF$2,Morning_Shift!$B$2:$BJ$2,0),0),"")="",IFERROR(VLOOKUP($B23,Evening_Shift!$B$4:$BJ$62,MATCH(Both_Shift_Roster!AF$2,Evening_Shift!$B$2:$BJ$2,0),0),""),IFERROR(VLOOKUP($B23,Morning_Shift!$B$4:$BJ$61,MATCH(Both_Shift_Roster!AF$2,Morning_Shift!$B$2:$BJ$2,0),0),""))</f>
        <v>7:00-14:30</v>
      </c>
      <c r="AG23" s="2" t="str">
        <f>IF(IFERROR(VLOOKUP($B23,Morning_Shift!$B$4:$BJ$61,MATCH(Both_Shift_Roster!AG$2,Morning_Shift!$B$2:$BJ$2,0),0),"")="",IFERROR(VLOOKUP($B23,Evening_Shift!$B$4:$BJ$62,MATCH(Both_Shift_Roster!AG$2,Evening_Shift!$B$2:$BJ$2,0),0),""),IFERROR(VLOOKUP($B23,Morning_Shift!$B$4:$BJ$61,MATCH(Both_Shift_Roster!AG$2,Morning_Shift!$B$2:$BJ$2,0),0),""))</f>
        <v>7:00-14:30</v>
      </c>
      <c r="AH23" s="2" t="str">
        <f>IF(IFERROR(VLOOKUP($B23,Morning_Shift!$B$4:$BJ$61,MATCH(Both_Shift_Roster!AH$2,Morning_Shift!$B$2:$BJ$2,0),0),"")="",IFERROR(VLOOKUP($B23,Evening_Shift!$B$4:$BJ$62,MATCH(Both_Shift_Roster!AH$2,Evening_Shift!$B$2:$BJ$2,0),0),""),IFERROR(VLOOKUP($B23,Morning_Shift!$B$4:$BJ$61,MATCH(Both_Shift_Roster!AH$2,Morning_Shift!$B$2:$BJ$2,0),0),""))</f>
        <v>7:00-14:30</v>
      </c>
      <c r="AI23" s="2" t="str">
        <f>IF(IFERROR(VLOOKUP($B23,Morning_Shift!$B$4:$BJ$61,MATCH(Both_Shift_Roster!AI$2,Morning_Shift!$B$2:$BJ$2,0),0),"")="",IFERROR(VLOOKUP($B23,Evening_Shift!$B$4:$BJ$62,MATCH(Both_Shift_Roster!AI$2,Evening_Shift!$B$2:$BJ$2,0),0),""),IFERROR(VLOOKUP($B23,Morning_Shift!$B$4:$BJ$61,MATCH(Both_Shift_Roster!AI$2,Morning_Shift!$B$2:$BJ$2,0),0),""))</f>
        <v>7:00-14:30</v>
      </c>
      <c r="AJ23" s="2" t="str">
        <f>IF(IFERROR(VLOOKUP($B23,Morning_Shift!$B$4:$BJ$61,MATCH(Both_Shift_Roster!AJ$2,Morning_Shift!$B$2:$BJ$2,0),0),"")="",IFERROR(VLOOKUP($B23,Evening_Shift!$B$4:$BJ$62,MATCH(Both_Shift_Roster!AJ$2,Evening_Shift!$B$2:$BJ$2,0),0),""),IFERROR(VLOOKUP($B23,Morning_Shift!$B$4:$BJ$61,MATCH(Both_Shift_Roster!AJ$2,Morning_Shift!$B$2:$BJ$2,0),0),""))</f>
        <v>7:00-14:30</v>
      </c>
      <c r="AK23" s="2" t="str">
        <f>IF(IFERROR(VLOOKUP($B23,Morning_Shift!$B$4:$BJ$61,MATCH(Both_Shift_Roster!AK$2,Morning_Shift!$B$2:$BJ$2,0),0),"")="",IFERROR(VLOOKUP($B23,Evening_Shift!$B$4:$BJ$62,MATCH(Both_Shift_Roster!AK$2,Evening_Shift!$B$2:$BJ$2,0),0),""),IFERROR(VLOOKUP($B23,Morning_Shift!$B$4:$BJ$61,MATCH(Both_Shift_Roster!AK$2,Morning_Shift!$B$2:$BJ$2,0),0),""))</f>
        <v>7:00-14:30</v>
      </c>
      <c r="AL23" s="2">
        <f t="shared" si="25"/>
        <v>0</v>
      </c>
      <c r="AM23" s="2">
        <f t="shared" si="26"/>
        <v>0</v>
      </c>
      <c r="AN23" s="2">
        <f t="shared" si="27"/>
        <v>0</v>
      </c>
      <c r="AO23" s="2">
        <f t="shared" si="28"/>
        <v>0</v>
      </c>
      <c r="AP23" s="2">
        <f t="shared" si="29"/>
        <v>0</v>
      </c>
      <c r="AQ23" s="2" t="str">
        <f>IF(IFERROR(VLOOKUP($B23,Morning_Shift!$B$4:$BJ$61,MATCH(Both_Shift_Roster!AQ$2,Morning_Shift!$B$2:$BJ$2,0),0),"")="",IFERROR(VLOOKUP($B23,Evening_Shift!$B$4:$BJ$62,MATCH(Both_Shift_Roster!AQ$2,Evening_Shift!$B$2:$BJ$2,0),0),""),IFERROR(VLOOKUP($B23,Morning_Shift!$B$4:$BJ$61,MATCH(Both_Shift_Roster!AQ$2,Morning_Shift!$B$2:$BJ$2,0),0),""))</f>
        <v>7:00-14:30</v>
      </c>
      <c r="AR23" s="2" t="str">
        <f>IF(IFERROR(VLOOKUP($B23,Morning_Shift!$B$4:$BJ$61,MATCH(Both_Shift_Roster!AR$2,Morning_Shift!$B$2:$BJ$2,0),0),"")="",IFERROR(VLOOKUP($B23,Evening_Shift!$B$4:$BJ$62,MATCH(Both_Shift_Roster!AR$2,Evening_Shift!$B$2:$BJ$2,0),0),""),IFERROR(VLOOKUP($B23,Morning_Shift!$B$4:$BJ$61,MATCH(Both_Shift_Roster!AR$2,Morning_Shift!$B$2:$BJ$2,0),0),""))</f>
        <v>7:00-14:30</v>
      </c>
      <c r="AS23" s="2" t="str">
        <f>IF(IFERROR(VLOOKUP($B23,Morning_Shift!$B$4:$BJ$61,MATCH(Both_Shift_Roster!AS$2,Morning_Shift!$B$2:$BJ$2,0),0),"")="",IFERROR(VLOOKUP($B23,Evening_Shift!$B$4:$BJ$62,MATCH(Both_Shift_Roster!AS$2,Evening_Shift!$B$2:$BJ$2,0),0),""),IFERROR(VLOOKUP($B23,Morning_Shift!$B$4:$BJ$61,MATCH(Both_Shift_Roster!AS$2,Morning_Shift!$B$2:$BJ$2,0),0),""))</f>
        <v>7:00-14:30</v>
      </c>
      <c r="AT23" s="2" t="str">
        <f>IF(IFERROR(VLOOKUP($B23,Morning_Shift!$B$4:$BJ$61,MATCH(Both_Shift_Roster!AT$2,Morning_Shift!$B$2:$BJ$2,0),0),"")="",IFERROR(VLOOKUP($B23,Evening_Shift!$B$4:$BJ$62,MATCH(Both_Shift_Roster!AT$2,Evening_Shift!$B$2:$BJ$2,0),0),""),IFERROR(VLOOKUP($B23,Morning_Shift!$B$4:$BJ$61,MATCH(Both_Shift_Roster!AT$2,Morning_Shift!$B$2:$BJ$2,0),0),""))</f>
        <v>7:00-14:30</v>
      </c>
      <c r="AU23" s="2" t="str">
        <f>IF(IFERROR(VLOOKUP($B23,Morning_Shift!$B$4:$BJ$61,MATCH(Both_Shift_Roster!AU$2,Morning_Shift!$B$2:$BJ$2,0),0),"")="",IFERROR(VLOOKUP($B23,Evening_Shift!$B$4:$BJ$62,MATCH(Both_Shift_Roster!AU$2,Evening_Shift!$B$2:$BJ$2,0),0),""),IFERROR(VLOOKUP($B23,Morning_Shift!$B$4:$BJ$61,MATCH(Both_Shift_Roster!AU$2,Morning_Shift!$B$2:$BJ$2,0),0),""))</f>
        <v>7:00-14:30</v>
      </c>
      <c r="AV23" s="2" t="str">
        <f>IF(IFERROR(VLOOKUP($B23,Morning_Shift!$B$4:$BJ$61,MATCH(Both_Shift_Roster!AV$2,Morning_Shift!$B$2:$BJ$2,0),0),"")="",IFERROR(VLOOKUP($B23,Evening_Shift!$B$4:$BJ$62,MATCH(Both_Shift_Roster!AV$2,Evening_Shift!$B$2:$BJ$2,0),0),""),IFERROR(VLOOKUP($B23,Morning_Shift!$B$4:$BJ$61,MATCH(Both_Shift_Roster!AV$2,Morning_Shift!$B$2:$BJ$2,0),0),""))</f>
        <v>7:00-14:30</v>
      </c>
      <c r="AW23" s="2" t="str">
        <f>IF(IFERROR(VLOOKUP($B23,Morning_Shift!$B$4:$BJ$61,MATCH(Both_Shift_Roster!AW$2,Morning_Shift!$B$2:$BJ$2,0),0),"")="",IFERROR(VLOOKUP($B23,Evening_Shift!$B$4:$BJ$62,MATCH(Both_Shift_Roster!AW$2,Evening_Shift!$B$2:$BJ$2,0),0),""),IFERROR(VLOOKUP($B23,Morning_Shift!$B$4:$BJ$61,MATCH(Both_Shift_Roster!AW$2,Morning_Shift!$B$2:$BJ$2,0),0),""))</f>
        <v>7:00-14:30</v>
      </c>
      <c r="AX23" s="2">
        <f t="shared" si="30"/>
        <v>0</v>
      </c>
      <c r="AY23" s="2">
        <f t="shared" si="31"/>
        <v>0</v>
      </c>
      <c r="AZ23" s="2">
        <f t="shared" si="32"/>
        <v>0</v>
      </c>
      <c r="BA23" s="2">
        <f t="shared" si="33"/>
        <v>0</v>
      </c>
      <c r="BB23" s="2">
        <f t="shared" si="34"/>
        <v>0</v>
      </c>
      <c r="BC23" s="2" t="str">
        <f>IF(IFERROR(VLOOKUP($B23,Morning_Shift!$B$4:$BJ$61,MATCH(Both_Shift_Roster!BC$2,Morning_Shift!$B$2:$BJ$2,0),0),"")="",IFERROR(VLOOKUP($B23,Evening_Shift!$B$4:$BJ$62,MATCH(Both_Shift_Roster!BC$2,Evening_Shift!$B$2:$BJ$2,0),0),""),IFERROR(VLOOKUP($B23,Morning_Shift!$B$4:$BJ$61,MATCH(Both_Shift_Roster!BC$2,Morning_Shift!$B$2:$BJ$2,0),0),""))</f>
        <v>7:00-14:30</v>
      </c>
      <c r="BD23" s="2" t="str">
        <f>IF(IFERROR(VLOOKUP($B23,Morning_Shift!$B$4:$BJ$61,MATCH(Both_Shift_Roster!BD$2,Morning_Shift!$B$2:$BJ$2,0),0),"")="",IFERROR(VLOOKUP($B23,Evening_Shift!$B$4:$BJ$62,MATCH(Both_Shift_Roster!BD$2,Evening_Shift!$B$2:$BJ$2,0),0),""),IFERROR(VLOOKUP($B23,Morning_Shift!$B$4:$BJ$61,MATCH(Both_Shift_Roster!BD$2,Morning_Shift!$B$2:$BJ$2,0),0),""))</f>
        <v>7:00-14:30</v>
      </c>
      <c r="BE23" s="2" t="str">
        <f>IF(IFERROR(VLOOKUP($B23,Morning_Shift!$B$4:$BJ$61,MATCH(Both_Shift_Roster!BE$2,Morning_Shift!$B$2:$BJ$2,0),0),"")="",IFERROR(VLOOKUP($B23,Evening_Shift!$B$4:$BJ$59,MATCH(Both_Shift_Roster!BE$2,Evening_Shift!$B$2:$BJ$2,0),0),""),IFERROR(VLOOKUP($B23,Morning_Shift!$B$4:$BJ$61,MATCH(Both_Shift_Roster!BE$2,Morning_Shift!$B$2:$BJ$2,0),0),""))</f>
        <v>7:00-14:30</v>
      </c>
      <c r="BF23" s="2">
        <f t="shared" si="35"/>
        <v>0</v>
      </c>
      <c r="BG23" s="2">
        <f t="shared" si="36"/>
        <v>0</v>
      </c>
      <c r="BH23" s="2">
        <f t="shared" si="37"/>
        <v>0</v>
      </c>
      <c r="BI23" s="2">
        <f t="shared" si="38"/>
        <v>0</v>
      </c>
      <c r="BJ23" s="2">
        <f t="shared" si="39"/>
        <v>0</v>
      </c>
    </row>
    <row r="24" spans="1:62">
      <c r="A24" s="17">
        <f t="shared" si="40"/>
        <v>21</v>
      </c>
      <c r="B24" s="16" t="str">
        <f>Morning_Shift!$B24</f>
        <v>Dritm102</v>
      </c>
      <c r="C24" s="21" t="str">
        <f>IF(IFERROR(VLOOKUP(B24,Morning_Shift!B:C,2,0),"")="",IFERROR(VLOOKUP(B24,Evening_Shift!B:C,2,0),""),IFERROR(VLOOKUP(B24,Morning_Shift!B:C,2,0),""))</f>
        <v>Mahima</v>
      </c>
      <c r="D24" s="15" t="str">
        <f>IF(IFERROR(VLOOKUP(B24,Morning_Shift!B:D,3,0),"")="",IFERROR(VLOOKUP(B24,Evening_Shift!B:D,3,0),""),IFERROR(VLOOKUP(B24,Morning_Shift!B:D,3,0),""))</f>
        <v>Naina</v>
      </c>
      <c r="E24" s="4" t="str">
        <f>IF(IFERROR(VLOOKUP(B24,Morning_Shift!B:E,4,0),"")="",IFERROR(VLOOKUP(B24,Evening_Shift!B:E,4,0),""),IFERROR(VLOOKUP(B24,Morning_Shift!B:E,4,0),""))</f>
        <v>F</v>
      </c>
      <c r="F24" s="5" t="str">
        <f>IF(IFERROR(VLOOKUP(B24,Morning_Shift!B:F,5,0),"")="",IFERROR(VLOOKUP(B24,Evening_Shift!B:F,5,0),""),IFERROR(VLOOKUP(B24,Morning_Shift!B:F,5,0),""))</f>
        <v>Inbound</v>
      </c>
      <c r="G24" s="2" t="str">
        <f>IF(IFERROR(VLOOKUP($B24,Morning_Shift!$B$4:$BJ$61,MATCH(Both_Shift_Roster!G$2,Morning_Shift!$B$2:$BJ$2,0),0),"")="",IFERROR(VLOOKUP($B24,Evening_Shift!$B$4:$BJ$62,MATCH(Both_Shift_Roster!G$2,Evening_Shift!$B$2:$BJ$2,0),0),""),IFERROR(VLOOKUP($B24,Morning_Shift!$B$4:$BJ$61,MATCH(Both_Shift_Roster!G$2,Morning_Shift!$B$2:$BJ$2,0),0),""))</f>
        <v>7:00-14:30</v>
      </c>
      <c r="H24" s="2" t="str">
        <f>IF(IFERROR(VLOOKUP($B24,Morning_Shift!$B$4:$BJ$61,MATCH(Both_Shift_Roster!H$2,Morning_Shift!$B$2:$BJ$2,0),0),"")="",IFERROR(VLOOKUP($B24,Evening_Shift!$B$4:$BJ$62,MATCH(Both_Shift_Roster!H$2,Evening_Shift!$B$2:$BJ$2,0),0),""),IFERROR(VLOOKUP($B24,Morning_Shift!$B$4:$BJ$61,MATCH(Both_Shift_Roster!H$2,Morning_Shift!$B$2:$BJ$2,0),0),""))</f>
        <v>Agent Choice WO</v>
      </c>
      <c r="I24" s="2" t="str">
        <f>IF(IFERROR(VLOOKUP($B24,Morning_Shift!$B$4:$BJ$61,MATCH(Both_Shift_Roster!I$2,Morning_Shift!$B$2:$BJ$2,0),0),"")="",IFERROR(VLOOKUP($B24,Evening_Shift!$B$4:$BJ$62,MATCH(Both_Shift_Roster!I$2,Evening_Shift!$B$2:$BJ$2,0),0),""),IFERROR(VLOOKUP($B24,Morning_Shift!$B$4:$BJ$61,MATCH(Both_Shift_Roster!I$2,Morning_Shift!$B$2:$BJ$2,0),0),""))</f>
        <v>7:00-14:30</v>
      </c>
      <c r="J24" s="2" t="str">
        <f>IF(IFERROR(VLOOKUP($B24,Morning_Shift!$B$4:$BJ$61,MATCH(Both_Shift_Roster!J$2,Morning_Shift!$B$2:$BJ$2,0),0),"")="",IFERROR(VLOOKUP($B24,Evening_Shift!$B$4:$BJ$62,MATCH(Both_Shift_Roster!J$2,Evening_Shift!$B$2:$BJ$2,0),0),""),IFERROR(VLOOKUP($B24,Morning_Shift!$B$4:$BJ$61,MATCH(Both_Shift_Roster!J$2,Morning_Shift!$B$2:$BJ$2,0),0),""))</f>
        <v>7:00-14:30</v>
      </c>
      <c r="K24" s="2" t="str">
        <f>IF(IFERROR(VLOOKUP($B24,Morning_Shift!$B$4:$BJ$61,MATCH(Both_Shift_Roster!K$2,Morning_Shift!$B$2:$BJ$2,0),0),"")="",IFERROR(VLOOKUP($B24,Evening_Shift!$B$4:$BJ$62,MATCH(Both_Shift_Roster!K$2,Evening_Shift!$B$2:$BJ$2,0),0),""),IFERROR(VLOOKUP($B24,Morning_Shift!$B$4:$BJ$61,MATCH(Both_Shift_Roster!K$2,Morning_Shift!$B$2:$BJ$2,0),0),""))</f>
        <v>7:00-14:30</v>
      </c>
      <c r="L24" s="2" t="str">
        <f>IF(IFERROR(VLOOKUP($B24,Morning_Shift!$B$4:$BJ$61,MATCH(Both_Shift_Roster!L$2,Morning_Shift!$B$2:$BJ$2,0),0),"")="",IFERROR(VLOOKUP($B24,Evening_Shift!$B$4:$BJ$62,MATCH(Both_Shift_Roster!L$2,Evening_Shift!$B$2:$BJ$2,0),0),""),IFERROR(VLOOKUP($B24,Morning_Shift!$B$4:$BJ$61,MATCH(Both_Shift_Roster!L$2,Morning_Shift!$B$2:$BJ$2,0),0),""))</f>
        <v>7:00-14:30</v>
      </c>
      <c r="M24" s="2" t="str">
        <f>IF(IFERROR(VLOOKUP($B24,Morning_Shift!$B$4:$BJ$61,MATCH(Both_Shift_Roster!M$2,Morning_Shift!$B$2:$BJ$2,0),0),"")="",IFERROR(VLOOKUP($B24,Evening_Shift!$B$4:$BJ$62,MATCH(Both_Shift_Roster!M$2,Evening_Shift!$B$2:$BJ$2,0),0),""),IFERROR(VLOOKUP($B24,Morning_Shift!$B$4:$BJ$61,MATCH(Both_Shift_Roster!M$2,Morning_Shift!$B$2:$BJ$2,0),0),""))</f>
        <v>7:00-14:30</v>
      </c>
      <c r="N24" s="2">
        <f t="shared" si="15"/>
        <v>1</v>
      </c>
      <c r="O24" s="2">
        <f t="shared" si="16"/>
        <v>0</v>
      </c>
      <c r="P24" s="2">
        <f t="shared" si="17"/>
        <v>0</v>
      </c>
      <c r="Q24" s="2">
        <f t="shared" si="18"/>
        <v>0</v>
      </c>
      <c r="R24" s="2">
        <f t="shared" si="19"/>
        <v>0</v>
      </c>
      <c r="S24" s="2" t="str">
        <f>IF(IFERROR(VLOOKUP($B24,Morning_Shift!$B$4:$BJ$61,MATCH(Both_Shift_Roster!S$2,Morning_Shift!$B$2:$BJ$2,0),0),"")="",IFERROR(VLOOKUP($B24,Evening_Shift!$B$4:$BJ$62,MATCH(Both_Shift_Roster!S$2,Evening_Shift!$B$2:$BJ$2,0),0),""),IFERROR(VLOOKUP($B24,Morning_Shift!$B$4:$BJ$61,MATCH(Both_Shift_Roster!S$2,Morning_Shift!$B$2:$BJ$2,0),0),""))</f>
        <v>7:00-14:30</v>
      </c>
      <c r="T24" s="2" t="str">
        <f>IF(IFERROR(VLOOKUP($B24,Morning_Shift!$B$4:$BJ$61,MATCH(Both_Shift_Roster!T$2,Morning_Shift!$B$2:$BJ$2,0),0),"")="",IFERROR(VLOOKUP($B24,Evening_Shift!$B$4:$BJ$62,MATCH(Both_Shift_Roster!T$2,Evening_Shift!$B$2:$BJ$2,0),0),""),IFERROR(VLOOKUP($B24,Morning_Shift!$B$4:$BJ$61,MATCH(Both_Shift_Roster!T$2,Morning_Shift!$B$2:$BJ$2,0),0),""))</f>
        <v>Agent Choice WO</v>
      </c>
      <c r="U24" s="2" t="str">
        <f>IF(IFERROR(VLOOKUP($B24,Morning_Shift!$B$4:$BJ$61,MATCH(Both_Shift_Roster!U$2,Morning_Shift!$B$2:$BJ$2,0),0),"")="",IFERROR(VLOOKUP($B24,Evening_Shift!$B$4:$BJ$62,MATCH(Both_Shift_Roster!U$2,Evening_Shift!$B$2:$BJ$2,0),0),""),IFERROR(VLOOKUP($B24,Morning_Shift!$B$4:$BJ$61,MATCH(Both_Shift_Roster!U$2,Morning_Shift!$B$2:$BJ$2,0),0),""))</f>
        <v>7:00-14:30</v>
      </c>
      <c r="V24" s="2" t="str">
        <f>IF(IFERROR(VLOOKUP($B24,Morning_Shift!$B$4:$BJ$61,MATCH(Both_Shift_Roster!V$2,Morning_Shift!$B$2:$BJ$2,0),0),"")="",IFERROR(VLOOKUP($B24,Evening_Shift!$B$4:$BJ$62,MATCH(Both_Shift_Roster!V$2,Evening_Shift!$B$2:$BJ$2,0),0),""),IFERROR(VLOOKUP($B24,Morning_Shift!$B$4:$BJ$61,MATCH(Both_Shift_Roster!V$2,Morning_Shift!$B$2:$BJ$2,0),0),""))</f>
        <v>7:00-14:30</v>
      </c>
      <c r="W24" s="2" t="str">
        <f>IF(IFERROR(VLOOKUP($B24,Morning_Shift!$B$4:$BJ$61,MATCH(Both_Shift_Roster!W$2,Morning_Shift!$B$2:$BJ$2,0),0),"")="",IFERROR(VLOOKUP($B24,Evening_Shift!$B$4:$BJ$62,MATCH(Both_Shift_Roster!W$2,Evening_Shift!$B$2:$BJ$2,0),0),""),IFERROR(VLOOKUP($B24,Morning_Shift!$B$4:$BJ$61,MATCH(Both_Shift_Roster!W$2,Morning_Shift!$B$2:$BJ$2,0),0),""))</f>
        <v>7:00-14:30</v>
      </c>
      <c r="X24" s="2" t="str">
        <f>IF(IFERROR(VLOOKUP($B24,Morning_Shift!$B$4:$BJ$61,MATCH(Both_Shift_Roster!X$2,Morning_Shift!$B$2:$BJ$2,0),0),"")="",IFERROR(VLOOKUP($B24,Evening_Shift!$B$4:$BJ$62,MATCH(Both_Shift_Roster!X$2,Evening_Shift!$B$2:$BJ$2,0),0),""),IFERROR(VLOOKUP($B24,Morning_Shift!$B$4:$BJ$61,MATCH(Both_Shift_Roster!X$2,Morning_Shift!$B$2:$BJ$2,0),0),""))</f>
        <v>7:00-14:30</v>
      </c>
      <c r="Y24" s="2" t="str">
        <f>IF(IFERROR(VLOOKUP($B24,Morning_Shift!$B$4:$BJ$61,MATCH(Both_Shift_Roster!Y$2,Morning_Shift!$B$2:$BJ$2,0),0),"")="",IFERROR(VLOOKUP($B24,Evening_Shift!$B$4:$BJ$62,MATCH(Both_Shift_Roster!Y$2,Evening_Shift!$B$2:$BJ$2,0),0),""),IFERROR(VLOOKUP($B24,Morning_Shift!$B$4:$BJ$61,MATCH(Both_Shift_Roster!Y$2,Morning_Shift!$B$2:$BJ$2,0),0),""))</f>
        <v>7:00-14:30</v>
      </c>
      <c r="Z24" s="2">
        <f t="shared" si="20"/>
        <v>1</v>
      </c>
      <c r="AA24" s="2">
        <f t="shared" si="21"/>
        <v>0</v>
      </c>
      <c r="AB24" s="2">
        <f t="shared" si="22"/>
        <v>0</v>
      </c>
      <c r="AC24" s="2">
        <f t="shared" si="23"/>
        <v>0</v>
      </c>
      <c r="AD24" s="2">
        <f t="shared" si="24"/>
        <v>0</v>
      </c>
      <c r="AE24" s="2" t="str">
        <f>IF(IFERROR(VLOOKUP($B24,Morning_Shift!$B$4:$BJ$61,MATCH(Both_Shift_Roster!AE$2,Morning_Shift!$B$2:$BJ$2,0),0),"")="",IFERROR(VLOOKUP($B24,Evening_Shift!$B$4:$BJ$62,MATCH(Both_Shift_Roster!AE$2,Evening_Shift!$B$2:$BJ$2,0),0),""),IFERROR(VLOOKUP($B24,Morning_Shift!$B$4:$BJ$61,MATCH(Both_Shift_Roster!AE$2,Morning_Shift!$B$2:$BJ$2,0),0),""))</f>
        <v>Agent Choice WO</v>
      </c>
      <c r="AF24" s="2" t="str">
        <f>IF(IFERROR(VLOOKUP($B24,Morning_Shift!$B$4:$BJ$61,MATCH(Both_Shift_Roster!AF$2,Morning_Shift!$B$2:$BJ$2,0),0),"")="",IFERROR(VLOOKUP($B24,Evening_Shift!$B$4:$BJ$62,MATCH(Both_Shift_Roster!AF$2,Evening_Shift!$B$2:$BJ$2,0),0),""),IFERROR(VLOOKUP($B24,Morning_Shift!$B$4:$BJ$61,MATCH(Both_Shift_Roster!AF$2,Morning_Shift!$B$2:$BJ$2,0),0),""))</f>
        <v>7:00-14:30</v>
      </c>
      <c r="AG24" s="2" t="str">
        <f>IF(IFERROR(VLOOKUP($B24,Morning_Shift!$B$4:$BJ$61,MATCH(Both_Shift_Roster!AG$2,Morning_Shift!$B$2:$BJ$2,0),0),"")="",IFERROR(VLOOKUP($B24,Evening_Shift!$B$4:$BJ$62,MATCH(Both_Shift_Roster!AG$2,Evening_Shift!$B$2:$BJ$2,0),0),""),IFERROR(VLOOKUP($B24,Morning_Shift!$B$4:$BJ$61,MATCH(Both_Shift_Roster!AG$2,Morning_Shift!$B$2:$BJ$2,0),0),""))</f>
        <v>7:00-14:30</v>
      </c>
      <c r="AH24" s="2" t="str">
        <f>IF(IFERROR(VLOOKUP($B24,Morning_Shift!$B$4:$BJ$61,MATCH(Both_Shift_Roster!AH$2,Morning_Shift!$B$2:$BJ$2,0),0),"")="",IFERROR(VLOOKUP($B24,Evening_Shift!$B$4:$BJ$62,MATCH(Both_Shift_Roster!AH$2,Evening_Shift!$B$2:$BJ$2,0),0),""),IFERROR(VLOOKUP($B24,Morning_Shift!$B$4:$BJ$61,MATCH(Both_Shift_Roster!AH$2,Morning_Shift!$B$2:$BJ$2,0),0),""))</f>
        <v>7:00-14:30</v>
      </c>
      <c r="AI24" s="2" t="str">
        <f>IF(IFERROR(VLOOKUP($B24,Morning_Shift!$B$4:$BJ$61,MATCH(Both_Shift_Roster!AI$2,Morning_Shift!$B$2:$BJ$2,0),0),"")="",IFERROR(VLOOKUP($B24,Evening_Shift!$B$4:$BJ$62,MATCH(Both_Shift_Roster!AI$2,Evening_Shift!$B$2:$BJ$2,0),0),""),IFERROR(VLOOKUP($B24,Morning_Shift!$B$4:$BJ$61,MATCH(Both_Shift_Roster!AI$2,Morning_Shift!$B$2:$BJ$2,0),0),""))</f>
        <v>7:00-14:30</v>
      </c>
      <c r="AJ24" s="2" t="str">
        <f>IF(IFERROR(VLOOKUP($B24,Morning_Shift!$B$4:$BJ$61,MATCH(Both_Shift_Roster!AJ$2,Morning_Shift!$B$2:$BJ$2,0),0),"")="",IFERROR(VLOOKUP($B24,Evening_Shift!$B$4:$BJ$62,MATCH(Both_Shift_Roster!AJ$2,Evening_Shift!$B$2:$BJ$2,0),0),""),IFERROR(VLOOKUP($B24,Morning_Shift!$B$4:$BJ$61,MATCH(Both_Shift_Roster!AJ$2,Morning_Shift!$B$2:$BJ$2,0),0),""))</f>
        <v>7:00-14:30</v>
      </c>
      <c r="AK24" s="2" t="str">
        <f>IF(IFERROR(VLOOKUP($B24,Morning_Shift!$B$4:$BJ$61,MATCH(Both_Shift_Roster!AK$2,Morning_Shift!$B$2:$BJ$2,0),0),"")="",IFERROR(VLOOKUP($B24,Evening_Shift!$B$4:$BJ$62,MATCH(Both_Shift_Roster!AK$2,Evening_Shift!$B$2:$BJ$2,0),0),""),IFERROR(VLOOKUP($B24,Morning_Shift!$B$4:$BJ$61,MATCH(Both_Shift_Roster!AK$2,Morning_Shift!$B$2:$BJ$2,0),0),""))</f>
        <v>7:00-14:30</v>
      </c>
      <c r="AL24" s="2">
        <f t="shared" si="25"/>
        <v>1</v>
      </c>
      <c r="AM24" s="2">
        <f t="shared" si="26"/>
        <v>0</v>
      </c>
      <c r="AN24" s="2">
        <f t="shared" si="27"/>
        <v>0</v>
      </c>
      <c r="AO24" s="2">
        <f t="shared" si="28"/>
        <v>0</v>
      </c>
      <c r="AP24" s="2">
        <f t="shared" si="29"/>
        <v>0</v>
      </c>
      <c r="AQ24" s="2" t="str">
        <f>IF(IFERROR(VLOOKUP($B24,Morning_Shift!$B$4:$BJ$61,MATCH(Both_Shift_Roster!AQ$2,Morning_Shift!$B$2:$BJ$2,0),0),"")="",IFERROR(VLOOKUP($B24,Evening_Shift!$B$4:$BJ$62,MATCH(Both_Shift_Roster!AQ$2,Evening_Shift!$B$2:$BJ$2,0),0),""),IFERROR(VLOOKUP($B24,Morning_Shift!$B$4:$BJ$61,MATCH(Both_Shift_Roster!AQ$2,Morning_Shift!$B$2:$BJ$2,0),0),""))</f>
        <v>7:00-14:30</v>
      </c>
      <c r="AR24" s="2" t="str">
        <f>IF(IFERROR(VLOOKUP($B24,Morning_Shift!$B$4:$BJ$61,MATCH(Both_Shift_Roster!AR$2,Morning_Shift!$B$2:$BJ$2,0),0),"")="",IFERROR(VLOOKUP($B24,Evening_Shift!$B$4:$BJ$62,MATCH(Both_Shift_Roster!AR$2,Evening_Shift!$B$2:$BJ$2,0),0),""),IFERROR(VLOOKUP($B24,Morning_Shift!$B$4:$BJ$61,MATCH(Both_Shift_Roster!AR$2,Morning_Shift!$B$2:$BJ$2,0),0),""))</f>
        <v>7:00-14:30</v>
      </c>
      <c r="AS24" s="2" t="str">
        <f>IF(IFERROR(VLOOKUP($B24,Morning_Shift!$B$4:$BJ$61,MATCH(Both_Shift_Roster!AS$2,Morning_Shift!$B$2:$BJ$2,0),0),"")="",IFERROR(VLOOKUP($B24,Evening_Shift!$B$4:$BJ$62,MATCH(Both_Shift_Roster!AS$2,Evening_Shift!$B$2:$BJ$2,0),0),""),IFERROR(VLOOKUP($B24,Morning_Shift!$B$4:$BJ$61,MATCH(Both_Shift_Roster!AS$2,Morning_Shift!$B$2:$BJ$2,0),0),""))</f>
        <v>Agent Choice WO</v>
      </c>
      <c r="AT24" s="2" t="str">
        <f>IF(IFERROR(VLOOKUP($B24,Morning_Shift!$B$4:$BJ$61,MATCH(Both_Shift_Roster!AT$2,Morning_Shift!$B$2:$BJ$2,0),0),"")="",IFERROR(VLOOKUP($B24,Evening_Shift!$B$4:$BJ$62,MATCH(Both_Shift_Roster!AT$2,Evening_Shift!$B$2:$BJ$2,0),0),""),IFERROR(VLOOKUP($B24,Morning_Shift!$B$4:$BJ$61,MATCH(Both_Shift_Roster!AT$2,Morning_Shift!$B$2:$BJ$2,0),0),""))</f>
        <v>CL</v>
      </c>
      <c r="AU24" s="2" t="str">
        <f>IF(IFERROR(VLOOKUP($B24,Morning_Shift!$B$4:$BJ$61,MATCH(Both_Shift_Roster!AU$2,Morning_Shift!$B$2:$BJ$2,0),0),"")="",IFERROR(VLOOKUP($B24,Evening_Shift!$B$4:$BJ$62,MATCH(Both_Shift_Roster!AU$2,Evening_Shift!$B$2:$BJ$2,0),0),""),IFERROR(VLOOKUP($B24,Morning_Shift!$B$4:$BJ$61,MATCH(Both_Shift_Roster!AU$2,Morning_Shift!$B$2:$BJ$2,0),0),""))</f>
        <v>7:00-14:30</v>
      </c>
      <c r="AV24" s="2" t="str">
        <f>IF(IFERROR(VLOOKUP($B24,Morning_Shift!$B$4:$BJ$61,MATCH(Both_Shift_Roster!AV$2,Morning_Shift!$B$2:$BJ$2,0),0),"")="",IFERROR(VLOOKUP($B24,Evening_Shift!$B$4:$BJ$62,MATCH(Both_Shift_Roster!AV$2,Evening_Shift!$B$2:$BJ$2,0),0),""),IFERROR(VLOOKUP($B24,Morning_Shift!$B$4:$BJ$61,MATCH(Both_Shift_Roster!AV$2,Morning_Shift!$B$2:$BJ$2,0),0),""))</f>
        <v>7:00-14:30</v>
      </c>
      <c r="AW24" s="2" t="str">
        <f>IF(IFERROR(VLOOKUP($B24,Morning_Shift!$B$4:$BJ$61,MATCH(Both_Shift_Roster!AW$2,Morning_Shift!$B$2:$BJ$2,0),0),"")="",IFERROR(VLOOKUP($B24,Evening_Shift!$B$4:$BJ$62,MATCH(Both_Shift_Roster!AW$2,Evening_Shift!$B$2:$BJ$2,0),0),""),IFERROR(VLOOKUP($B24,Morning_Shift!$B$4:$BJ$61,MATCH(Both_Shift_Roster!AW$2,Morning_Shift!$B$2:$BJ$2,0),0),""))</f>
        <v>7:00-14:30</v>
      </c>
      <c r="AX24" s="2">
        <f t="shared" si="30"/>
        <v>1</v>
      </c>
      <c r="AY24" s="2">
        <f t="shared" si="31"/>
        <v>0</v>
      </c>
      <c r="AZ24" s="2">
        <f t="shared" si="32"/>
        <v>1</v>
      </c>
      <c r="BA24" s="2">
        <f t="shared" si="33"/>
        <v>0</v>
      </c>
      <c r="BB24" s="2">
        <f t="shared" si="34"/>
        <v>0</v>
      </c>
      <c r="BC24" s="2" t="str">
        <f>IF(IFERROR(VLOOKUP($B24,Morning_Shift!$B$4:$BJ$61,MATCH(Both_Shift_Roster!BC$2,Morning_Shift!$B$2:$BJ$2,0),0),"")="",IFERROR(VLOOKUP($B24,Evening_Shift!$B$4:$BJ$62,MATCH(Both_Shift_Roster!BC$2,Evening_Shift!$B$2:$BJ$2,0),0),""),IFERROR(VLOOKUP($B24,Morning_Shift!$B$4:$BJ$61,MATCH(Both_Shift_Roster!BC$2,Morning_Shift!$B$2:$BJ$2,0),0),""))</f>
        <v>7:00-14:30</v>
      </c>
      <c r="BD24" s="2" t="str">
        <f>IF(IFERROR(VLOOKUP($B24,Morning_Shift!$B$4:$BJ$61,MATCH(Both_Shift_Roster!BD$2,Morning_Shift!$B$2:$BJ$2,0),0),"")="",IFERROR(VLOOKUP($B24,Evening_Shift!$B$4:$BJ$62,MATCH(Both_Shift_Roster!BD$2,Evening_Shift!$B$2:$BJ$2,0),0),""),IFERROR(VLOOKUP($B24,Morning_Shift!$B$4:$BJ$61,MATCH(Both_Shift_Roster!BD$2,Morning_Shift!$B$2:$BJ$2,0),0),""))</f>
        <v>7:00-14:30</v>
      </c>
      <c r="BE24" s="2" t="str">
        <f>IF(IFERROR(VLOOKUP($B24,Morning_Shift!$B$4:$BJ$61,MATCH(Both_Shift_Roster!BE$2,Morning_Shift!$B$2:$BJ$2,0),0),"")="",IFERROR(VLOOKUP($B24,Evening_Shift!$B$4:$BJ$59,MATCH(Both_Shift_Roster!BE$2,Evening_Shift!$B$2:$BJ$2,0),0),""),IFERROR(VLOOKUP($B24,Morning_Shift!$B$4:$BJ$61,MATCH(Both_Shift_Roster!BE$2,Morning_Shift!$B$2:$BJ$2,0),0),""))</f>
        <v>7:00-14:30</v>
      </c>
      <c r="BF24" s="2">
        <f t="shared" si="35"/>
        <v>0</v>
      </c>
      <c r="BG24" s="2">
        <f t="shared" si="36"/>
        <v>0</v>
      </c>
      <c r="BH24" s="2">
        <f t="shared" si="37"/>
        <v>0</v>
      </c>
      <c r="BI24" s="2">
        <f t="shared" si="38"/>
        <v>0</v>
      </c>
      <c r="BJ24" s="2">
        <f t="shared" si="39"/>
        <v>0</v>
      </c>
    </row>
    <row r="25" spans="1:62">
      <c r="A25" s="17">
        <f t="shared" si="40"/>
        <v>22</v>
      </c>
      <c r="B25" s="16" t="str">
        <f>Morning_Shift!$B25</f>
        <v>Dritm99</v>
      </c>
      <c r="C25" s="21" t="str">
        <f>IF(IFERROR(VLOOKUP(B25,Morning_Shift!B:C,2,0),"")="",IFERROR(VLOOKUP(B25,Evening_Shift!B:C,2,0),""),IFERROR(VLOOKUP(B25,Morning_Shift!B:C,2,0),""))</f>
        <v>Mamta Kumari</v>
      </c>
      <c r="D25" s="15" t="str">
        <f>IF(IFERROR(VLOOKUP(B25,Morning_Shift!B:D,3,0),"")="",IFERROR(VLOOKUP(B25,Evening_Shift!B:D,3,0),""),IFERROR(VLOOKUP(B25,Morning_Shift!B:D,3,0),""))</f>
        <v>Naina</v>
      </c>
      <c r="E25" s="4" t="str">
        <f>IF(IFERROR(VLOOKUP(B25,Morning_Shift!B:E,4,0),"")="",IFERROR(VLOOKUP(B25,Evening_Shift!B:E,4,0),""),IFERROR(VLOOKUP(B25,Morning_Shift!B:E,4,0),""))</f>
        <v>F</v>
      </c>
      <c r="F25" s="5" t="str">
        <f>IF(IFERROR(VLOOKUP(B25,Morning_Shift!B:F,5,0),"")="",IFERROR(VLOOKUP(B25,Evening_Shift!B:F,5,0),""),IFERROR(VLOOKUP(B25,Morning_Shift!B:F,5,0),""))</f>
        <v>Inbound</v>
      </c>
      <c r="G25" s="2" t="str">
        <f>IF(IFERROR(VLOOKUP($B25,Morning_Shift!$B$4:$BJ$61,MATCH(Both_Shift_Roster!G$2,Morning_Shift!$B$2:$BJ$2,0),0),"")="",IFERROR(VLOOKUP($B25,Evening_Shift!$B$4:$BJ$62,MATCH(Both_Shift_Roster!G$2,Evening_Shift!$B$2:$BJ$2,0),0),""),IFERROR(VLOOKUP($B25,Morning_Shift!$B$4:$BJ$61,MATCH(Both_Shift_Roster!G$2,Morning_Shift!$B$2:$BJ$2,0),0),""))</f>
        <v>7:00-14:30</v>
      </c>
      <c r="H25" s="2" t="str">
        <f>IF(IFERROR(VLOOKUP($B25,Morning_Shift!$B$4:$BJ$61,MATCH(Both_Shift_Roster!H$2,Morning_Shift!$B$2:$BJ$2,0),0),"")="",IFERROR(VLOOKUP($B25,Evening_Shift!$B$4:$BJ$62,MATCH(Both_Shift_Roster!H$2,Evening_Shift!$B$2:$BJ$2,0),0),""),IFERROR(VLOOKUP($B25,Morning_Shift!$B$4:$BJ$61,MATCH(Both_Shift_Roster!H$2,Morning_Shift!$B$2:$BJ$2,0),0),""))</f>
        <v>7:00-14:30</v>
      </c>
      <c r="I25" s="2" t="str">
        <f>IF(IFERROR(VLOOKUP($B25,Morning_Shift!$B$4:$BJ$61,MATCH(Both_Shift_Roster!I$2,Morning_Shift!$B$2:$BJ$2,0),0),"")="",IFERROR(VLOOKUP($B25,Evening_Shift!$B$4:$BJ$62,MATCH(Both_Shift_Roster!I$2,Evening_Shift!$B$2:$BJ$2,0),0),""),IFERROR(VLOOKUP($B25,Morning_Shift!$B$4:$BJ$61,MATCH(Both_Shift_Roster!I$2,Morning_Shift!$B$2:$BJ$2,0),0),""))</f>
        <v>7:00-14:30</v>
      </c>
      <c r="J25" s="2" t="str">
        <f>IF(IFERROR(VLOOKUP($B25,Morning_Shift!$B$4:$BJ$61,MATCH(Both_Shift_Roster!J$2,Morning_Shift!$B$2:$BJ$2,0),0),"")="",IFERROR(VLOOKUP($B25,Evening_Shift!$B$4:$BJ$62,MATCH(Both_Shift_Roster!J$2,Evening_Shift!$B$2:$BJ$2,0),0),""),IFERROR(VLOOKUP($B25,Morning_Shift!$B$4:$BJ$61,MATCH(Both_Shift_Roster!J$2,Morning_Shift!$B$2:$BJ$2,0),0),""))</f>
        <v>7:00-14:30</v>
      </c>
      <c r="K25" s="2" t="str">
        <f>IF(IFERROR(VLOOKUP($B25,Morning_Shift!$B$4:$BJ$61,MATCH(Both_Shift_Roster!K$2,Morning_Shift!$B$2:$BJ$2,0),0),"")="",IFERROR(VLOOKUP($B25,Evening_Shift!$B$4:$BJ$62,MATCH(Both_Shift_Roster!K$2,Evening_Shift!$B$2:$BJ$2,0),0),""),IFERROR(VLOOKUP($B25,Morning_Shift!$B$4:$BJ$61,MATCH(Both_Shift_Roster!K$2,Morning_Shift!$B$2:$BJ$2,0),0),""))</f>
        <v>7:00-14:30</v>
      </c>
      <c r="L25" s="2" t="str">
        <f>IF(IFERROR(VLOOKUP($B25,Morning_Shift!$B$4:$BJ$61,MATCH(Both_Shift_Roster!L$2,Morning_Shift!$B$2:$BJ$2,0),0),"")="",IFERROR(VLOOKUP($B25,Evening_Shift!$B$4:$BJ$62,MATCH(Both_Shift_Roster!L$2,Evening_Shift!$B$2:$BJ$2,0),0),""),IFERROR(VLOOKUP($B25,Morning_Shift!$B$4:$BJ$61,MATCH(Both_Shift_Roster!L$2,Morning_Shift!$B$2:$BJ$2,0),0),""))</f>
        <v>7:00-14:30</v>
      </c>
      <c r="M25" s="2" t="str">
        <f>IF(IFERROR(VLOOKUP($B25,Morning_Shift!$B$4:$BJ$61,MATCH(Both_Shift_Roster!M$2,Morning_Shift!$B$2:$BJ$2,0),0),"")="",IFERROR(VLOOKUP($B25,Evening_Shift!$B$4:$BJ$62,MATCH(Both_Shift_Roster!M$2,Evening_Shift!$B$2:$BJ$2,0),0),""),IFERROR(VLOOKUP($B25,Morning_Shift!$B$4:$BJ$61,MATCH(Both_Shift_Roster!M$2,Morning_Shift!$B$2:$BJ$2,0),0),""))</f>
        <v>7:00-14:30</v>
      </c>
      <c r="N25" s="2">
        <f t="shared" si="15"/>
        <v>0</v>
      </c>
      <c r="O25" s="2">
        <f t="shared" si="16"/>
        <v>0</v>
      </c>
      <c r="P25" s="2">
        <f t="shared" si="17"/>
        <v>0</v>
      </c>
      <c r="Q25" s="2">
        <f t="shared" si="18"/>
        <v>0</v>
      </c>
      <c r="R25" s="2">
        <f t="shared" si="19"/>
        <v>0</v>
      </c>
      <c r="S25" s="2" t="str">
        <f>IF(IFERROR(VLOOKUP($B25,Morning_Shift!$B$4:$BJ$61,MATCH(Both_Shift_Roster!S$2,Morning_Shift!$B$2:$BJ$2,0),0),"")="",IFERROR(VLOOKUP($B25,Evening_Shift!$B$4:$BJ$62,MATCH(Both_Shift_Roster!S$2,Evening_Shift!$B$2:$BJ$2,0),0),""),IFERROR(VLOOKUP($B25,Morning_Shift!$B$4:$BJ$61,MATCH(Both_Shift_Roster!S$2,Morning_Shift!$B$2:$BJ$2,0),0),""))</f>
        <v>7:00-14:30</v>
      </c>
      <c r="T25" s="2" t="str">
        <f>IF(IFERROR(VLOOKUP($B25,Morning_Shift!$B$4:$BJ$61,MATCH(Both_Shift_Roster!T$2,Morning_Shift!$B$2:$BJ$2,0),0),"")="",IFERROR(VLOOKUP($B25,Evening_Shift!$B$4:$BJ$62,MATCH(Both_Shift_Roster!T$2,Evening_Shift!$B$2:$BJ$2,0),0),""),IFERROR(VLOOKUP($B25,Morning_Shift!$B$4:$BJ$61,MATCH(Both_Shift_Roster!T$2,Morning_Shift!$B$2:$BJ$2,0),0),""))</f>
        <v>7:00-14:30</v>
      </c>
      <c r="U25" s="2" t="str">
        <f>IF(IFERROR(VLOOKUP($B25,Morning_Shift!$B$4:$BJ$61,MATCH(Both_Shift_Roster!U$2,Morning_Shift!$B$2:$BJ$2,0),0),"")="",IFERROR(VLOOKUP($B25,Evening_Shift!$B$4:$BJ$62,MATCH(Both_Shift_Roster!U$2,Evening_Shift!$B$2:$BJ$2,0),0),""),IFERROR(VLOOKUP($B25,Morning_Shift!$B$4:$BJ$61,MATCH(Both_Shift_Roster!U$2,Morning_Shift!$B$2:$BJ$2,0),0),""))</f>
        <v>7:00-14:30</v>
      </c>
      <c r="V25" s="2" t="str">
        <f>IF(IFERROR(VLOOKUP($B25,Morning_Shift!$B$4:$BJ$61,MATCH(Both_Shift_Roster!V$2,Morning_Shift!$B$2:$BJ$2,0),0),"")="",IFERROR(VLOOKUP($B25,Evening_Shift!$B$4:$BJ$62,MATCH(Both_Shift_Roster!V$2,Evening_Shift!$B$2:$BJ$2,0),0),""),IFERROR(VLOOKUP($B25,Morning_Shift!$B$4:$BJ$61,MATCH(Both_Shift_Roster!V$2,Morning_Shift!$B$2:$BJ$2,0),0),""))</f>
        <v>7:00-14:30</v>
      </c>
      <c r="W25" s="2" t="str">
        <f>IF(IFERROR(VLOOKUP($B25,Morning_Shift!$B$4:$BJ$61,MATCH(Both_Shift_Roster!W$2,Morning_Shift!$B$2:$BJ$2,0),0),"")="",IFERROR(VLOOKUP($B25,Evening_Shift!$B$4:$BJ$62,MATCH(Both_Shift_Roster!W$2,Evening_Shift!$B$2:$BJ$2,0),0),""),IFERROR(VLOOKUP($B25,Morning_Shift!$B$4:$BJ$61,MATCH(Both_Shift_Roster!W$2,Morning_Shift!$B$2:$BJ$2,0),0),""))</f>
        <v>7:00-14:30</v>
      </c>
      <c r="X25" s="2" t="str">
        <f>IF(IFERROR(VLOOKUP($B25,Morning_Shift!$B$4:$BJ$61,MATCH(Both_Shift_Roster!X$2,Morning_Shift!$B$2:$BJ$2,0),0),"")="",IFERROR(VLOOKUP($B25,Evening_Shift!$B$4:$BJ$62,MATCH(Both_Shift_Roster!X$2,Evening_Shift!$B$2:$BJ$2,0),0),""),IFERROR(VLOOKUP($B25,Morning_Shift!$B$4:$BJ$61,MATCH(Both_Shift_Roster!X$2,Morning_Shift!$B$2:$BJ$2,0),0),""))</f>
        <v>7:00-14:30</v>
      </c>
      <c r="Y25" s="2" t="str">
        <f>IF(IFERROR(VLOOKUP($B25,Morning_Shift!$B$4:$BJ$61,MATCH(Both_Shift_Roster!Y$2,Morning_Shift!$B$2:$BJ$2,0),0),"")="",IFERROR(VLOOKUP($B25,Evening_Shift!$B$4:$BJ$62,MATCH(Both_Shift_Roster!Y$2,Evening_Shift!$B$2:$BJ$2,0),0),""),IFERROR(VLOOKUP($B25,Morning_Shift!$B$4:$BJ$61,MATCH(Both_Shift_Roster!Y$2,Morning_Shift!$B$2:$BJ$2,0),0),""))</f>
        <v>7:00-14:30</v>
      </c>
      <c r="Z25" s="2">
        <f t="shared" si="20"/>
        <v>0</v>
      </c>
      <c r="AA25" s="2">
        <f t="shared" si="21"/>
        <v>0</v>
      </c>
      <c r="AB25" s="2">
        <f t="shared" si="22"/>
        <v>0</v>
      </c>
      <c r="AC25" s="2">
        <f t="shared" si="23"/>
        <v>0</v>
      </c>
      <c r="AD25" s="2">
        <f t="shared" si="24"/>
        <v>0</v>
      </c>
      <c r="AE25" s="2" t="str">
        <f>IF(IFERROR(VLOOKUP($B25,Morning_Shift!$B$4:$BJ$61,MATCH(Both_Shift_Roster!AE$2,Morning_Shift!$B$2:$BJ$2,0),0),"")="",IFERROR(VLOOKUP($B25,Evening_Shift!$B$4:$BJ$62,MATCH(Both_Shift_Roster!AE$2,Evening_Shift!$B$2:$BJ$2,0),0),""),IFERROR(VLOOKUP($B25,Morning_Shift!$B$4:$BJ$61,MATCH(Both_Shift_Roster!AE$2,Morning_Shift!$B$2:$BJ$2,0),0),""))</f>
        <v>7:00-14:30</v>
      </c>
      <c r="AF25" s="2" t="str">
        <f>IF(IFERROR(VLOOKUP($B25,Morning_Shift!$B$4:$BJ$61,MATCH(Both_Shift_Roster!AF$2,Morning_Shift!$B$2:$BJ$2,0),0),"")="",IFERROR(VLOOKUP($B25,Evening_Shift!$B$4:$BJ$62,MATCH(Both_Shift_Roster!AF$2,Evening_Shift!$B$2:$BJ$2,0),0),""),IFERROR(VLOOKUP($B25,Morning_Shift!$B$4:$BJ$61,MATCH(Both_Shift_Roster!AF$2,Morning_Shift!$B$2:$BJ$2,0),0),""))</f>
        <v>7:00-14:30</v>
      </c>
      <c r="AG25" s="2" t="str">
        <f>IF(IFERROR(VLOOKUP($B25,Morning_Shift!$B$4:$BJ$61,MATCH(Both_Shift_Roster!AG$2,Morning_Shift!$B$2:$BJ$2,0),0),"")="",IFERROR(VLOOKUP($B25,Evening_Shift!$B$4:$BJ$62,MATCH(Both_Shift_Roster!AG$2,Evening_Shift!$B$2:$BJ$2,0),0),""),IFERROR(VLOOKUP($B25,Morning_Shift!$B$4:$BJ$61,MATCH(Both_Shift_Roster!AG$2,Morning_Shift!$B$2:$BJ$2,0),0),""))</f>
        <v>7:00-14:30</v>
      </c>
      <c r="AH25" s="2" t="str">
        <f>IF(IFERROR(VLOOKUP($B25,Morning_Shift!$B$4:$BJ$61,MATCH(Both_Shift_Roster!AH$2,Morning_Shift!$B$2:$BJ$2,0),0),"")="",IFERROR(VLOOKUP($B25,Evening_Shift!$B$4:$BJ$62,MATCH(Both_Shift_Roster!AH$2,Evening_Shift!$B$2:$BJ$2,0),0),""),IFERROR(VLOOKUP($B25,Morning_Shift!$B$4:$BJ$61,MATCH(Both_Shift_Roster!AH$2,Morning_Shift!$B$2:$BJ$2,0),0),""))</f>
        <v>Agent Choice WO</v>
      </c>
      <c r="AI25" s="2" t="str">
        <f>IF(IFERROR(VLOOKUP($B25,Morning_Shift!$B$4:$BJ$61,MATCH(Both_Shift_Roster!AI$2,Morning_Shift!$B$2:$BJ$2,0),0),"")="",IFERROR(VLOOKUP($B25,Evening_Shift!$B$4:$BJ$62,MATCH(Both_Shift_Roster!AI$2,Evening_Shift!$B$2:$BJ$2,0),0),""),IFERROR(VLOOKUP($B25,Morning_Shift!$B$4:$BJ$61,MATCH(Both_Shift_Roster!AI$2,Morning_Shift!$B$2:$BJ$2,0),0),""))</f>
        <v>Agent Choice WO</v>
      </c>
      <c r="AJ25" s="2" t="str">
        <f>IF(IFERROR(VLOOKUP($B25,Morning_Shift!$B$4:$BJ$61,MATCH(Both_Shift_Roster!AJ$2,Morning_Shift!$B$2:$BJ$2,0),0),"")="",IFERROR(VLOOKUP($B25,Evening_Shift!$B$4:$BJ$62,MATCH(Both_Shift_Roster!AJ$2,Evening_Shift!$B$2:$BJ$2,0),0),""),IFERROR(VLOOKUP($B25,Morning_Shift!$B$4:$BJ$61,MATCH(Both_Shift_Roster!AJ$2,Morning_Shift!$B$2:$BJ$2,0),0),""))</f>
        <v>Agent Choice WO</v>
      </c>
      <c r="AK25" s="2" t="str">
        <f>IF(IFERROR(VLOOKUP($B25,Morning_Shift!$B$4:$BJ$61,MATCH(Both_Shift_Roster!AK$2,Morning_Shift!$B$2:$BJ$2,0),0),"")="",IFERROR(VLOOKUP($B25,Evening_Shift!$B$4:$BJ$62,MATCH(Both_Shift_Roster!AK$2,Evening_Shift!$B$2:$BJ$2,0),0),""),IFERROR(VLOOKUP($B25,Morning_Shift!$B$4:$BJ$61,MATCH(Both_Shift_Roster!AK$2,Morning_Shift!$B$2:$BJ$2,0),0),""))</f>
        <v>Agent Choice WO</v>
      </c>
      <c r="AL25" s="2">
        <f t="shared" si="25"/>
        <v>4</v>
      </c>
      <c r="AM25" s="2">
        <f t="shared" si="26"/>
        <v>0</v>
      </c>
      <c r="AN25" s="2">
        <f t="shared" si="27"/>
        <v>0</v>
      </c>
      <c r="AO25" s="2">
        <f t="shared" si="28"/>
        <v>0</v>
      </c>
      <c r="AP25" s="2">
        <f t="shared" si="29"/>
        <v>0</v>
      </c>
      <c r="AQ25" s="2" t="str">
        <f>IF(IFERROR(VLOOKUP($B25,Morning_Shift!$B$4:$BJ$61,MATCH(Both_Shift_Roster!AQ$2,Morning_Shift!$B$2:$BJ$2,0),0),"")="",IFERROR(VLOOKUP($B25,Evening_Shift!$B$4:$BJ$62,MATCH(Both_Shift_Roster!AQ$2,Evening_Shift!$B$2:$BJ$2,0),0),""),IFERROR(VLOOKUP($B25,Morning_Shift!$B$4:$BJ$61,MATCH(Both_Shift_Roster!AQ$2,Morning_Shift!$B$2:$BJ$2,0),0),""))</f>
        <v>CL</v>
      </c>
      <c r="AR25" s="2" t="str">
        <f>IF(IFERROR(VLOOKUP($B25,Morning_Shift!$B$4:$BJ$61,MATCH(Both_Shift_Roster!AR$2,Morning_Shift!$B$2:$BJ$2,0),0),"")="",IFERROR(VLOOKUP($B25,Evening_Shift!$B$4:$BJ$62,MATCH(Both_Shift_Roster!AR$2,Evening_Shift!$B$2:$BJ$2,0),0),""),IFERROR(VLOOKUP($B25,Morning_Shift!$B$4:$BJ$61,MATCH(Both_Shift_Roster!AR$2,Morning_Shift!$B$2:$BJ$2,0),0),""))</f>
        <v>CL</v>
      </c>
      <c r="AS25" s="2" t="str">
        <f>IF(IFERROR(VLOOKUP($B25,Morning_Shift!$B$4:$BJ$61,MATCH(Both_Shift_Roster!AS$2,Morning_Shift!$B$2:$BJ$2,0),0),"")="",IFERROR(VLOOKUP($B25,Evening_Shift!$B$4:$BJ$62,MATCH(Both_Shift_Roster!AS$2,Evening_Shift!$B$2:$BJ$2,0),0),""),IFERROR(VLOOKUP($B25,Morning_Shift!$B$4:$BJ$61,MATCH(Both_Shift_Roster!AS$2,Morning_Shift!$B$2:$BJ$2,0),0),""))</f>
        <v>7:00-14:30</v>
      </c>
      <c r="AT25" s="2" t="str">
        <f>IF(IFERROR(VLOOKUP($B25,Morning_Shift!$B$4:$BJ$61,MATCH(Both_Shift_Roster!AT$2,Morning_Shift!$B$2:$BJ$2,0),0),"")="",IFERROR(VLOOKUP($B25,Evening_Shift!$B$4:$BJ$62,MATCH(Both_Shift_Roster!AT$2,Evening_Shift!$B$2:$BJ$2,0),0),""),IFERROR(VLOOKUP($B25,Morning_Shift!$B$4:$BJ$61,MATCH(Both_Shift_Roster!AT$2,Morning_Shift!$B$2:$BJ$2,0),0),""))</f>
        <v>7:00-14:30</v>
      </c>
      <c r="AU25" s="2" t="str">
        <f>IF(IFERROR(VLOOKUP($B25,Morning_Shift!$B$4:$BJ$61,MATCH(Both_Shift_Roster!AU$2,Morning_Shift!$B$2:$BJ$2,0),0),"")="",IFERROR(VLOOKUP($B25,Evening_Shift!$B$4:$BJ$62,MATCH(Both_Shift_Roster!AU$2,Evening_Shift!$B$2:$BJ$2,0),0),""),IFERROR(VLOOKUP($B25,Morning_Shift!$B$4:$BJ$61,MATCH(Both_Shift_Roster!AU$2,Morning_Shift!$B$2:$BJ$2,0),0),""))</f>
        <v>7:00-14:30</v>
      </c>
      <c r="AV25" s="2" t="str">
        <f>IF(IFERROR(VLOOKUP($B25,Morning_Shift!$B$4:$BJ$61,MATCH(Both_Shift_Roster!AV$2,Morning_Shift!$B$2:$BJ$2,0),0),"")="",IFERROR(VLOOKUP($B25,Evening_Shift!$B$4:$BJ$62,MATCH(Both_Shift_Roster!AV$2,Evening_Shift!$B$2:$BJ$2,0),0),""),IFERROR(VLOOKUP($B25,Morning_Shift!$B$4:$BJ$61,MATCH(Both_Shift_Roster!AV$2,Morning_Shift!$B$2:$BJ$2,0),0),""))</f>
        <v>7:00-14:30</v>
      </c>
      <c r="AW25" s="2" t="str">
        <f>IF(IFERROR(VLOOKUP($B25,Morning_Shift!$B$4:$BJ$61,MATCH(Both_Shift_Roster!AW$2,Morning_Shift!$B$2:$BJ$2,0),0),"")="",IFERROR(VLOOKUP($B25,Evening_Shift!$B$4:$BJ$62,MATCH(Both_Shift_Roster!AW$2,Evening_Shift!$B$2:$BJ$2,0),0),""),IFERROR(VLOOKUP($B25,Morning_Shift!$B$4:$BJ$61,MATCH(Both_Shift_Roster!AW$2,Morning_Shift!$B$2:$BJ$2,0),0),""))</f>
        <v>7:00-14:30</v>
      </c>
      <c r="AX25" s="2">
        <f t="shared" si="30"/>
        <v>0</v>
      </c>
      <c r="AY25" s="2">
        <f t="shared" si="31"/>
        <v>0</v>
      </c>
      <c r="AZ25" s="2">
        <f t="shared" si="32"/>
        <v>2</v>
      </c>
      <c r="BA25" s="2">
        <f t="shared" si="33"/>
        <v>0</v>
      </c>
      <c r="BB25" s="2">
        <f t="shared" si="34"/>
        <v>0</v>
      </c>
      <c r="BC25" s="2" t="str">
        <f>IF(IFERROR(VLOOKUP($B25,Morning_Shift!$B$4:$BJ$61,MATCH(Both_Shift_Roster!BC$2,Morning_Shift!$B$2:$BJ$2,0),0),"")="",IFERROR(VLOOKUP($B25,Evening_Shift!$B$4:$BJ$62,MATCH(Both_Shift_Roster!BC$2,Evening_Shift!$B$2:$BJ$2,0),0),""),IFERROR(VLOOKUP($B25,Morning_Shift!$B$4:$BJ$61,MATCH(Both_Shift_Roster!BC$2,Morning_Shift!$B$2:$BJ$2,0),0),""))</f>
        <v>7:00-14:30</v>
      </c>
      <c r="BD25" s="2" t="str">
        <f>IF(IFERROR(VLOOKUP($B25,Morning_Shift!$B$4:$BJ$61,MATCH(Both_Shift_Roster!BD$2,Morning_Shift!$B$2:$BJ$2,0),0),"")="",IFERROR(VLOOKUP($B25,Evening_Shift!$B$4:$BJ$62,MATCH(Both_Shift_Roster!BD$2,Evening_Shift!$B$2:$BJ$2,0),0),""),IFERROR(VLOOKUP($B25,Morning_Shift!$B$4:$BJ$61,MATCH(Both_Shift_Roster!BD$2,Morning_Shift!$B$2:$BJ$2,0),0),""))</f>
        <v>7:00-14:30</v>
      </c>
      <c r="BE25" s="2" t="str">
        <f>IF(IFERROR(VLOOKUP($B25,Morning_Shift!$B$4:$BJ$61,MATCH(Both_Shift_Roster!BE$2,Morning_Shift!$B$2:$BJ$2,0),0),"")="",IFERROR(VLOOKUP($B25,Evening_Shift!$B$4:$BJ$59,MATCH(Both_Shift_Roster!BE$2,Evening_Shift!$B$2:$BJ$2,0),0),""),IFERROR(VLOOKUP($B25,Morning_Shift!$B$4:$BJ$61,MATCH(Both_Shift_Roster!BE$2,Morning_Shift!$B$2:$BJ$2,0),0),""))</f>
        <v>7:00-14:30</v>
      </c>
      <c r="BF25" s="2">
        <f t="shared" si="35"/>
        <v>0</v>
      </c>
      <c r="BG25" s="2">
        <f t="shared" si="36"/>
        <v>0</v>
      </c>
      <c r="BH25" s="2">
        <f t="shared" si="37"/>
        <v>0</v>
      </c>
      <c r="BI25" s="2">
        <f t="shared" si="38"/>
        <v>0</v>
      </c>
      <c r="BJ25" s="2">
        <f t="shared" si="39"/>
        <v>0</v>
      </c>
    </row>
    <row r="26" spans="1:62">
      <c r="A26" s="17">
        <f t="shared" si="40"/>
        <v>23</v>
      </c>
      <c r="B26" s="16" t="str">
        <f>Morning_Shift!$B26</f>
        <v>Dritm39</v>
      </c>
      <c r="C26" s="21" t="str">
        <f>IF(IFERROR(VLOOKUP(B26,Morning_Shift!B:C,2,0),"")="",IFERROR(VLOOKUP(B26,Evening_Shift!B:C,2,0),""),IFERROR(VLOOKUP(B26,Morning_Shift!B:C,2,0),""))</f>
        <v>Manoj</v>
      </c>
      <c r="D26" s="15" t="str">
        <f>IF(IFERROR(VLOOKUP(B26,Morning_Shift!B:D,3,0),"")="",IFERROR(VLOOKUP(B26,Evening_Shift!B:D,3,0),""),IFERROR(VLOOKUP(B26,Morning_Shift!B:D,3,0),""))</f>
        <v>Naina</v>
      </c>
      <c r="E26" s="4" t="str">
        <f>IF(IFERROR(VLOOKUP(B26,Morning_Shift!B:E,4,0),"")="",IFERROR(VLOOKUP(B26,Evening_Shift!B:E,4,0),""),IFERROR(VLOOKUP(B26,Morning_Shift!B:E,4,0),""))</f>
        <v>M</v>
      </c>
      <c r="F26" s="5" t="str">
        <f>IF(IFERROR(VLOOKUP(B26,Morning_Shift!B:F,5,0),"")="",IFERROR(VLOOKUP(B26,Evening_Shift!B:F,5,0),""),IFERROR(VLOOKUP(B26,Morning_Shift!B:F,5,0),""))</f>
        <v>Inbound</v>
      </c>
      <c r="G26" s="2" t="str">
        <f>IF(IFERROR(VLOOKUP($B26,Morning_Shift!$B$4:$BJ$61,MATCH(Both_Shift_Roster!G$2,Morning_Shift!$B$2:$BJ$2,0),0),"")="",IFERROR(VLOOKUP($B26,Evening_Shift!$B$4:$BJ$62,MATCH(Both_Shift_Roster!G$2,Evening_Shift!$B$2:$BJ$2,0),0),""),IFERROR(VLOOKUP($B26,Morning_Shift!$B$4:$BJ$61,MATCH(Both_Shift_Roster!G$2,Morning_Shift!$B$2:$BJ$2,0),0),""))</f>
        <v>7:00-14:30</v>
      </c>
      <c r="H26" s="2" t="str">
        <f>IF(IFERROR(VLOOKUP($B26,Morning_Shift!$B$4:$BJ$61,MATCH(Both_Shift_Roster!H$2,Morning_Shift!$B$2:$BJ$2,0),0),"")="",IFERROR(VLOOKUP($B26,Evening_Shift!$B$4:$BJ$62,MATCH(Both_Shift_Roster!H$2,Evening_Shift!$B$2:$BJ$2,0),0),""),IFERROR(VLOOKUP($B26,Morning_Shift!$B$4:$BJ$61,MATCH(Both_Shift_Roster!H$2,Morning_Shift!$B$2:$BJ$2,0),0),""))</f>
        <v>7:00-14:30</v>
      </c>
      <c r="I26" s="2" t="str">
        <f>IF(IFERROR(VLOOKUP($B26,Morning_Shift!$B$4:$BJ$61,MATCH(Both_Shift_Roster!I$2,Morning_Shift!$B$2:$BJ$2,0),0),"")="",IFERROR(VLOOKUP($B26,Evening_Shift!$B$4:$BJ$62,MATCH(Both_Shift_Roster!I$2,Evening_Shift!$B$2:$BJ$2,0),0),""),IFERROR(VLOOKUP($B26,Morning_Shift!$B$4:$BJ$61,MATCH(Both_Shift_Roster!I$2,Morning_Shift!$B$2:$BJ$2,0),0),""))</f>
        <v>7:00-14:30</v>
      </c>
      <c r="J26" s="2" t="str">
        <f>IF(IFERROR(VLOOKUP($B26,Morning_Shift!$B$4:$BJ$61,MATCH(Both_Shift_Roster!J$2,Morning_Shift!$B$2:$BJ$2,0),0),"")="",IFERROR(VLOOKUP($B26,Evening_Shift!$B$4:$BJ$62,MATCH(Both_Shift_Roster!J$2,Evening_Shift!$B$2:$BJ$2,0),0),""),IFERROR(VLOOKUP($B26,Morning_Shift!$B$4:$BJ$61,MATCH(Both_Shift_Roster!J$2,Morning_Shift!$B$2:$BJ$2,0),0),""))</f>
        <v>7:00-14:30</v>
      </c>
      <c r="K26" s="2" t="str">
        <f>IF(IFERROR(VLOOKUP($B26,Morning_Shift!$B$4:$BJ$61,MATCH(Both_Shift_Roster!K$2,Morning_Shift!$B$2:$BJ$2,0),0),"")="",IFERROR(VLOOKUP($B26,Evening_Shift!$B$4:$BJ$62,MATCH(Both_Shift_Roster!K$2,Evening_Shift!$B$2:$BJ$2,0),0),""),IFERROR(VLOOKUP($B26,Morning_Shift!$B$4:$BJ$61,MATCH(Both_Shift_Roster!K$2,Morning_Shift!$B$2:$BJ$2,0),0),""))</f>
        <v>7:00-14:30</v>
      </c>
      <c r="L26" s="2" t="str">
        <f>IF(IFERROR(VLOOKUP($B26,Morning_Shift!$B$4:$BJ$61,MATCH(Both_Shift_Roster!L$2,Morning_Shift!$B$2:$BJ$2,0),0),"")="",IFERROR(VLOOKUP($B26,Evening_Shift!$B$4:$BJ$62,MATCH(Both_Shift_Roster!L$2,Evening_Shift!$B$2:$BJ$2,0),0),""),IFERROR(VLOOKUP($B26,Morning_Shift!$B$4:$BJ$61,MATCH(Both_Shift_Roster!L$2,Morning_Shift!$B$2:$BJ$2,0),0),""))</f>
        <v>7:00-14:30</v>
      </c>
      <c r="M26" s="2" t="str">
        <f>IF(IFERROR(VLOOKUP($B26,Morning_Shift!$B$4:$BJ$61,MATCH(Both_Shift_Roster!M$2,Morning_Shift!$B$2:$BJ$2,0),0),"")="",IFERROR(VLOOKUP($B26,Evening_Shift!$B$4:$BJ$62,MATCH(Both_Shift_Roster!M$2,Evening_Shift!$B$2:$BJ$2,0),0),""),IFERROR(VLOOKUP($B26,Morning_Shift!$B$4:$BJ$61,MATCH(Both_Shift_Roster!M$2,Morning_Shift!$B$2:$BJ$2,0),0),""))</f>
        <v>7:00-14:30</v>
      </c>
      <c r="N26" s="2">
        <f t="shared" si="15"/>
        <v>0</v>
      </c>
      <c r="O26" s="2">
        <f t="shared" si="16"/>
        <v>0</v>
      </c>
      <c r="P26" s="2">
        <f t="shared" si="17"/>
        <v>0</v>
      </c>
      <c r="Q26" s="2">
        <f t="shared" si="18"/>
        <v>0</v>
      </c>
      <c r="R26" s="2">
        <f t="shared" si="19"/>
        <v>0</v>
      </c>
      <c r="S26" s="2" t="str">
        <f>IF(IFERROR(VLOOKUP($B26,Morning_Shift!$B$4:$BJ$61,MATCH(Both_Shift_Roster!S$2,Morning_Shift!$B$2:$BJ$2,0),0),"")="",IFERROR(VLOOKUP($B26,Evening_Shift!$B$4:$BJ$62,MATCH(Both_Shift_Roster!S$2,Evening_Shift!$B$2:$BJ$2,0),0),""),IFERROR(VLOOKUP($B26,Morning_Shift!$B$4:$BJ$61,MATCH(Both_Shift_Roster!S$2,Morning_Shift!$B$2:$BJ$2,0),0),""))</f>
        <v>Agent Choice WO</v>
      </c>
      <c r="T26" s="2" t="str">
        <f>IF(IFERROR(VLOOKUP($B26,Morning_Shift!$B$4:$BJ$61,MATCH(Both_Shift_Roster!T$2,Morning_Shift!$B$2:$BJ$2,0),0),"")="",IFERROR(VLOOKUP($B26,Evening_Shift!$B$4:$BJ$62,MATCH(Both_Shift_Roster!T$2,Evening_Shift!$B$2:$BJ$2,0),0),""),IFERROR(VLOOKUP($B26,Morning_Shift!$B$4:$BJ$61,MATCH(Both_Shift_Roster!T$2,Morning_Shift!$B$2:$BJ$2,0),0),""))</f>
        <v>Agent Choice WO</v>
      </c>
      <c r="U26" s="2" t="str">
        <f>IF(IFERROR(VLOOKUP($B26,Morning_Shift!$B$4:$BJ$61,MATCH(Both_Shift_Roster!U$2,Morning_Shift!$B$2:$BJ$2,0),0),"")="",IFERROR(VLOOKUP($B26,Evening_Shift!$B$4:$BJ$62,MATCH(Both_Shift_Roster!U$2,Evening_Shift!$B$2:$BJ$2,0),0),""),IFERROR(VLOOKUP($B26,Morning_Shift!$B$4:$BJ$61,MATCH(Both_Shift_Roster!U$2,Morning_Shift!$B$2:$BJ$2,0),0),""))</f>
        <v>Agent Choice WO</v>
      </c>
      <c r="V26" s="2" t="str">
        <f>IF(IFERROR(VLOOKUP($B26,Morning_Shift!$B$4:$BJ$61,MATCH(Both_Shift_Roster!V$2,Morning_Shift!$B$2:$BJ$2,0),0),"")="",IFERROR(VLOOKUP($B26,Evening_Shift!$B$4:$BJ$62,MATCH(Both_Shift_Roster!V$2,Evening_Shift!$B$2:$BJ$2,0),0),""),IFERROR(VLOOKUP($B26,Morning_Shift!$B$4:$BJ$61,MATCH(Both_Shift_Roster!V$2,Morning_Shift!$B$2:$BJ$2,0),0),""))</f>
        <v>Agent Choice WO</v>
      </c>
      <c r="W26" s="2" t="str">
        <f>IF(IFERROR(VLOOKUP($B26,Morning_Shift!$B$4:$BJ$61,MATCH(Both_Shift_Roster!W$2,Morning_Shift!$B$2:$BJ$2,0),0),"")="",IFERROR(VLOOKUP($B26,Evening_Shift!$B$4:$BJ$62,MATCH(Both_Shift_Roster!W$2,Evening_Shift!$B$2:$BJ$2,0),0),""),IFERROR(VLOOKUP($B26,Morning_Shift!$B$4:$BJ$61,MATCH(Both_Shift_Roster!W$2,Morning_Shift!$B$2:$BJ$2,0),0),""))</f>
        <v>CL</v>
      </c>
      <c r="X26" s="2" t="str">
        <f>IF(IFERROR(VLOOKUP($B26,Morning_Shift!$B$4:$BJ$61,MATCH(Both_Shift_Roster!X$2,Morning_Shift!$B$2:$BJ$2,0),0),"")="",IFERROR(VLOOKUP($B26,Evening_Shift!$B$4:$BJ$62,MATCH(Both_Shift_Roster!X$2,Evening_Shift!$B$2:$BJ$2,0),0),""),IFERROR(VLOOKUP($B26,Morning_Shift!$B$4:$BJ$61,MATCH(Both_Shift_Roster!X$2,Morning_Shift!$B$2:$BJ$2,0),0),""))</f>
        <v>7:00-14:30</v>
      </c>
      <c r="Y26" s="2" t="str">
        <f>IF(IFERROR(VLOOKUP($B26,Morning_Shift!$B$4:$BJ$61,MATCH(Both_Shift_Roster!Y$2,Morning_Shift!$B$2:$BJ$2,0),0),"")="",IFERROR(VLOOKUP($B26,Evening_Shift!$B$4:$BJ$62,MATCH(Both_Shift_Roster!Y$2,Evening_Shift!$B$2:$BJ$2,0),0),""),IFERROR(VLOOKUP($B26,Morning_Shift!$B$4:$BJ$61,MATCH(Both_Shift_Roster!Y$2,Morning_Shift!$B$2:$BJ$2,0),0),""))</f>
        <v>7:00-14:30</v>
      </c>
      <c r="Z26" s="2">
        <f t="shared" si="20"/>
        <v>4</v>
      </c>
      <c r="AA26" s="2">
        <f t="shared" si="21"/>
        <v>0</v>
      </c>
      <c r="AB26" s="2">
        <f t="shared" si="22"/>
        <v>1</v>
      </c>
      <c r="AC26" s="2">
        <f t="shared" si="23"/>
        <v>0</v>
      </c>
      <c r="AD26" s="2">
        <f t="shared" si="24"/>
        <v>0</v>
      </c>
      <c r="AE26" s="2" t="str">
        <f>IF(IFERROR(VLOOKUP($B26,Morning_Shift!$B$4:$BJ$61,MATCH(Both_Shift_Roster!AE$2,Morning_Shift!$B$2:$BJ$2,0),0),"")="",IFERROR(VLOOKUP($B26,Evening_Shift!$B$4:$BJ$62,MATCH(Both_Shift_Roster!AE$2,Evening_Shift!$B$2:$BJ$2,0),0),""),IFERROR(VLOOKUP($B26,Morning_Shift!$B$4:$BJ$61,MATCH(Both_Shift_Roster!AE$2,Morning_Shift!$B$2:$BJ$2,0),0),""))</f>
        <v>7:00-14:30</v>
      </c>
      <c r="AF26" s="2" t="str">
        <f>IF(IFERROR(VLOOKUP($B26,Morning_Shift!$B$4:$BJ$61,MATCH(Both_Shift_Roster!AF$2,Morning_Shift!$B$2:$BJ$2,0),0),"")="",IFERROR(VLOOKUP($B26,Evening_Shift!$B$4:$BJ$62,MATCH(Both_Shift_Roster!AF$2,Evening_Shift!$B$2:$BJ$2,0),0),""),IFERROR(VLOOKUP($B26,Morning_Shift!$B$4:$BJ$61,MATCH(Both_Shift_Roster!AF$2,Morning_Shift!$B$2:$BJ$2,0),0),""))</f>
        <v>7:00-14:30</v>
      </c>
      <c r="AG26" s="2" t="str">
        <f>IF(IFERROR(VLOOKUP($B26,Morning_Shift!$B$4:$BJ$61,MATCH(Both_Shift_Roster!AG$2,Morning_Shift!$B$2:$BJ$2,0),0),"")="",IFERROR(VLOOKUP($B26,Evening_Shift!$B$4:$BJ$62,MATCH(Both_Shift_Roster!AG$2,Evening_Shift!$B$2:$BJ$2,0),0),""),IFERROR(VLOOKUP($B26,Morning_Shift!$B$4:$BJ$61,MATCH(Both_Shift_Roster!AG$2,Morning_Shift!$B$2:$BJ$2,0),0),""))</f>
        <v>7:00-14:30</v>
      </c>
      <c r="AH26" s="2" t="str">
        <f>IF(IFERROR(VLOOKUP($B26,Morning_Shift!$B$4:$BJ$61,MATCH(Both_Shift_Roster!AH$2,Morning_Shift!$B$2:$BJ$2,0),0),"")="",IFERROR(VLOOKUP($B26,Evening_Shift!$B$4:$BJ$62,MATCH(Both_Shift_Roster!AH$2,Evening_Shift!$B$2:$BJ$2,0),0),""),IFERROR(VLOOKUP($B26,Morning_Shift!$B$4:$BJ$61,MATCH(Both_Shift_Roster!AH$2,Morning_Shift!$B$2:$BJ$2,0),0),""))</f>
        <v>7:00-14:30</v>
      </c>
      <c r="AI26" s="2" t="str">
        <f>IF(IFERROR(VLOOKUP($B26,Morning_Shift!$B$4:$BJ$61,MATCH(Both_Shift_Roster!AI$2,Morning_Shift!$B$2:$BJ$2,0),0),"")="",IFERROR(VLOOKUP($B26,Evening_Shift!$B$4:$BJ$62,MATCH(Both_Shift_Roster!AI$2,Evening_Shift!$B$2:$BJ$2,0),0),""),IFERROR(VLOOKUP($B26,Morning_Shift!$B$4:$BJ$61,MATCH(Both_Shift_Roster!AI$2,Morning_Shift!$B$2:$BJ$2,0),0),""))</f>
        <v>7:00-14:30</v>
      </c>
      <c r="AJ26" s="2" t="str">
        <f>IF(IFERROR(VLOOKUP($B26,Morning_Shift!$B$4:$BJ$61,MATCH(Both_Shift_Roster!AJ$2,Morning_Shift!$B$2:$BJ$2,0),0),"")="",IFERROR(VLOOKUP($B26,Evening_Shift!$B$4:$BJ$62,MATCH(Both_Shift_Roster!AJ$2,Evening_Shift!$B$2:$BJ$2,0),0),""),IFERROR(VLOOKUP($B26,Morning_Shift!$B$4:$BJ$61,MATCH(Both_Shift_Roster!AJ$2,Morning_Shift!$B$2:$BJ$2,0),0),""))</f>
        <v>7:00-14:30</v>
      </c>
      <c r="AK26" s="2" t="str">
        <f>IF(IFERROR(VLOOKUP($B26,Morning_Shift!$B$4:$BJ$61,MATCH(Both_Shift_Roster!AK$2,Morning_Shift!$B$2:$BJ$2,0),0),"")="",IFERROR(VLOOKUP($B26,Evening_Shift!$B$4:$BJ$62,MATCH(Both_Shift_Roster!AK$2,Evening_Shift!$B$2:$BJ$2,0),0),""),IFERROR(VLOOKUP($B26,Morning_Shift!$B$4:$BJ$61,MATCH(Both_Shift_Roster!AK$2,Morning_Shift!$B$2:$BJ$2,0),0),""))</f>
        <v>7:00-14:30</v>
      </c>
      <c r="AL26" s="2">
        <f t="shared" si="25"/>
        <v>0</v>
      </c>
      <c r="AM26" s="2">
        <f t="shared" si="26"/>
        <v>0</v>
      </c>
      <c r="AN26" s="2">
        <f t="shared" si="27"/>
        <v>0</v>
      </c>
      <c r="AO26" s="2">
        <f t="shared" si="28"/>
        <v>0</v>
      </c>
      <c r="AP26" s="2">
        <f t="shared" si="29"/>
        <v>0</v>
      </c>
      <c r="AQ26" s="2" t="str">
        <f>IF(IFERROR(VLOOKUP($B26,Morning_Shift!$B$4:$BJ$61,MATCH(Both_Shift_Roster!AQ$2,Morning_Shift!$B$2:$BJ$2,0),0),"")="",IFERROR(VLOOKUP($B26,Evening_Shift!$B$4:$BJ$62,MATCH(Both_Shift_Roster!AQ$2,Evening_Shift!$B$2:$BJ$2,0),0),""),IFERROR(VLOOKUP($B26,Morning_Shift!$B$4:$BJ$61,MATCH(Both_Shift_Roster!AQ$2,Morning_Shift!$B$2:$BJ$2,0),0),""))</f>
        <v>7:00-14:30</v>
      </c>
      <c r="AR26" s="2" t="str">
        <f>IF(IFERROR(VLOOKUP($B26,Morning_Shift!$B$4:$BJ$61,MATCH(Both_Shift_Roster!AR$2,Morning_Shift!$B$2:$BJ$2,0),0),"")="",IFERROR(VLOOKUP($B26,Evening_Shift!$B$4:$BJ$62,MATCH(Both_Shift_Roster!AR$2,Evening_Shift!$B$2:$BJ$2,0),0),""),IFERROR(VLOOKUP($B26,Morning_Shift!$B$4:$BJ$61,MATCH(Both_Shift_Roster!AR$2,Morning_Shift!$B$2:$BJ$2,0),0),""))</f>
        <v>7:00-14:30</v>
      </c>
      <c r="AS26" s="2" t="str">
        <f>IF(IFERROR(VLOOKUP($B26,Morning_Shift!$B$4:$BJ$61,MATCH(Both_Shift_Roster!AS$2,Morning_Shift!$B$2:$BJ$2,0),0),"")="",IFERROR(VLOOKUP($B26,Evening_Shift!$B$4:$BJ$62,MATCH(Both_Shift_Roster!AS$2,Evening_Shift!$B$2:$BJ$2,0),0),""),IFERROR(VLOOKUP($B26,Morning_Shift!$B$4:$BJ$61,MATCH(Both_Shift_Roster!AS$2,Morning_Shift!$B$2:$BJ$2,0),0),""))</f>
        <v>7:00-14:30</v>
      </c>
      <c r="AT26" s="2" t="str">
        <f>IF(IFERROR(VLOOKUP($B26,Morning_Shift!$B$4:$BJ$61,MATCH(Both_Shift_Roster!AT$2,Morning_Shift!$B$2:$BJ$2,0),0),"")="",IFERROR(VLOOKUP($B26,Evening_Shift!$B$4:$BJ$62,MATCH(Both_Shift_Roster!AT$2,Evening_Shift!$B$2:$BJ$2,0),0),""),IFERROR(VLOOKUP($B26,Morning_Shift!$B$4:$BJ$61,MATCH(Both_Shift_Roster!AT$2,Morning_Shift!$B$2:$BJ$2,0),0),""))</f>
        <v>7:00-14:30</v>
      </c>
      <c r="AU26" s="2" t="str">
        <f>IF(IFERROR(VLOOKUP($B26,Morning_Shift!$B$4:$BJ$61,MATCH(Both_Shift_Roster!AU$2,Morning_Shift!$B$2:$BJ$2,0),0),"")="",IFERROR(VLOOKUP($B26,Evening_Shift!$B$4:$BJ$62,MATCH(Both_Shift_Roster!AU$2,Evening_Shift!$B$2:$BJ$2,0),0),""),IFERROR(VLOOKUP($B26,Morning_Shift!$B$4:$BJ$61,MATCH(Both_Shift_Roster!AU$2,Morning_Shift!$B$2:$BJ$2,0),0),""))</f>
        <v>7:00-14:30</v>
      </c>
      <c r="AV26" s="2" t="str">
        <f>IF(IFERROR(VLOOKUP($B26,Morning_Shift!$B$4:$BJ$61,MATCH(Both_Shift_Roster!AV$2,Morning_Shift!$B$2:$BJ$2,0),0),"")="",IFERROR(VLOOKUP($B26,Evening_Shift!$B$4:$BJ$62,MATCH(Both_Shift_Roster!AV$2,Evening_Shift!$B$2:$BJ$2,0),0),""),IFERROR(VLOOKUP($B26,Morning_Shift!$B$4:$BJ$61,MATCH(Both_Shift_Roster!AV$2,Morning_Shift!$B$2:$BJ$2,0),0),""))</f>
        <v>7:00-14:30</v>
      </c>
      <c r="AW26" s="2" t="str">
        <f>IF(IFERROR(VLOOKUP($B26,Morning_Shift!$B$4:$BJ$61,MATCH(Both_Shift_Roster!AW$2,Morning_Shift!$B$2:$BJ$2,0),0),"")="",IFERROR(VLOOKUP($B26,Evening_Shift!$B$4:$BJ$62,MATCH(Both_Shift_Roster!AW$2,Evening_Shift!$B$2:$BJ$2,0),0),""),IFERROR(VLOOKUP($B26,Morning_Shift!$B$4:$BJ$61,MATCH(Both_Shift_Roster!AW$2,Morning_Shift!$B$2:$BJ$2,0),0),""))</f>
        <v>7:00-14:30</v>
      </c>
      <c r="AX26" s="2">
        <f t="shared" si="30"/>
        <v>0</v>
      </c>
      <c r="AY26" s="2">
        <f t="shared" si="31"/>
        <v>0</v>
      </c>
      <c r="AZ26" s="2">
        <f t="shared" si="32"/>
        <v>0</v>
      </c>
      <c r="BA26" s="2">
        <f t="shared" si="33"/>
        <v>0</v>
      </c>
      <c r="BB26" s="2">
        <f t="shared" si="34"/>
        <v>0</v>
      </c>
      <c r="BC26" s="2" t="str">
        <f>IF(IFERROR(VLOOKUP($B26,Morning_Shift!$B$4:$BJ$61,MATCH(Both_Shift_Roster!BC$2,Morning_Shift!$B$2:$BJ$2,0),0),"")="",IFERROR(VLOOKUP($B26,Evening_Shift!$B$4:$BJ$62,MATCH(Both_Shift_Roster!BC$2,Evening_Shift!$B$2:$BJ$2,0),0),""),IFERROR(VLOOKUP($B26,Morning_Shift!$B$4:$BJ$61,MATCH(Both_Shift_Roster!BC$2,Morning_Shift!$B$2:$BJ$2,0),0),""))</f>
        <v>7:00-14:30</v>
      </c>
      <c r="BD26" s="2" t="str">
        <f>IF(IFERROR(VLOOKUP($B26,Morning_Shift!$B$4:$BJ$61,MATCH(Both_Shift_Roster!BD$2,Morning_Shift!$B$2:$BJ$2,0),0),"")="",IFERROR(VLOOKUP($B26,Evening_Shift!$B$4:$BJ$62,MATCH(Both_Shift_Roster!BD$2,Evening_Shift!$B$2:$BJ$2,0),0),""),IFERROR(VLOOKUP($B26,Morning_Shift!$B$4:$BJ$61,MATCH(Both_Shift_Roster!BD$2,Morning_Shift!$B$2:$BJ$2,0),0),""))</f>
        <v>7:00-14:30</v>
      </c>
      <c r="BE26" s="2" t="str">
        <f>IF(IFERROR(VLOOKUP($B26,Morning_Shift!$B$4:$BJ$61,MATCH(Both_Shift_Roster!BE$2,Morning_Shift!$B$2:$BJ$2,0),0),"")="",IFERROR(VLOOKUP($B26,Evening_Shift!$B$4:$BJ$59,MATCH(Both_Shift_Roster!BE$2,Evening_Shift!$B$2:$BJ$2,0),0),""),IFERROR(VLOOKUP($B26,Morning_Shift!$B$4:$BJ$61,MATCH(Both_Shift_Roster!BE$2,Morning_Shift!$B$2:$BJ$2,0),0),""))</f>
        <v>7:00-14:30</v>
      </c>
      <c r="BF26" s="2">
        <f t="shared" si="35"/>
        <v>0</v>
      </c>
      <c r="BG26" s="2">
        <f t="shared" si="36"/>
        <v>0</v>
      </c>
      <c r="BH26" s="2">
        <f t="shared" si="37"/>
        <v>0</v>
      </c>
      <c r="BI26" s="2">
        <f t="shared" si="38"/>
        <v>0</v>
      </c>
      <c r="BJ26" s="2">
        <f t="shared" si="39"/>
        <v>0</v>
      </c>
    </row>
    <row r="27" spans="1:62">
      <c r="A27" s="17">
        <f t="shared" si="40"/>
        <v>24</v>
      </c>
      <c r="B27" s="16" t="str">
        <f>Morning_Shift!$B27</f>
        <v>Dritm03</v>
      </c>
      <c r="C27" s="21" t="str">
        <f>IF(IFERROR(VLOOKUP(B27,Morning_Shift!B:C,2,0),"")="",IFERROR(VLOOKUP(B27,Evening_Shift!B:C,2,0),""),IFERROR(VLOOKUP(B27,Morning_Shift!B:C,2,0),""))</f>
        <v>Meena Kumari</v>
      </c>
      <c r="D27" s="15" t="str">
        <f>IF(IFERROR(VLOOKUP(B27,Morning_Shift!B:D,3,0),"")="",IFERROR(VLOOKUP(B27,Evening_Shift!B:D,3,0),""),IFERROR(VLOOKUP(B27,Morning_Shift!B:D,3,0),""))</f>
        <v>Naina</v>
      </c>
      <c r="E27" s="4" t="str">
        <f>IF(IFERROR(VLOOKUP(B27,Morning_Shift!B:E,4,0),"")="",IFERROR(VLOOKUP(B27,Evening_Shift!B:E,4,0),""),IFERROR(VLOOKUP(B27,Morning_Shift!B:E,4,0),""))</f>
        <v>F</v>
      </c>
      <c r="F27" s="5" t="str">
        <f>IF(IFERROR(VLOOKUP(B27,Morning_Shift!B:F,5,0),"")="",IFERROR(VLOOKUP(B27,Evening_Shift!B:F,5,0),""),IFERROR(VLOOKUP(B27,Morning_Shift!B:F,5,0),""))</f>
        <v>Himseva manual preview</v>
      </c>
      <c r="G27" s="2" t="str">
        <f>IF(IFERROR(VLOOKUP($B27,Morning_Shift!$B$4:$BJ$61,MATCH(Both_Shift_Roster!G$2,Morning_Shift!$B$2:$BJ$2,0),0),"")="",IFERROR(VLOOKUP($B27,Evening_Shift!$B$4:$BJ$62,MATCH(Both_Shift_Roster!G$2,Evening_Shift!$B$2:$BJ$2,0),0),""),IFERROR(VLOOKUP($B27,Morning_Shift!$B$4:$BJ$61,MATCH(Both_Shift_Roster!G$2,Morning_Shift!$B$2:$BJ$2,0),0),""))</f>
        <v>7:00-14:30</v>
      </c>
      <c r="H27" s="2" t="str">
        <f>IF(IFERROR(VLOOKUP($B27,Morning_Shift!$B$4:$BJ$61,MATCH(Both_Shift_Roster!H$2,Morning_Shift!$B$2:$BJ$2,0),0),"")="",IFERROR(VLOOKUP($B27,Evening_Shift!$B$4:$BJ$62,MATCH(Both_Shift_Roster!H$2,Evening_Shift!$B$2:$BJ$2,0),0),""),IFERROR(VLOOKUP($B27,Morning_Shift!$B$4:$BJ$61,MATCH(Both_Shift_Roster!H$2,Morning_Shift!$B$2:$BJ$2,0),0),""))</f>
        <v>7:00-14:30</v>
      </c>
      <c r="I27" s="2" t="str">
        <f>IF(IFERROR(VLOOKUP($B27,Morning_Shift!$B$4:$BJ$61,MATCH(Both_Shift_Roster!I$2,Morning_Shift!$B$2:$BJ$2,0),0),"")="",IFERROR(VLOOKUP($B27,Evening_Shift!$B$4:$BJ$62,MATCH(Both_Shift_Roster!I$2,Evening_Shift!$B$2:$BJ$2,0),0),""),IFERROR(VLOOKUP($B27,Morning_Shift!$B$4:$BJ$61,MATCH(Both_Shift_Roster!I$2,Morning_Shift!$B$2:$BJ$2,0),0),""))</f>
        <v>7:00-14:30</v>
      </c>
      <c r="J27" s="2" t="str">
        <f>IF(IFERROR(VLOOKUP($B27,Morning_Shift!$B$4:$BJ$61,MATCH(Both_Shift_Roster!J$2,Morning_Shift!$B$2:$BJ$2,0),0),"")="",IFERROR(VLOOKUP($B27,Evening_Shift!$B$4:$BJ$62,MATCH(Both_Shift_Roster!J$2,Evening_Shift!$B$2:$BJ$2,0),0),""),IFERROR(VLOOKUP($B27,Morning_Shift!$B$4:$BJ$61,MATCH(Both_Shift_Roster!J$2,Morning_Shift!$B$2:$BJ$2,0),0),""))</f>
        <v>7:00-14:30</v>
      </c>
      <c r="K27" s="2" t="str">
        <f>IF(IFERROR(VLOOKUP($B27,Morning_Shift!$B$4:$BJ$61,MATCH(Both_Shift_Roster!K$2,Morning_Shift!$B$2:$BJ$2,0),0),"")="",IFERROR(VLOOKUP($B27,Evening_Shift!$B$4:$BJ$62,MATCH(Both_Shift_Roster!K$2,Evening_Shift!$B$2:$BJ$2,0),0),""),IFERROR(VLOOKUP($B27,Morning_Shift!$B$4:$BJ$61,MATCH(Both_Shift_Roster!K$2,Morning_Shift!$B$2:$BJ$2,0),0),""))</f>
        <v>7:00-14:30</v>
      </c>
      <c r="L27" s="2" t="str">
        <f>IF(IFERROR(VLOOKUP($B27,Morning_Shift!$B$4:$BJ$61,MATCH(Both_Shift_Roster!L$2,Morning_Shift!$B$2:$BJ$2,0),0),"")="",IFERROR(VLOOKUP($B27,Evening_Shift!$B$4:$BJ$62,MATCH(Both_Shift_Roster!L$2,Evening_Shift!$B$2:$BJ$2,0),0),""),IFERROR(VLOOKUP($B27,Morning_Shift!$B$4:$BJ$61,MATCH(Both_Shift_Roster!L$2,Morning_Shift!$B$2:$BJ$2,0),0),""))</f>
        <v>7:00-14:30</v>
      </c>
      <c r="M27" s="2" t="str">
        <f>IF(IFERROR(VLOOKUP($B27,Morning_Shift!$B$4:$BJ$61,MATCH(Both_Shift_Roster!M$2,Morning_Shift!$B$2:$BJ$2,0),0),"")="",IFERROR(VLOOKUP($B27,Evening_Shift!$B$4:$BJ$62,MATCH(Both_Shift_Roster!M$2,Evening_Shift!$B$2:$BJ$2,0),0),""),IFERROR(VLOOKUP($B27,Morning_Shift!$B$4:$BJ$61,MATCH(Both_Shift_Roster!M$2,Morning_Shift!$B$2:$BJ$2,0),0),""))</f>
        <v>7:00-14:30</v>
      </c>
      <c r="N27" s="2">
        <f t="shared" si="15"/>
        <v>0</v>
      </c>
      <c r="O27" s="2">
        <f t="shared" si="16"/>
        <v>0</v>
      </c>
      <c r="P27" s="2">
        <f t="shared" si="17"/>
        <v>0</v>
      </c>
      <c r="Q27" s="2">
        <f t="shared" si="18"/>
        <v>0</v>
      </c>
      <c r="R27" s="2">
        <f t="shared" si="19"/>
        <v>0</v>
      </c>
      <c r="S27" s="2" t="str">
        <f>IF(IFERROR(VLOOKUP($B27,Morning_Shift!$B$4:$BJ$61,MATCH(Both_Shift_Roster!S$2,Morning_Shift!$B$2:$BJ$2,0),0),"")="",IFERROR(VLOOKUP($B27,Evening_Shift!$B$4:$BJ$62,MATCH(Both_Shift_Roster!S$2,Evening_Shift!$B$2:$BJ$2,0),0),""),IFERROR(VLOOKUP($B27,Morning_Shift!$B$4:$BJ$61,MATCH(Both_Shift_Roster!S$2,Morning_Shift!$B$2:$BJ$2,0),0),""))</f>
        <v>7:00-14:30</v>
      </c>
      <c r="T27" s="2" t="str">
        <f>IF(IFERROR(VLOOKUP($B27,Morning_Shift!$B$4:$BJ$61,MATCH(Both_Shift_Roster!T$2,Morning_Shift!$B$2:$BJ$2,0),0),"")="",IFERROR(VLOOKUP($B27,Evening_Shift!$B$4:$BJ$62,MATCH(Both_Shift_Roster!T$2,Evening_Shift!$B$2:$BJ$2,0),0),""),IFERROR(VLOOKUP($B27,Morning_Shift!$B$4:$BJ$61,MATCH(Both_Shift_Roster!T$2,Morning_Shift!$B$2:$BJ$2,0),0),""))</f>
        <v>7:00-14:30</v>
      </c>
      <c r="U27" s="2" t="str">
        <f>IF(IFERROR(VLOOKUP($B27,Morning_Shift!$B$4:$BJ$61,MATCH(Both_Shift_Roster!U$2,Morning_Shift!$B$2:$BJ$2,0),0),"")="",IFERROR(VLOOKUP($B27,Evening_Shift!$B$4:$BJ$62,MATCH(Both_Shift_Roster!U$2,Evening_Shift!$B$2:$BJ$2,0),0),""),IFERROR(VLOOKUP($B27,Morning_Shift!$B$4:$BJ$61,MATCH(Both_Shift_Roster!U$2,Morning_Shift!$B$2:$BJ$2,0),0),""))</f>
        <v>7:00-14:30</v>
      </c>
      <c r="V27" s="2" t="str">
        <f>IF(IFERROR(VLOOKUP($B27,Morning_Shift!$B$4:$BJ$61,MATCH(Both_Shift_Roster!V$2,Morning_Shift!$B$2:$BJ$2,0),0),"")="",IFERROR(VLOOKUP($B27,Evening_Shift!$B$4:$BJ$62,MATCH(Both_Shift_Roster!V$2,Evening_Shift!$B$2:$BJ$2,0),0),""),IFERROR(VLOOKUP($B27,Morning_Shift!$B$4:$BJ$61,MATCH(Both_Shift_Roster!V$2,Morning_Shift!$B$2:$BJ$2,0),0),""))</f>
        <v>7:00-14:30</v>
      </c>
      <c r="W27" s="2" t="str">
        <f>IF(IFERROR(VLOOKUP($B27,Morning_Shift!$B$4:$BJ$61,MATCH(Both_Shift_Roster!W$2,Morning_Shift!$B$2:$BJ$2,0),0),"")="",IFERROR(VLOOKUP($B27,Evening_Shift!$B$4:$BJ$62,MATCH(Both_Shift_Roster!W$2,Evening_Shift!$B$2:$BJ$2,0),0),""),IFERROR(VLOOKUP($B27,Morning_Shift!$B$4:$BJ$61,MATCH(Both_Shift_Roster!W$2,Morning_Shift!$B$2:$BJ$2,0),0),""))</f>
        <v>7:00-14:30</v>
      </c>
      <c r="X27" s="2" t="str">
        <f>IF(IFERROR(VLOOKUP($B27,Morning_Shift!$B$4:$BJ$61,MATCH(Both_Shift_Roster!X$2,Morning_Shift!$B$2:$BJ$2,0),0),"")="",IFERROR(VLOOKUP($B27,Evening_Shift!$B$4:$BJ$62,MATCH(Both_Shift_Roster!X$2,Evening_Shift!$B$2:$BJ$2,0),0),""),IFERROR(VLOOKUP($B27,Morning_Shift!$B$4:$BJ$61,MATCH(Both_Shift_Roster!X$2,Morning_Shift!$B$2:$BJ$2,0),0),""))</f>
        <v>7:00-14:30</v>
      </c>
      <c r="Y27" s="2" t="str">
        <f>IF(IFERROR(VLOOKUP($B27,Morning_Shift!$B$4:$BJ$61,MATCH(Both_Shift_Roster!Y$2,Morning_Shift!$B$2:$BJ$2,0),0),"")="",IFERROR(VLOOKUP($B27,Evening_Shift!$B$4:$BJ$62,MATCH(Both_Shift_Roster!Y$2,Evening_Shift!$B$2:$BJ$2,0),0),""),IFERROR(VLOOKUP($B27,Morning_Shift!$B$4:$BJ$61,MATCH(Both_Shift_Roster!Y$2,Morning_Shift!$B$2:$BJ$2,0),0),""))</f>
        <v>7:00-14:30</v>
      </c>
      <c r="Z27" s="2">
        <f t="shared" si="20"/>
        <v>0</v>
      </c>
      <c r="AA27" s="2">
        <f t="shared" si="21"/>
        <v>0</v>
      </c>
      <c r="AB27" s="2">
        <f t="shared" si="22"/>
        <v>0</v>
      </c>
      <c r="AC27" s="2">
        <f t="shared" si="23"/>
        <v>0</v>
      </c>
      <c r="AD27" s="2">
        <f t="shared" si="24"/>
        <v>0</v>
      </c>
      <c r="AE27" s="2" t="str">
        <f>IF(IFERROR(VLOOKUP($B27,Morning_Shift!$B$4:$BJ$61,MATCH(Both_Shift_Roster!AE$2,Morning_Shift!$B$2:$BJ$2,0),0),"")="",IFERROR(VLOOKUP($B27,Evening_Shift!$B$4:$BJ$62,MATCH(Both_Shift_Roster!AE$2,Evening_Shift!$B$2:$BJ$2,0),0),""),IFERROR(VLOOKUP($B27,Morning_Shift!$B$4:$BJ$61,MATCH(Both_Shift_Roster!AE$2,Morning_Shift!$B$2:$BJ$2,0),0),""))</f>
        <v>7:00-14:30</v>
      </c>
      <c r="AF27" s="2" t="str">
        <f>IF(IFERROR(VLOOKUP($B27,Morning_Shift!$B$4:$BJ$61,MATCH(Both_Shift_Roster!AF$2,Morning_Shift!$B$2:$BJ$2,0),0),"")="",IFERROR(VLOOKUP($B27,Evening_Shift!$B$4:$BJ$62,MATCH(Both_Shift_Roster!AF$2,Evening_Shift!$B$2:$BJ$2,0),0),""),IFERROR(VLOOKUP($B27,Morning_Shift!$B$4:$BJ$61,MATCH(Both_Shift_Roster!AF$2,Morning_Shift!$B$2:$BJ$2,0),0),""))</f>
        <v>TL Choice WO</v>
      </c>
      <c r="AG27" s="2" t="str">
        <f>IF(IFERROR(VLOOKUP($B27,Morning_Shift!$B$4:$BJ$61,MATCH(Both_Shift_Roster!AG$2,Morning_Shift!$B$2:$BJ$2,0),0),"")="",IFERROR(VLOOKUP($B27,Evening_Shift!$B$4:$BJ$62,MATCH(Both_Shift_Roster!AG$2,Evening_Shift!$B$2:$BJ$2,0),0),""),IFERROR(VLOOKUP($B27,Morning_Shift!$B$4:$BJ$61,MATCH(Both_Shift_Roster!AG$2,Morning_Shift!$B$2:$BJ$2,0),0),""))</f>
        <v>7:00-14:30</v>
      </c>
      <c r="AH27" s="2" t="str">
        <f>IF(IFERROR(VLOOKUP($B27,Morning_Shift!$B$4:$BJ$61,MATCH(Both_Shift_Roster!AH$2,Morning_Shift!$B$2:$BJ$2,0),0),"")="",IFERROR(VLOOKUP($B27,Evening_Shift!$B$4:$BJ$62,MATCH(Both_Shift_Roster!AH$2,Evening_Shift!$B$2:$BJ$2,0),0),""),IFERROR(VLOOKUP($B27,Morning_Shift!$B$4:$BJ$61,MATCH(Both_Shift_Roster!AH$2,Morning_Shift!$B$2:$BJ$2,0),0),""))</f>
        <v>7:00-14:30</v>
      </c>
      <c r="AI27" s="2" t="str">
        <f>IF(IFERROR(VLOOKUP($B27,Morning_Shift!$B$4:$BJ$61,MATCH(Both_Shift_Roster!AI$2,Morning_Shift!$B$2:$BJ$2,0),0),"")="",IFERROR(VLOOKUP($B27,Evening_Shift!$B$4:$BJ$62,MATCH(Both_Shift_Roster!AI$2,Evening_Shift!$B$2:$BJ$2,0),0),""),IFERROR(VLOOKUP($B27,Morning_Shift!$B$4:$BJ$61,MATCH(Both_Shift_Roster!AI$2,Morning_Shift!$B$2:$BJ$2,0),0),""))</f>
        <v>7:00-14:30</v>
      </c>
      <c r="AJ27" s="2" t="str">
        <f>IF(IFERROR(VLOOKUP($B27,Morning_Shift!$B$4:$BJ$61,MATCH(Both_Shift_Roster!AJ$2,Morning_Shift!$B$2:$BJ$2,0),0),"")="",IFERROR(VLOOKUP($B27,Evening_Shift!$B$4:$BJ$62,MATCH(Both_Shift_Roster!AJ$2,Evening_Shift!$B$2:$BJ$2,0),0),""),IFERROR(VLOOKUP($B27,Morning_Shift!$B$4:$BJ$61,MATCH(Both_Shift_Roster!AJ$2,Morning_Shift!$B$2:$BJ$2,0),0),""))</f>
        <v>7:00-14:30</v>
      </c>
      <c r="AK27" s="2" t="str">
        <f>IF(IFERROR(VLOOKUP($B27,Morning_Shift!$B$4:$BJ$61,MATCH(Both_Shift_Roster!AK$2,Morning_Shift!$B$2:$BJ$2,0),0),"")="",IFERROR(VLOOKUP($B27,Evening_Shift!$B$4:$BJ$62,MATCH(Both_Shift_Roster!AK$2,Evening_Shift!$B$2:$BJ$2,0),0),""),IFERROR(VLOOKUP($B27,Morning_Shift!$B$4:$BJ$61,MATCH(Both_Shift_Roster!AK$2,Morning_Shift!$B$2:$BJ$2,0),0),""))</f>
        <v>Agent Choice WO</v>
      </c>
      <c r="AL27" s="2">
        <f t="shared" si="25"/>
        <v>1</v>
      </c>
      <c r="AM27" s="2">
        <f t="shared" si="26"/>
        <v>1</v>
      </c>
      <c r="AN27" s="2">
        <f t="shared" si="27"/>
        <v>0</v>
      </c>
      <c r="AO27" s="2">
        <f t="shared" si="28"/>
        <v>0</v>
      </c>
      <c r="AP27" s="2">
        <f t="shared" si="29"/>
        <v>0</v>
      </c>
      <c r="AQ27" s="2" t="str">
        <f>IF(IFERROR(VLOOKUP($B27,Morning_Shift!$B$4:$BJ$61,MATCH(Both_Shift_Roster!AQ$2,Morning_Shift!$B$2:$BJ$2,0),0),"")="",IFERROR(VLOOKUP($B27,Evening_Shift!$B$4:$BJ$62,MATCH(Both_Shift_Roster!AQ$2,Evening_Shift!$B$2:$BJ$2,0),0),""),IFERROR(VLOOKUP($B27,Morning_Shift!$B$4:$BJ$61,MATCH(Both_Shift_Roster!AQ$2,Morning_Shift!$B$2:$BJ$2,0),0),""))</f>
        <v>7:00-14:30</v>
      </c>
      <c r="AR27" s="2" t="str">
        <f>IF(IFERROR(VLOOKUP($B27,Morning_Shift!$B$4:$BJ$61,MATCH(Both_Shift_Roster!AR$2,Morning_Shift!$B$2:$BJ$2,0),0),"")="",IFERROR(VLOOKUP($B27,Evening_Shift!$B$4:$BJ$62,MATCH(Both_Shift_Roster!AR$2,Evening_Shift!$B$2:$BJ$2,0),0),""),IFERROR(VLOOKUP($B27,Morning_Shift!$B$4:$BJ$61,MATCH(Both_Shift_Roster!AR$2,Morning_Shift!$B$2:$BJ$2,0),0),""))</f>
        <v>7:00-14:30</v>
      </c>
      <c r="AS27" s="2" t="str">
        <f>IF(IFERROR(VLOOKUP($B27,Morning_Shift!$B$4:$BJ$61,MATCH(Both_Shift_Roster!AS$2,Morning_Shift!$B$2:$BJ$2,0),0),"")="",IFERROR(VLOOKUP($B27,Evening_Shift!$B$4:$BJ$62,MATCH(Both_Shift_Roster!AS$2,Evening_Shift!$B$2:$BJ$2,0),0),""),IFERROR(VLOOKUP($B27,Morning_Shift!$B$4:$BJ$61,MATCH(Both_Shift_Roster!AS$2,Morning_Shift!$B$2:$BJ$2,0),0),""))</f>
        <v>Agent Choice WO</v>
      </c>
      <c r="AT27" s="2" t="str">
        <f>IF(IFERROR(VLOOKUP($B27,Morning_Shift!$B$4:$BJ$61,MATCH(Both_Shift_Roster!AT$2,Morning_Shift!$B$2:$BJ$2,0),0),"")="",IFERROR(VLOOKUP($B27,Evening_Shift!$B$4:$BJ$62,MATCH(Both_Shift_Roster!AT$2,Evening_Shift!$B$2:$BJ$2,0),0),""),IFERROR(VLOOKUP($B27,Morning_Shift!$B$4:$BJ$61,MATCH(Both_Shift_Roster!AT$2,Morning_Shift!$B$2:$BJ$2,0),0),""))</f>
        <v>Agent Choice WO</v>
      </c>
      <c r="AU27" s="2" t="str">
        <f>IF(IFERROR(VLOOKUP($B27,Morning_Shift!$B$4:$BJ$61,MATCH(Both_Shift_Roster!AU$2,Morning_Shift!$B$2:$BJ$2,0),0),"")="",IFERROR(VLOOKUP($B27,Evening_Shift!$B$4:$BJ$62,MATCH(Both_Shift_Roster!AU$2,Evening_Shift!$B$2:$BJ$2,0),0),""),IFERROR(VLOOKUP($B27,Morning_Shift!$B$4:$BJ$61,MATCH(Both_Shift_Roster!AU$2,Morning_Shift!$B$2:$BJ$2,0),0),""))</f>
        <v>7:00-14:30</v>
      </c>
      <c r="AV27" s="2" t="str">
        <f>IF(IFERROR(VLOOKUP($B27,Morning_Shift!$B$4:$BJ$61,MATCH(Both_Shift_Roster!AV$2,Morning_Shift!$B$2:$BJ$2,0),0),"")="",IFERROR(VLOOKUP($B27,Evening_Shift!$B$4:$BJ$62,MATCH(Both_Shift_Roster!AV$2,Evening_Shift!$B$2:$BJ$2,0),0),""),IFERROR(VLOOKUP($B27,Morning_Shift!$B$4:$BJ$61,MATCH(Both_Shift_Roster!AV$2,Morning_Shift!$B$2:$BJ$2,0),0),""))</f>
        <v>7:00-14:30</v>
      </c>
      <c r="AW27" s="2" t="str">
        <f>IF(IFERROR(VLOOKUP($B27,Morning_Shift!$B$4:$BJ$61,MATCH(Both_Shift_Roster!AW$2,Morning_Shift!$B$2:$BJ$2,0),0),"")="",IFERROR(VLOOKUP($B27,Evening_Shift!$B$4:$BJ$62,MATCH(Both_Shift_Roster!AW$2,Evening_Shift!$B$2:$BJ$2,0),0),""),IFERROR(VLOOKUP($B27,Morning_Shift!$B$4:$BJ$61,MATCH(Both_Shift_Roster!AW$2,Morning_Shift!$B$2:$BJ$2,0),0),""))</f>
        <v>7:00-14:30</v>
      </c>
      <c r="AX27" s="2">
        <f t="shared" si="30"/>
        <v>2</v>
      </c>
      <c r="AY27" s="2">
        <f t="shared" si="31"/>
        <v>0</v>
      </c>
      <c r="AZ27" s="2">
        <f t="shared" si="32"/>
        <v>0</v>
      </c>
      <c r="BA27" s="2">
        <f t="shared" si="33"/>
        <v>0</v>
      </c>
      <c r="BB27" s="2">
        <f t="shared" si="34"/>
        <v>0</v>
      </c>
      <c r="BC27" s="2" t="str">
        <f>IF(IFERROR(VLOOKUP($B27,Morning_Shift!$B$4:$BJ$61,MATCH(Both_Shift_Roster!BC$2,Morning_Shift!$B$2:$BJ$2,0),0),"")="",IFERROR(VLOOKUP($B27,Evening_Shift!$B$4:$BJ$62,MATCH(Both_Shift_Roster!BC$2,Evening_Shift!$B$2:$BJ$2,0),0),""),IFERROR(VLOOKUP($B27,Morning_Shift!$B$4:$BJ$61,MATCH(Both_Shift_Roster!BC$2,Morning_Shift!$B$2:$BJ$2,0),0),""))</f>
        <v>7:00-14:30</v>
      </c>
      <c r="BD27" s="2" t="str">
        <f>IF(IFERROR(VLOOKUP($B27,Morning_Shift!$B$4:$BJ$61,MATCH(Both_Shift_Roster!BD$2,Morning_Shift!$B$2:$BJ$2,0),0),"")="",IFERROR(VLOOKUP($B27,Evening_Shift!$B$4:$BJ$62,MATCH(Both_Shift_Roster!BD$2,Evening_Shift!$B$2:$BJ$2,0),0),""),IFERROR(VLOOKUP($B27,Morning_Shift!$B$4:$BJ$61,MATCH(Both_Shift_Roster!BD$2,Morning_Shift!$B$2:$BJ$2,0),0),""))</f>
        <v>Agent Choice WO</v>
      </c>
      <c r="BE27" s="2" t="str">
        <f>IF(IFERROR(VLOOKUP($B27,Morning_Shift!$B$4:$BJ$61,MATCH(Both_Shift_Roster!BE$2,Morning_Shift!$B$2:$BJ$2,0),0),"")="",IFERROR(VLOOKUP($B27,Evening_Shift!$B$4:$BJ$59,MATCH(Both_Shift_Roster!BE$2,Evening_Shift!$B$2:$BJ$2,0),0),""),IFERROR(VLOOKUP($B27,Morning_Shift!$B$4:$BJ$61,MATCH(Both_Shift_Roster!BE$2,Morning_Shift!$B$2:$BJ$2,0),0),""))</f>
        <v>7:00-14:30</v>
      </c>
      <c r="BF27" s="2">
        <f t="shared" si="35"/>
        <v>1</v>
      </c>
      <c r="BG27" s="2">
        <f t="shared" si="36"/>
        <v>0</v>
      </c>
      <c r="BH27" s="2">
        <f t="shared" si="37"/>
        <v>0</v>
      </c>
      <c r="BI27" s="2">
        <f t="shared" si="38"/>
        <v>0</v>
      </c>
      <c r="BJ27" s="2">
        <f t="shared" si="39"/>
        <v>0</v>
      </c>
    </row>
    <row r="28" spans="1:62">
      <c r="A28" s="17">
        <f t="shared" si="40"/>
        <v>25</v>
      </c>
      <c r="B28" s="16" t="str">
        <f>Morning_Shift!$B28</f>
        <v>Dritm13</v>
      </c>
      <c r="C28" s="21" t="str">
        <f>IF(IFERROR(VLOOKUP(B28,Morning_Shift!B:C,2,0),"")="",IFERROR(VLOOKUP(B28,Evening_Shift!B:C,2,0),""),IFERROR(VLOOKUP(B28,Morning_Shift!B:C,2,0),""))</f>
        <v>Monika Chandrayan</v>
      </c>
      <c r="D28" s="15" t="str">
        <f>IF(IFERROR(VLOOKUP(B28,Morning_Shift!B:D,3,0),"")="",IFERROR(VLOOKUP(B28,Evening_Shift!B:D,3,0),""),IFERROR(VLOOKUP(B28,Morning_Shift!B:D,3,0),""))</f>
        <v>Naina</v>
      </c>
      <c r="E28" s="4" t="str">
        <f>IF(IFERROR(VLOOKUP(B28,Morning_Shift!B:E,4,0),"")="",IFERROR(VLOOKUP(B28,Evening_Shift!B:E,4,0),""),IFERROR(VLOOKUP(B28,Morning_Shift!B:E,4,0),""))</f>
        <v>F</v>
      </c>
      <c r="F28" s="5" t="str">
        <f>IF(IFERROR(VLOOKUP(B28,Morning_Shift!B:F,5,0),"")="",IFERROR(VLOOKUP(B28,Evening_Shift!B:F,5,0),""),IFERROR(VLOOKUP(B28,Morning_Shift!B:F,5,0),""))</f>
        <v>Himseva manual preview</v>
      </c>
      <c r="G28" s="2" t="str">
        <f>IF(IFERROR(VLOOKUP($B28,Morning_Shift!$B$4:$BJ$61,MATCH(Both_Shift_Roster!G$2,Morning_Shift!$B$2:$BJ$2,0),0),"")="",IFERROR(VLOOKUP($B28,Evening_Shift!$B$4:$BJ$62,MATCH(Both_Shift_Roster!G$2,Evening_Shift!$B$2:$BJ$2,0),0),""),IFERROR(VLOOKUP($B28,Morning_Shift!$B$4:$BJ$61,MATCH(Both_Shift_Roster!G$2,Morning_Shift!$B$2:$BJ$2,0),0),""))</f>
        <v>7:00-14:30</v>
      </c>
      <c r="H28" s="2" t="str">
        <f>IF(IFERROR(VLOOKUP($B28,Morning_Shift!$B$4:$BJ$61,MATCH(Both_Shift_Roster!H$2,Morning_Shift!$B$2:$BJ$2,0),0),"")="",IFERROR(VLOOKUP($B28,Evening_Shift!$B$4:$BJ$62,MATCH(Both_Shift_Roster!H$2,Evening_Shift!$B$2:$BJ$2,0),0),""),IFERROR(VLOOKUP($B28,Morning_Shift!$B$4:$BJ$61,MATCH(Both_Shift_Roster!H$2,Morning_Shift!$B$2:$BJ$2,0),0),""))</f>
        <v>7:00-14:30</v>
      </c>
      <c r="I28" s="2" t="str">
        <f>IF(IFERROR(VLOOKUP($B28,Morning_Shift!$B$4:$BJ$61,MATCH(Both_Shift_Roster!I$2,Morning_Shift!$B$2:$BJ$2,0),0),"")="",IFERROR(VLOOKUP($B28,Evening_Shift!$B$4:$BJ$62,MATCH(Both_Shift_Roster!I$2,Evening_Shift!$B$2:$BJ$2,0),0),""),IFERROR(VLOOKUP($B28,Morning_Shift!$B$4:$BJ$61,MATCH(Both_Shift_Roster!I$2,Morning_Shift!$B$2:$BJ$2,0),0),""))</f>
        <v>7:00-14:30</v>
      </c>
      <c r="J28" s="2" t="str">
        <f>IF(IFERROR(VLOOKUP($B28,Morning_Shift!$B$4:$BJ$61,MATCH(Both_Shift_Roster!J$2,Morning_Shift!$B$2:$BJ$2,0),0),"")="",IFERROR(VLOOKUP($B28,Evening_Shift!$B$4:$BJ$62,MATCH(Both_Shift_Roster!J$2,Evening_Shift!$B$2:$BJ$2,0),0),""),IFERROR(VLOOKUP($B28,Morning_Shift!$B$4:$BJ$61,MATCH(Both_Shift_Roster!J$2,Morning_Shift!$B$2:$BJ$2,0),0),""))</f>
        <v>7:00-14:30</v>
      </c>
      <c r="K28" s="2" t="str">
        <f>IF(IFERROR(VLOOKUP($B28,Morning_Shift!$B$4:$BJ$61,MATCH(Both_Shift_Roster!K$2,Morning_Shift!$B$2:$BJ$2,0),0),"")="",IFERROR(VLOOKUP($B28,Evening_Shift!$B$4:$BJ$62,MATCH(Both_Shift_Roster!K$2,Evening_Shift!$B$2:$BJ$2,0),0),""),IFERROR(VLOOKUP($B28,Morning_Shift!$B$4:$BJ$61,MATCH(Both_Shift_Roster!K$2,Morning_Shift!$B$2:$BJ$2,0),0),""))</f>
        <v>7:00-14:30</v>
      </c>
      <c r="L28" s="2" t="str">
        <f>IF(IFERROR(VLOOKUP($B28,Morning_Shift!$B$4:$BJ$61,MATCH(Both_Shift_Roster!L$2,Morning_Shift!$B$2:$BJ$2,0),0),"")="",IFERROR(VLOOKUP($B28,Evening_Shift!$B$4:$BJ$62,MATCH(Both_Shift_Roster!L$2,Evening_Shift!$B$2:$BJ$2,0),0),""),IFERROR(VLOOKUP($B28,Morning_Shift!$B$4:$BJ$61,MATCH(Both_Shift_Roster!L$2,Morning_Shift!$B$2:$BJ$2,0),0),""))</f>
        <v>7:00-14:30</v>
      </c>
      <c r="M28" s="2" t="str">
        <f>IF(IFERROR(VLOOKUP($B28,Morning_Shift!$B$4:$BJ$61,MATCH(Both_Shift_Roster!M$2,Morning_Shift!$B$2:$BJ$2,0),0),"")="",IFERROR(VLOOKUP($B28,Evening_Shift!$B$4:$BJ$62,MATCH(Both_Shift_Roster!M$2,Evening_Shift!$B$2:$BJ$2,0),0),""),IFERROR(VLOOKUP($B28,Morning_Shift!$B$4:$BJ$61,MATCH(Both_Shift_Roster!M$2,Morning_Shift!$B$2:$BJ$2,0),0),""))</f>
        <v>7:00-14:30</v>
      </c>
      <c r="N28" s="2">
        <f t="shared" si="15"/>
        <v>0</v>
      </c>
      <c r="O28" s="2">
        <f t="shared" si="16"/>
        <v>0</v>
      </c>
      <c r="P28" s="2">
        <f t="shared" si="17"/>
        <v>0</v>
      </c>
      <c r="Q28" s="2">
        <f t="shared" si="18"/>
        <v>0</v>
      </c>
      <c r="R28" s="2">
        <f t="shared" si="19"/>
        <v>0</v>
      </c>
      <c r="S28" s="2" t="str">
        <f>IF(IFERROR(VLOOKUP($B28,Morning_Shift!$B$4:$BJ$61,MATCH(Both_Shift_Roster!S$2,Morning_Shift!$B$2:$BJ$2,0),0),"")="",IFERROR(VLOOKUP($B28,Evening_Shift!$B$4:$BJ$62,MATCH(Both_Shift_Roster!S$2,Evening_Shift!$B$2:$BJ$2,0),0),""),IFERROR(VLOOKUP($B28,Morning_Shift!$B$4:$BJ$61,MATCH(Both_Shift_Roster!S$2,Morning_Shift!$B$2:$BJ$2,0),0),""))</f>
        <v>7:00-14:30</v>
      </c>
      <c r="T28" s="2" t="str">
        <f>IF(IFERROR(VLOOKUP($B28,Morning_Shift!$B$4:$BJ$61,MATCH(Both_Shift_Roster!T$2,Morning_Shift!$B$2:$BJ$2,0),0),"")="",IFERROR(VLOOKUP($B28,Evening_Shift!$B$4:$BJ$62,MATCH(Both_Shift_Roster!T$2,Evening_Shift!$B$2:$BJ$2,0),0),""),IFERROR(VLOOKUP($B28,Morning_Shift!$B$4:$BJ$61,MATCH(Both_Shift_Roster!T$2,Morning_Shift!$B$2:$BJ$2,0),0),""))</f>
        <v>7:00-14:30</v>
      </c>
      <c r="U28" s="2" t="str">
        <f>IF(IFERROR(VLOOKUP($B28,Morning_Shift!$B$4:$BJ$61,MATCH(Both_Shift_Roster!U$2,Morning_Shift!$B$2:$BJ$2,0),0),"")="",IFERROR(VLOOKUP($B28,Evening_Shift!$B$4:$BJ$62,MATCH(Both_Shift_Roster!U$2,Evening_Shift!$B$2:$BJ$2,0),0),""),IFERROR(VLOOKUP($B28,Morning_Shift!$B$4:$BJ$61,MATCH(Both_Shift_Roster!U$2,Morning_Shift!$B$2:$BJ$2,0),0),""))</f>
        <v>7:00-14:30</v>
      </c>
      <c r="V28" s="2" t="str">
        <f>IF(IFERROR(VLOOKUP($B28,Morning_Shift!$B$4:$BJ$61,MATCH(Both_Shift_Roster!V$2,Morning_Shift!$B$2:$BJ$2,0),0),"")="",IFERROR(VLOOKUP($B28,Evening_Shift!$B$4:$BJ$62,MATCH(Both_Shift_Roster!V$2,Evening_Shift!$B$2:$BJ$2,0),0),""),IFERROR(VLOOKUP($B28,Morning_Shift!$B$4:$BJ$61,MATCH(Both_Shift_Roster!V$2,Morning_Shift!$B$2:$BJ$2,0),0),""))</f>
        <v>Agent Choice WO</v>
      </c>
      <c r="W28" s="2" t="str">
        <f>IF(IFERROR(VLOOKUP($B28,Morning_Shift!$B$4:$BJ$61,MATCH(Both_Shift_Roster!W$2,Morning_Shift!$B$2:$BJ$2,0),0),"")="",IFERROR(VLOOKUP($B28,Evening_Shift!$B$4:$BJ$62,MATCH(Both_Shift_Roster!W$2,Evening_Shift!$B$2:$BJ$2,0),0),""),IFERROR(VLOOKUP($B28,Morning_Shift!$B$4:$BJ$61,MATCH(Both_Shift_Roster!W$2,Morning_Shift!$B$2:$BJ$2,0),0),""))</f>
        <v>Agent Choice WO</v>
      </c>
      <c r="X28" s="2" t="str">
        <f>IF(IFERROR(VLOOKUP($B28,Morning_Shift!$B$4:$BJ$61,MATCH(Both_Shift_Roster!X$2,Morning_Shift!$B$2:$BJ$2,0),0),"")="",IFERROR(VLOOKUP($B28,Evening_Shift!$B$4:$BJ$62,MATCH(Both_Shift_Roster!X$2,Evening_Shift!$B$2:$BJ$2,0),0),""),IFERROR(VLOOKUP($B28,Morning_Shift!$B$4:$BJ$61,MATCH(Both_Shift_Roster!X$2,Morning_Shift!$B$2:$BJ$2,0),0),""))</f>
        <v>7:00-14:30</v>
      </c>
      <c r="Y28" s="2" t="str">
        <f>IF(IFERROR(VLOOKUP($B28,Morning_Shift!$B$4:$BJ$61,MATCH(Both_Shift_Roster!Y$2,Morning_Shift!$B$2:$BJ$2,0),0),"")="",IFERROR(VLOOKUP($B28,Evening_Shift!$B$4:$BJ$62,MATCH(Both_Shift_Roster!Y$2,Evening_Shift!$B$2:$BJ$2,0),0),""),IFERROR(VLOOKUP($B28,Morning_Shift!$B$4:$BJ$61,MATCH(Both_Shift_Roster!Y$2,Morning_Shift!$B$2:$BJ$2,0),0),""))</f>
        <v>7:00-14:30</v>
      </c>
      <c r="Z28" s="2">
        <f t="shared" si="20"/>
        <v>2</v>
      </c>
      <c r="AA28" s="2">
        <f t="shared" si="21"/>
        <v>0</v>
      </c>
      <c r="AB28" s="2">
        <f t="shared" si="22"/>
        <v>0</v>
      </c>
      <c r="AC28" s="2">
        <f t="shared" si="23"/>
        <v>0</v>
      </c>
      <c r="AD28" s="2">
        <f t="shared" si="24"/>
        <v>0</v>
      </c>
      <c r="AE28" s="2" t="str">
        <f>IF(IFERROR(VLOOKUP($B28,Morning_Shift!$B$4:$BJ$61,MATCH(Both_Shift_Roster!AE$2,Morning_Shift!$B$2:$BJ$2,0),0),"")="",IFERROR(VLOOKUP($B28,Evening_Shift!$B$4:$BJ$62,MATCH(Both_Shift_Roster!AE$2,Evening_Shift!$B$2:$BJ$2,0),0),""),IFERROR(VLOOKUP($B28,Morning_Shift!$B$4:$BJ$61,MATCH(Both_Shift_Roster!AE$2,Morning_Shift!$B$2:$BJ$2,0),0),""))</f>
        <v>7:00-14:30</v>
      </c>
      <c r="AF28" s="2" t="str">
        <f>IF(IFERROR(VLOOKUP($B28,Morning_Shift!$B$4:$BJ$61,MATCH(Both_Shift_Roster!AF$2,Morning_Shift!$B$2:$BJ$2,0),0),"")="",IFERROR(VLOOKUP($B28,Evening_Shift!$B$4:$BJ$62,MATCH(Both_Shift_Roster!AF$2,Evening_Shift!$B$2:$BJ$2,0),0),""),IFERROR(VLOOKUP($B28,Morning_Shift!$B$4:$BJ$61,MATCH(Both_Shift_Roster!AF$2,Morning_Shift!$B$2:$BJ$2,0),0),""))</f>
        <v>7:00-14:30</v>
      </c>
      <c r="AG28" s="2" t="str">
        <f>IF(IFERROR(VLOOKUP($B28,Morning_Shift!$B$4:$BJ$61,MATCH(Both_Shift_Roster!AG$2,Morning_Shift!$B$2:$BJ$2,0),0),"")="",IFERROR(VLOOKUP($B28,Evening_Shift!$B$4:$BJ$62,MATCH(Both_Shift_Roster!AG$2,Evening_Shift!$B$2:$BJ$2,0),0),""),IFERROR(VLOOKUP($B28,Morning_Shift!$B$4:$BJ$61,MATCH(Both_Shift_Roster!AG$2,Morning_Shift!$B$2:$BJ$2,0),0),""))</f>
        <v>7:00-14:30</v>
      </c>
      <c r="AH28" s="2" t="str">
        <f>IF(IFERROR(VLOOKUP($B28,Morning_Shift!$B$4:$BJ$61,MATCH(Both_Shift_Roster!AH$2,Morning_Shift!$B$2:$BJ$2,0),0),"")="",IFERROR(VLOOKUP($B28,Evening_Shift!$B$4:$BJ$62,MATCH(Both_Shift_Roster!AH$2,Evening_Shift!$B$2:$BJ$2,0),0),""),IFERROR(VLOOKUP($B28,Morning_Shift!$B$4:$BJ$61,MATCH(Both_Shift_Roster!AH$2,Morning_Shift!$B$2:$BJ$2,0),0),""))</f>
        <v>7:00-14:30</v>
      </c>
      <c r="AI28" s="2" t="str">
        <f>IF(IFERROR(VLOOKUP($B28,Morning_Shift!$B$4:$BJ$61,MATCH(Both_Shift_Roster!AI$2,Morning_Shift!$B$2:$BJ$2,0),0),"")="",IFERROR(VLOOKUP($B28,Evening_Shift!$B$4:$BJ$62,MATCH(Both_Shift_Roster!AI$2,Evening_Shift!$B$2:$BJ$2,0),0),""),IFERROR(VLOOKUP($B28,Morning_Shift!$B$4:$BJ$61,MATCH(Both_Shift_Roster!AI$2,Morning_Shift!$B$2:$BJ$2,0),0),""))</f>
        <v>7:00-14:30</v>
      </c>
      <c r="AJ28" s="2" t="str">
        <f>IF(IFERROR(VLOOKUP($B28,Morning_Shift!$B$4:$BJ$61,MATCH(Both_Shift_Roster!AJ$2,Morning_Shift!$B$2:$BJ$2,0),0),"")="",IFERROR(VLOOKUP($B28,Evening_Shift!$B$4:$BJ$62,MATCH(Both_Shift_Roster!AJ$2,Evening_Shift!$B$2:$BJ$2,0),0),""),IFERROR(VLOOKUP($B28,Morning_Shift!$B$4:$BJ$61,MATCH(Both_Shift_Roster!AJ$2,Morning_Shift!$B$2:$BJ$2,0),0),""))</f>
        <v>7:00-14:30</v>
      </c>
      <c r="AK28" s="2" t="str">
        <f>IF(IFERROR(VLOOKUP($B28,Morning_Shift!$B$4:$BJ$61,MATCH(Both_Shift_Roster!AK$2,Morning_Shift!$B$2:$BJ$2,0),0),"")="",IFERROR(VLOOKUP($B28,Evening_Shift!$B$4:$BJ$62,MATCH(Both_Shift_Roster!AK$2,Evening_Shift!$B$2:$BJ$2,0),0),""),IFERROR(VLOOKUP($B28,Morning_Shift!$B$4:$BJ$61,MATCH(Both_Shift_Roster!AK$2,Morning_Shift!$B$2:$BJ$2,0),0),""))</f>
        <v>Agent Choice WO</v>
      </c>
      <c r="AL28" s="2">
        <f t="shared" si="25"/>
        <v>1</v>
      </c>
      <c r="AM28" s="2">
        <f t="shared" si="26"/>
        <v>0</v>
      </c>
      <c r="AN28" s="2">
        <f t="shared" si="27"/>
        <v>0</v>
      </c>
      <c r="AO28" s="2">
        <f t="shared" si="28"/>
        <v>0</v>
      </c>
      <c r="AP28" s="2">
        <f t="shared" si="29"/>
        <v>0</v>
      </c>
      <c r="AQ28" s="2" t="str">
        <f>IF(IFERROR(VLOOKUP($B28,Morning_Shift!$B$4:$BJ$61,MATCH(Both_Shift_Roster!AQ$2,Morning_Shift!$B$2:$BJ$2,0),0),"")="",IFERROR(VLOOKUP($B28,Evening_Shift!$B$4:$BJ$62,MATCH(Both_Shift_Roster!AQ$2,Evening_Shift!$B$2:$BJ$2,0),0),""),IFERROR(VLOOKUP($B28,Morning_Shift!$B$4:$BJ$61,MATCH(Both_Shift_Roster!AQ$2,Morning_Shift!$B$2:$BJ$2,0),0),""))</f>
        <v>7:00-14:30</v>
      </c>
      <c r="AR28" s="2" t="str">
        <f>IF(IFERROR(VLOOKUP($B28,Morning_Shift!$B$4:$BJ$61,MATCH(Both_Shift_Roster!AR$2,Morning_Shift!$B$2:$BJ$2,0),0),"")="",IFERROR(VLOOKUP($B28,Evening_Shift!$B$4:$BJ$62,MATCH(Both_Shift_Roster!AR$2,Evening_Shift!$B$2:$BJ$2,0),0),""),IFERROR(VLOOKUP($B28,Morning_Shift!$B$4:$BJ$61,MATCH(Both_Shift_Roster!AR$2,Morning_Shift!$B$2:$BJ$2,0),0),""))</f>
        <v>7:00-14:30</v>
      </c>
      <c r="AS28" s="2" t="str">
        <f>IF(IFERROR(VLOOKUP($B28,Morning_Shift!$B$4:$BJ$61,MATCH(Both_Shift_Roster!AS$2,Morning_Shift!$B$2:$BJ$2,0),0),"")="",IFERROR(VLOOKUP($B28,Evening_Shift!$B$4:$BJ$62,MATCH(Both_Shift_Roster!AS$2,Evening_Shift!$B$2:$BJ$2,0),0),""),IFERROR(VLOOKUP($B28,Morning_Shift!$B$4:$BJ$61,MATCH(Both_Shift_Roster!AS$2,Morning_Shift!$B$2:$BJ$2,0),0),""))</f>
        <v>7:00-14:30</v>
      </c>
      <c r="AT28" s="2" t="str">
        <f>IF(IFERROR(VLOOKUP($B28,Morning_Shift!$B$4:$BJ$61,MATCH(Both_Shift_Roster!AT$2,Morning_Shift!$B$2:$BJ$2,0),0),"")="",IFERROR(VLOOKUP($B28,Evening_Shift!$B$4:$BJ$62,MATCH(Both_Shift_Roster!AT$2,Evening_Shift!$B$2:$BJ$2,0),0),""),IFERROR(VLOOKUP($B28,Morning_Shift!$B$4:$BJ$61,MATCH(Both_Shift_Roster!AT$2,Morning_Shift!$B$2:$BJ$2,0),0),""))</f>
        <v>7:00-14:30</v>
      </c>
      <c r="AU28" s="2" t="str">
        <f>IF(IFERROR(VLOOKUP($B28,Morning_Shift!$B$4:$BJ$61,MATCH(Both_Shift_Roster!AU$2,Morning_Shift!$B$2:$BJ$2,0),0),"")="",IFERROR(VLOOKUP($B28,Evening_Shift!$B$4:$BJ$62,MATCH(Both_Shift_Roster!AU$2,Evening_Shift!$B$2:$BJ$2,0),0),""),IFERROR(VLOOKUP($B28,Morning_Shift!$B$4:$BJ$61,MATCH(Both_Shift_Roster!AU$2,Morning_Shift!$B$2:$BJ$2,0),0),""))</f>
        <v>7:00-14:30</v>
      </c>
      <c r="AV28" s="2" t="str">
        <f>IF(IFERROR(VLOOKUP($B28,Morning_Shift!$B$4:$BJ$61,MATCH(Both_Shift_Roster!AV$2,Morning_Shift!$B$2:$BJ$2,0),0),"")="",IFERROR(VLOOKUP($B28,Evening_Shift!$B$4:$BJ$62,MATCH(Both_Shift_Roster!AV$2,Evening_Shift!$B$2:$BJ$2,0),0),""),IFERROR(VLOOKUP($B28,Morning_Shift!$B$4:$BJ$61,MATCH(Both_Shift_Roster!AV$2,Morning_Shift!$B$2:$BJ$2,0),0),""))</f>
        <v>7:00-14:30</v>
      </c>
      <c r="AW28" s="2" t="str">
        <f>IF(IFERROR(VLOOKUP($B28,Morning_Shift!$B$4:$BJ$61,MATCH(Both_Shift_Roster!AW$2,Morning_Shift!$B$2:$BJ$2,0),0),"")="",IFERROR(VLOOKUP($B28,Evening_Shift!$B$4:$BJ$62,MATCH(Both_Shift_Roster!AW$2,Evening_Shift!$B$2:$BJ$2,0),0),""),IFERROR(VLOOKUP($B28,Morning_Shift!$B$4:$BJ$61,MATCH(Both_Shift_Roster!AW$2,Morning_Shift!$B$2:$BJ$2,0),0),""))</f>
        <v>Agent Choice WO</v>
      </c>
      <c r="AX28" s="2">
        <f t="shared" si="30"/>
        <v>1</v>
      </c>
      <c r="AY28" s="2">
        <f t="shared" si="31"/>
        <v>0</v>
      </c>
      <c r="AZ28" s="2">
        <f t="shared" si="32"/>
        <v>0</v>
      </c>
      <c r="BA28" s="2">
        <f t="shared" si="33"/>
        <v>0</v>
      </c>
      <c r="BB28" s="2">
        <f t="shared" si="34"/>
        <v>0</v>
      </c>
      <c r="BC28" s="2" t="str">
        <f>IF(IFERROR(VLOOKUP($B28,Morning_Shift!$B$4:$BJ$61,MATCH(Both_Shift_Roster!BC$2,Morning_Shift!$B$2:$BJ$2,0),0),"")="",IFERROR(VLOOKUP($B28,Evening_Shift!$B$4:$BJ$62,MATCH(Both_Shift_Roster!BC$2,Evening_Shift!$B$2:$BJ$2,0),0),""),IFERROR(VLOOKUP($B28,Morning_Shift!$B$4:$BJ$61,MATCH(Both_Shift_Roster!BC$2,Morning_Shift!$B$2:$BJ$2,0),0),""))</f>
        <v>CL</v>
      </c>
      <c r="BD28" s="2" t="str">
        <f>IF(IFERROR(VLOOKUP($B28,Morning_Shift!$B$4:$BJ$61,MATCH(Both_Shift_Roster!BD$2,Morning_Shift!$B$2:$BJ$2,0),0),"")="",IFERROR(VLOOKUP($B28,Evening_Shift!$B$4:$BJ$62,MATCH(Both_Shift_Roster!BD$2,Evening_Shift!$B$2:$BJ$2,0),0),""),IFERROR(VLOOKUP($B28,Morning_Shift!$B$4:$BJ$61,MATCH(Both_Shift_Roster!BD$2,Morning_Shift!$B$2:$BJ$2,0),0),""))</f>
        <v>7:00-14:30</v>
      </c>
      <c r="BE28" s="2" t="str">
        <f>IF(IFERROR(VLOOKUP($B28,Morning_Shift!$B$4:$BJ$61,MATCH(Both_Shift_Roster!BE$2,Morning_Shift!$B$2:$BJ$2,0),0),"")="",IFERROR(VLOOKUP($B28,Evening_Shift!$B$4:$BJ$59,MATCH(Both_Shift_Roster!BE$2,Evening_Shift!$B$2:$BJ$2,0),0),""),IFERROR(VLOOKUP($B28,Morning_Shift!$B$4:$BJ$61,MATCH(Both_Shift_Roster!BE$2,Morning_Shift!$B$2:$BJ$2,0),0),""))</f>
        <v>7:00-14:30</v>
      </c>
      <c r="BF28" s="2">
        <f t="shared" si="35"/>
        <v>0</v>
      </c>
      <c r="BG28" s="2">
        <f t="shared" si="36"/>
        <v>0</v>
      </c>
      <c r="BH28" s="2">
        <f t="shared" si="37"/>
        <v>1</v>
      </c>
      <c r="BI28" s="2">
        <f t="shared" si="38"/>
        <v>0</v>
      </c>
      <c r="BJ28" s="2">
        <f t="shared" si="39"/>
        <v>0</v>
      </c>
    </row>
    <row r="29" spans="1:62">
      <c r="A29" s="17">
        <f t="shared" si="40"/>
        <v>26</v>
      </c>
      <c r="B29" s="16" t="str">
        <f>Morning_Shift!$B29</f>
        <v>Dritm66</v>
      </c>
      <c r="C29" s="21" t="str">
        <f>IF(IFERROR(VLOOKUP(B29,Morning_Shift!B:C,2,0),"")="",IFERROR(VLOOKUP(B29,Evening_Shift!B:C,2,0),""),IFERROR(VLOOKUP(B29,Morning_Shift!B:C,2,0),""))</f>
        <v>Mukesh Kumar</v>
      </c>
      <c r="D29" s="15" t="str">
        <f>IF(IFERROR(VLOOKUP(B29,Morning_Shift!B:D,3,0),"")="",IFERROR(VLOOKUP(B29,Evening_Shift!B:D,3,0),""),IFERROR(VLOOKUP(B29,Morning_Shift!B:D,3,0),""))</f>
        <v>Naina</v>
      </c>
      <c r="E29" s="4" t="str">
        <f>IF(IFERROR(VLOOKUP(B29,Morning_Shift!B:E,4,0),"")="",IFERROR(VLOOKUP(B29,Evening_Shift!B:E,4,0),""),IFERROR(VLOOKUP(B29,Morning_Shift!B:E,4,0),""))</f>
        <v>M</v>
      </c>
      <c r="F29" s="5" t="str">
        <f>IF(IFERROR(VLOOKUP(B29,Morning_Shift!B:F,5,0),"")="",IFERROR(VLOOKUP(B29,Evening_Shift!B:F,5,0),""),IFERROR(VLOOKUP(B29,Morning_Shift!B:F,5,0),""))</f>
        <v>Inbound</v>
      </c>
      <c r="G29" s="2" t="str">
        <f>IF(IFERROR(VLOOKUP($B29,Morning_Shift!$B$4:$BJ$61,MATCH(Both_Shift_Roster!G$2,Morning_Shift!$B$2:$BJ$2,0),0),"")="",IFERROR(VLOOKUP($B29,Evening_Shift!$B$4:$BJ$62,MATCH(Both_Shift_Roster!G$2,Evening_Shift!$B$2:$BJ$2,0),0),""),IFERROR(VLOOKUP($B29,Morning_Shift!$B$4:$BJ$61,MATCH(Both_Shift_Roster!G$2,Morning_Shift!$B$2:$BJ$2,0),0),""))</f>
        <v>7:00-14:30</v>
      </c>
      <c r="H29" s="2" t="str">
        <f>IF(IFERROR(VLOOKUP($B29,Morning_Shift!$B$4:$BJ$61,MATCH(Both_Shift_Roster!H$2,Morning_Shift!$B$2:$BJ$2,0),0),"")="",IFERROR(VLOOKUP($B29,Evening_Shift!$B$4:$BJ$62,MATCH(Both_Shift_Roster!H$2,Evening_Shift!$B$2:$BJ$2,0),0),""),IFERROR(VLOOKUP($B29,Morning_Shift!$B$4:$BJ$61,MATCH(Both_Shift_Roster!H$2,Morning_Shift!$B$2:$BJ$2,0),0),""))</f>
        <v>7:00-14:30</v>
      </c>
      <c r="I29" s="2" t="str">
        <f>IF(IFERROR(VLOOKUP($B29,Morning_Shift!$B$4:$BJ$61,MATCH(Both_Shift_Roster!I$2,Morning_Shift!$B$2:$BJ$2,0),0),"")="",IFERROR(VLOOKUP($B29,Evening_Shift!$B$4:$BJ$62,MATCH(Both_Shift_Roster!I$2,Evening_Shift!$B$2:$BJ$2,0),0),""),IFERROR(VLOOKUP($B29,Morning_Shift!$B$4:$BJ$61,MATCH(Both_Shift_Roster!I$2,Morning_Shift!$B$2:$BJ$2,0),0),""))</f>
        <v>7:00-14:30</v>
      </c>
      <c r="J29" s="2" t="str">
        <f>IF(IFERROR(VLOOKUP($B29,Morning_Shift!$B$4:$BJ$61,MATCH(Both_Shift_Roster!J$2,Morning_Shift!$B$2:$BJ$2,0),0),"")="",IFERROR(VLOOKUP($B29,Evening_Shift!$B$4:$BJ$62,MATCH(Both_Shift_Roster!J$2,Evening_Shift!$B$2:$BJ$2,0),0),""),IFERROR(VLOOKUP($B29,Morning_Shift!$B$4:$BJ$61,MATCH(Both_Shift_Roster!J$2,Morning_Shift!$B$2:$BJ$2,0),0),""))</f>
        <v>7:00-14:30</v>
      </c>
      <c r="K29" s="2" t="str">
        <f>IF(IFERROR(VLOOKUP($B29,Morning_Shift!$B$4:$BJ$61,MATCH(Both_Shift_Roster!K$2,Morning_Shift!$B$2:$BJ$2,0),0),"")="",IFERROR(VLOOKUP($B29,Evening_Shift!$B$4:$BJ$62,MATCH(Both_Shift_Roster!K$2,Evening_Shift!$B$2:$BJ$2,0),0),""),IFERROR(VLOOKUP($B29,Morning_Shift!$B$4:$BJ$61,MATCH(Both_Shift_Roster!K$2,Morning_Shift!$B$2:$BJ$2,0),0),""))</f>
        <v>7:00-14:30</v>
      </c>
      <c r="L29" s="2" t="str">
        <f>IF(IFERROR(VLOOKUP($B29,Morning_Shift!$B$4:$BJ$61,MATCH(Both_Shift_Roster!L$2,Morning_Shift!$B$2:$BJ$2,0),0),"")="",IFERROR(VLOOKUP($B29,Evening_Shift!$B$4:$BJ$62,MATCH(Both_Shift_Roster!L$2,Evening_Shift!$B$2:$BJ$2,0),0),""),IFERROR(VLOOKUP($B29,Morning_Shift!$B$4:$BJ$61,MATCH(Both_Shift_Roster!L$2,Morning_Shift!$B$2:$BJ$2,0),0),""))</f>
        <v>7:00-14:30</v>
      </c>
      <c r="M29" s="2" t="str">
        <f>IF(IFERROR(VLOOKUP($B29,Morning_Shift!$B$4:$BJ$61,MATCH(Both_Shift_Roster!M$2,Morning_Shift!$B$2:$BJ$2,0),0),"")="",IFERROR(VLOOKUP($B29,Evening_Shift!$B$4:$BJ$62,MATCH(Both_Shift_Roster!M$2,Evening_Shift!$B$2:$BJ$2,0),0),""),IFERROR(VLOOKUP($B29,Morning_Shift!$B$4:$BJ$61,MATCH(Both_Shift_Roster!M$2,Morning_Shift!$B$2:$BJ$2,0),0),""))</f>
        <v>7:00-14:30</v>
      </c>
      <c r="N29" s="2">
        <f t="shared" si="15"/>
        <v>0</v>
      </c>
      <c r="O29" s="2">
        <f t="shared" si="16"/>
        <v>0</v>
      </c>
      <c r="P29" s="2">
        <f t="shared" si="17"/>
        <v>0</v>
      </c>
      <c r="Q29" s="2">
        <f t="shared" si="18"/>
        <v>0</v>
      </c>
      <c r="R29" s="2">
        <f t="shared" si="19"/>
        <v>0</v>
      </c>
      <c r="S29" s="2" t="str">
        <f>IF(IFERROR(VLOOKUP($B29,Morning_Shift!$B$4:$BJ$61,MATCH(Both_Shift_Roster!S$2,Morning_Shift!$B$2:$BJ$2,0),0),"")="",IFERROR(VLOOKUP($B29,Evening_Shift!$B$4:$BJ$62,MATCH(Both_Shift_Roster!S$2,Evening_Shift!$B$2:$BJ$2,0),0),""),IFERROR(VLOOKUP($B29,Morning_Shift!$B$4:$BJ$61,MATCH(Both_Shift_Roster!S$2,Morning_Shift!$B$2:$BJ$2,0),0),""))</f>
        <v>7:00-14:30</v>
      </c>
      <c r="T29" s="2" t="str">
        <f>IF(IFERROR(VLOOKUP($B29,Morning_Shift!$B$4:$BJ$61,MATCH(Both_Shift_Roster!T$2,Morning_Shift!$B$2:$BJ$2,0),0),"")="",IFERROR(VLOOKUP($B29,Evening_Shift!$B$4:$BJ$62,MATCH(Both_Shift_Roster!T$2,Evening_Shift!$B$2:$BJ$2,0),0),""),IFERROR(VLOOKUP($B29,Morning_Shift!$B$4:$BJ$61,MATCH(Both_Shift_Roster!T$2,Morning_Shift!$B$2:$BJ$2,0),0),""))</f>
        <v>7:00-14:30</v>
      </c>
      <c r="U29" s="2" t="str">
        <f>IF(IFERROR(VLOOKUP($B29,Morning_Shift!$B$4:$BJ$61,MATCH(Both_Shift_Roster!U$2,Morning_Shift!$B$2:$BJ$2,0),0),"")="",IFERROR(VLOOKUP($B29,Evening_Shift!$B$4:$BJ$62,MATCH(Both_Shift_Roster!U$2,Evening_Shift!$B$2:$BJ$2,0),0),""),IFERROR(VLOOKUP($B29,Morning_Shift!$B$4:$BJ$61,MATCH(Both_Shift_Roster!U$2,Morning_Shift!$B$2:$BJ$2,0),0),""))</f>
        <v>7:00-14:30</v>
      </c>
      <c r="V29" s="2" t="str">
        <f>IF(IFERROR(VLOOKUP($B29,Morning_Shift!$B$4:$BJ$61,MATCH(Both_Shift_Roster!V$2,Morning_Shift!$B$2:$BJ$2,0),0),"")="",IFERROR(VLOOKUP($B29,Evening_Shift!$B$4:$BJ$62,MATCH(Both_Shift_Roster!V$2,Evening_Shift!$B$2:$BJ$2,0),0),""),IFERROR(VLOOKUP($B29,Morning_Shift!$B$4:$BJ$61,MATCH(Both_Shift_Roster!V$2,Morning_Shift!$B$2:$BJ$2,0),0),""))</f>
        <v>7:00-14:30</v>
      </c>
      <c r="W29" s="2" t="str">
        <f>IF(IFERROR(VLOOKUP($B29,Morning_Shift!$B$4:$BJ$61,MATCH(Both_Shift_Roster!W$2,Morning_Shift!$B$2:$BJ$2,0),0),"")="",IFERROR(VLOOKUP($B29,Evening_Shift!$B$4:$BJ$62,MATCH(Both_Shift_Roster!W$2,Evening_Shift!$B$2:$BJ$2,0),0),""),IFERROR(VLOOKUP($B29,Morning_Shift!$B$4:$BJ$61,MATCH(Both_Shift_Roster!W$2,Morning_Shift!$B$2:$BJ$2,0),0),""))</f>
        <v>Agent Choice WO</v>
      </c>
      <c r="X29" s="2" t="str">
        <f>IF(IFERROR(VLOOKUP($B29,Morning_Shift!$B$4:$BJ$61,MATCH(Both_Shift_Roster!X$2,Morning_Shift!$B$2:$BJ$2,0),0),"")="",IFERROR(VLOOKUP($B29,Evening_Shift!$B$4:$BJ$62,MATCH(Both_Shift_Roster!X$2,Evening_Shift!$B$2:$BJ$2,0),0),""),IFERROR(VLOOKUP($B29,Morning_Shift!$B$4:$BJ$61,MATCH(Both_Shift_Roster!X$2,Morning_Shift!$B$2:$BJ$2,0),0),""))</f>
        <v>Agent Choice WO</v>
      </c>
      <c r="Y29" s="2" t="str">
        <f>IF(IFERROR(VLOOKUP($B29,Morning_Shift!$B$4:$BJ$61,MATCH(Both_Shift_Roster!Y$2,Morning_Shift!$B$2:$BJ$2,0),0),"")="",IFERROR(VLOOKUP($B29,Evening_Shift!$B$4:$BJ$62,MATCH(Both_Shift_Roster!Y$2,Evening_Shift!$B$2:$BJ$2,0),0),""),IFERROR(VLOOKUP($B29,Morning_Shift!$B$4:$BJ$61,MATCH(Both_Shift_Roster!Y$2,Morning_Shift!$B$2:$BJ$2,0),0),""))</f>
        <v>Agent Choice WO</v>
      </c>
      <c r="Z29" s="2">
        <f t="shared" si="20"/>
        <v>3</v>
      </c>
      <c r="AA29" s="2">
        <f t="shared" si="21"/>
        <v>0</v>
      </c>
      <c r="AB29" s="2">
        <f t="shared" si="22"/>
        <v>0</v>
      </c>
      <c r="AC29" s="2">
        <f t="shared" si="23"/>
        <v>0</v>
      </c>
      <c r="AD29" s="2">
        <f t="shared" si="24"/>
        <v>0</v>
      </c>
      <c r="AE29" s="2" t="str">
        <f>IF(IFERROR(VLOOKUP($B29,Morning_Shift!$B$4:$BJ$61,MATCH(Both_Shift_Roster!AE$2,Morning_Shift!$B$2:$BJ$2,0),0),"")="",IFERROR(VLOOKUP($B29,Evening_Shift!$B$4:$BJ$62,MATCH(Both_Shift_Roster!AE$2,Evening_Shift!$B$2:$BJ$2,0),0),""),IFERROR(VLOOKUP($B29,Morning_Shift!$B$4:$BJ$61,MATCH(Both_Shift_Roster!AE$2,Morning_Shift!$B$2:$BJ$2,0),0),""))</f>
        <v>Agent Choice WO</v>
      </c>
      <c r="AF29" s="2" t="str">
        <f>IF(IFERROR(VLOOKUP($B29,Morning_Shift!$B$4:$BJ$61,MATCH(Both_Shift_Roster!AF$2,Morning_Shift!$B$2:$BJ$2,0),0),"")="",IFERROR(VLOOKUP($B29,Evening_Shift!$B$4:$BJ$62,MATCH(Both_Shift_Roster!AF$2,Evening_Shift!$B$2:$BJ$2,0),0),""),IFERROR(VLOOKUP($B29,Morning_Shift!$B$4:$BJ$61,MATCH(Both_Shift_Roster!AF$2,Morning_Shift!$B$2:$BJ$2,0),0),""))</f>
        <v>7:00-14:30</v>
      </c>
      <c r="AG29" s="2" t="str">
        <f>IF(IFERROR(VLOOKUP($B29,Morning_Shift!$B$4:$BJ$61,MATCH(Both_Shift_Roster!AG$2,Morning_Shift!$B$2:$BJ$2,0),0),"")="",IFERROR(VLOOKUP($B29,Evening_Shift!$B$4:$BJ$62,MATCH(Both_Shift_Roster!AG$2,Evening_Shift!$B$2:$BJ$2,0),0),""),IFERROR(VLOOKUP($B29,Morning_Shift!$B$4:$BJ$61,MATCH(Both_Shift_Roster!AG$2,Morning_Shift!$B$2:$BJ$2,0),0),""))</f>
        <v>7:00-14:30</v>
      </c>
      <c r="AH29" s="2" t="str">
        <f>IF(IFERROR(VLOOKUP($B29,Morning_Shift!$B$4:$BJ$61,MATCH(Both_Shift_Roster!AH$2,Morning_Shift!$B$2:$BJ$2,0),0),"")="",IFERROR(VLOOKUP($B29,Evening_Shift!$B$4:$BJ$62,MATCH(Both_Shift_Roster!AH$2,Evening_Shift!$B$2:$BJ$2,0),0),""),IFERROR(VLOOKUP($B29,Morning_Shift!$B$4:$BJ$61,MATCH(Both_Shift_Roster!AH$2,Morning_Shift!$B$2:$BJ$2,0),0),""))</f>
        <v>7:00-14:30</v>
      </c>
      <c r="AI29" s="2" t="str">
        <f>IF(IFERROR(VLOOKUP($B29,Morning_Shift!$B$4:$BJ$61,MATCH(Both_Shift_Roster!AI$2,Morning_Shift!$B$2:$BJ$2,0),0),"")="",IFERROR(VLOOKUP($B29,Evening_Shift!$B$4:$BJ$62,MATCH(Both_Shift_Roster!AI$2,Evening_Shift!$B$2:$BJ$2,0),0),""),IFERROR(VLOOKUP($B29,Morning_Shift!$B$4:$BJ$61,MATCH(Both_Shift_Roster!AI$2,Morning_Shift!$B$2:$BJ$2,0),0),""))</f>
        <v>7:00-14:30</v>
      </c>
      <c r="AJ29" s="2" t="str">
        <f>IF(IFERROR(VLOOKUP($B29,Morning_Shift!$B$4:$BJ$61,MATCH(Both_Shift_Roster!AJ$2,Morning_Shift!$B$2:$BJ$2,0),0),"")="",IFERROR(VLOOKUP($B29,Evening_Shift!$B$4:$BJ$62,MATCH(Both_Shift_Roster!AJ$2,Evening_Shift!$B$2:$BJ$2,0),0),""),IFERROR(VLOOKUP($B29,Morning_Shift!$B$4:$BJ$61,MATCH(Both_Shift_Roster!AJ$2,Morning_Shift!$B$2:$BJ$2,0),0),""))</f>
        <v>7:00-14:30</v>
      </c>
      <c r="AK29" s="2" t="str">
        <f>IF(IFERROR(VLOOKUP($B29,Morning_Shift!$B$4:$BJ$61,MATCH(Both_Shift_Roster!AK$2,Morning_Shift!$B$2:$BJ$2,0),0),"")="",IFERROR(VLOOKUP($B29,Evening_Shift!$B$4:$BJ$62,MATCH(Both_Shift_Roster!AK$2,Evening_Shift!$B$2:$BJ$2,0),0),""),IFERROR(VLOOKUP($B29,Morning_Shift!$B$4:$BJ$61,MATCH(Both_Shift_Roster!AK$2,Morning_Shift!$B$2:$BJ$2,0),0),""))</f>
        <v>7:00-14:30</v>
      </c>
      <c r="AL29" s="2">
        <f t="shared" si="25"/>
        <v>1</v>
      </c>
      <c r="AM29" s="2">
        <f t="shared" si="26"/>
        <v>0</v>
      </c>
      <c r="AN29" s="2">
        <f t="shared" si="27"/>
        <v>0</v>
      </c>
      <c r="AO29" s="2">
        <f t="shared" si="28"/>
        <v>0</v>
      </c>
      <c r="AP29" s="2">
        <f t="shared" si="29"/>
        <v>0</v>
      </c>
      <c r="AQ29" s="2" t="str">
        <f>IF(IFERROR(VLOOKUP($B29,Morning_Shift!$B$4:$BJ$61,MATCH(Both_Shift_Roster!AQ$2,Morning_Shift!$B$2:$BJ$2,0),0),"")="",IFERROR(VLOOKUP($B29,Evening_Shift!$B$4:$BJ$62,MATCH(Both_Shift_Roster!AQ$2,Evening_Shift!$B$2:$BJ$2,0),0),""),IFERROR(VLOOKUP($B29,Morning_Shift!$B$4:$BJ$61,MATCH(Both_Shift_Roster!AQ$2,Morning_Shift!$B$2:$BJ$2,0),0),""))</f>
        <v>7:00-14:30</v>
      </c>
      <c r="AR29" s="2" t="str">
        <f>IF(IFERROR(VLOOKUP($B29,Morning_Shift!$B$4:$BJ$61,MATCH(Both_Shift_Roster!AR$2,Morning_Shift!$B$2:$BJ$2,0),0),"")="",IFERROR(VLOOKUP($B29,Evening_Shift!$B$4:$BJ$62,MATCH(Both_Shift_Roster!AR$2,Evening_Shift!$B$2:$BJ$2,0),0),""),IFERROR(VLOOKUP($B29,Morning_Shift!$B$4:$BJ$61,MATCH(Both_Shift_Roster!AR$2,Morning_Shift!$B$2:$BJ$2,0),0),""))</f>
        <v>7:00-14:30</v>
      </c>
      <c r="AS29" s="2" t="str">
        <f>IF(IFERROR(VLOOKUP($B29,Morning_Shift!$B$4:$BJ$61,MATCH(Both_Shift_Roster!AS$2,Morning_Shift!$B$2:$BJ$2,0),0),"")="",IFERROR(VLOOKUP($B29,Evening_Shift!$B$4:$BJ$62,MATCH(Both_Shift_Roster!AS$2,Evening_Shift!$B$2:$BJ$2,0),0),""),IFERROR(VLOOKUP($B29,Morning_Shift!$B$4:$BJ$61,MATCH(Both_Shift_Roster!AS$2,Morning_Shift!$B$2:$BJ$2,0),0),""))</f>
        <v>7:00-14:30</v>
      </c>
      <c r="AT29" s="2" t="str">
        <f>IF(IFERROR(VLOOKUP($B29,Morning_Shift!$B$4:$BJ$61,MATCH(Both_Shift_Roster!AT$2,Morning_Shift!$B$2:$BJ$2,0),0),"")="",IFERROR(VLOOKUP($B29,Evening_Shift!$B$4:$BJ$62,MATCH(Both_Shift_Roster!AT$2,Evening_Shift!$B$2:$BJ$2,0),0),""),IFERROR(VLOOKUP($B29,Morning_Shift!$B$4:$BJ$61,MATCH(Both_Shift_Roster!AT$2,Morning_Shift!$B$2:$BJ$2,0),0),""))</f>
        <v>7:00-14:30</v>
      </c>
      <c r="AU29" s="2" t="str">
        <f>IF(IFERROR(VLOOKUP($B29,Morning_Shift!$B$4:$BJ$61,MATCH(Both_Shift_Roster!AU$2,Morning_Shift!$B$2:$BJ$2,0),0),"")="",IFERROR(VLOOKUP($B29,Evening_Shift!$B$4:$BJ$62,MATCH(Both_Shift_Roster!AU$2,Evening_Shift!$B$2:$BJ$2,0),0),""),IFERROR(VLOOKUP($B29,Morning_Shift!$B$4:$BJ$61,MATCH(Both_Shift_Roster!AU$2,Morning_Shift!$B$2:$BJ$2,0),0),""))</f>
        <v>7:00-14:30</v>
      </c>
      <c r="AV29" s="2" t="str">
        <f>IF(IFERROR(VLOOKUP($B29,Morning_Shift!$B$4:$BJ$61,MATCH(Both_Shift_Roster!AV$2,Morning_Shift!$B$2:$BJ$2,0),0),"")="",IFERROR(VLOOKUP($B29,Evening_Shift!$B$4:$BJ$62,MATCH(Both_Shift_Roster!AV$2,Evening_Shift!$B$2:$BJ$2,0),0),""),IFERROR(VLOOKUP($B29,Morning_Shift!$B$4:$BJ$61,MATCH(Both_Shift_Roster!AV$2,Morning_Shift!$B$2:$BJ$2,0),0),""))</f>
        <v>7:00-14:30</v>
      </c>
      <c r="AW29" s="2" t="str">
        <f>IF(IFERROR(VLOOKUP($B29,Morning_Shift!$B$4:$BJ$61,MATCH(Both_Shift_Roster!AW$2,Morning_Shift!$B$2:$BJ$2,0),0),"")="",IFERROR(VLOOKUP($B29,Evening_Shift!$B$4:$BJ$62,MATCH(Both_Shift_Roster!AW$2,Evening_Shift!$B$2:$BJ$2,0),0),""),IFERROR(VLOOKUP($B29,Morning_Shift!$B$4:$BJ$61,MATCH(Both_Shift_Roster!AW$2,Morning_Shift!$B$2:$BJ$2,0),0),""))</f>
        <v>7:00-14:30</v>
      </c>
      <c r="AX29" s="2">
        <f t="shared" si="30"/>
        <v>0</v>
      </c>
      <c r="AY29" s="2">
        <f t="shared" si="31"/>
        <v>0</v>
      </c>
      <c r="AZ29" s="2">
        <f t="shared" si="32"/>
        <v>0</v>
      </c>
      <c r="BA29" s="2">
        <f t="shared" si="33"/>
        <v>0</v>
      </c>
      <c r="BB29" s="2">
        <f t="shared" si="34"/>
        <v>0</v>
      </c>
      <c r="BC29" s="2" t="str">
        <f>IF(IFERROR(VLOOKUP($B29,Morning_Shift!$B$4:$BJ$61,MATCH(Both_Shift_Roster!BC$2,Morning_Shift!$B$2:$BJ$2,0),0),"")="",IFERROR(VLOOKUP($B29,Evening_Shift!$B$4:$BJ$62,MATCH(Both_Shift_Roster!BC$2,Evening_Shift!$B$2:$BJ$2,0),0),""),IFERROR(VLOOKUP($B29,Morning_Shift!$B$4:$BJ$61,MATCH(Both_Shift_Roster!BC$2,Morning_Shift!$B$2:$BJ$2,0),0),""))</f>
        <v>7:00-14:30</v>
      </c>
      <c r="BD29" s="2" t="str">
        <f>IF(IFERROR(VLOOKUP($B29,Morning_Shift!$B$4:$BJ$61,MATCH(Both_Shift_Roster!BD$2,Morning_Shift!$B$2:$BJ$2,0),0),"")="",IFERROR(VLOOKUP($B29,Evening_Shift!$B$4:$BJ$62,MATCH(Both_Shift_Roster!BD$2,Evening_Shift!$B$2:$BJ$2,0),0),""),IFERROR(VLOOKUP($B29,Morning_Shift!$B$4:$BJ$61,MATCH(Both_Shift_Roster!BD$2,Morning_Shift!$B$2:$BJ$2,0),0),""))</f>
        <v>7:00-14:30</v>
      </c>
      <c r="BE29" s="2" t="str">
        <f>IF(IFERROR(VLOOKUP($B29,Morning_Shift!$B$4:$BJ$61,MATCH(Both_Shift_Roster!BE$2,Morning_Shift!$B$2:$BJ$2,0),0),"")="",IFERROR(VLOOKUP($B29,Evening_Shift!$B$4:$BJ$59,MATCH(Both_Shift_Roster!BE$2,Evening_Shift!$B$2:$BJ$2,0),0),""),IFERROR(VLOOKUP($B29,Morning_Shift!$B$4:$BJ$61,MATCH(Both_Shift_Roster!BE$2,Morning_Shift!$B$2:$BJ$2,0),0),""))</f>
        <v>7:00-14:30</v>
      </c>
      <c r="BF29" s="2">
        <f t="shared" si="35"/>
        <v>0</v>
      </c>
      <c r="BG29" s="2">
        <f t="shared" si="36"/>
        <v>0</v>
      </c>
      <c r="BH29" s="2">
        <f t="shared" si="37"/>
        <v>0</v>
      </c>
      <c r="BI29" s="2">
        <f t="shared" si="38"/>
        <v>0</v>
      </c>
      <c r="BJ29" s="2">
        <f t="shared" si="39"/>
        <v>0</v>
      </c>
    </row>
    <row r="30" spans="1:62">
      <c r="A30" s="17">
        <f t="shared" si="40"/>
        <v>27</v>
      </c>
      <c r="B30" s="16" t="str">
        <f>Morning_Shift!$B30</f>
        <v>Dritm43</v>
      </c>
      <c r="C30" s="21" t="str">
        <f>IF(IFERROR(VLOOKUP(B30,Morning_Shift!B:C,2,0),"")="",IFERROR(VLOOKUP(B30,Evening_Shift!B:C,2,0),""),IFERROR(VLOOKUP(B30,Morning_Shift!B:C,2,0),""))</f>
        <v>Muskan Sharma</v>
      </c>
      <c r="D30" s="15" t="str">
        <f>IF(IFERROR(VLOOKUP(B30,Morning_Shift!B:D,3,0),"")="",IFERROR(VLOOKUP(B30,Evening_Shift!B:D,3,0),""),IFERROR(VLOOKUP(B30,Morning_Shift!B:D,3,0),""))</f>
        <v>Naina</v>
      </c>
      <c r="E30" s="4" t="str">
        <f>IF(IFERROR(VLOOKUP(B30,Morning_Shift!B:E,4,0),"")="",IFERROR(VLOOKUP(B30,Evening_Shift!B:E,4,0),""),IFERROR(VLOOKUP(B30,Morning_Shift!B:E,4,0),""))</f>
        <v>F</v>
      </c>
      <c r="F30" s="5" t="str">
        <f>IF(IFERROR(VLOOKUP(B30,Morning_Shift!B:F,5,0),"")="",IFERROR(VLOOKUP(B30,Evening_Shift!B:F,5,0),""),IFERROR(VLOOKUP(B30,Morning_Shift!B:F,5,0),""))</f>
        <v>Himseva manual preview</v>
      </c>
      <c r="G30" s="2" t="str">
        <f>IF(IFERROR(VLOOKUP($B30,Morning_Shift!$B$4:$BJ$61,MATCH(Both_Shift_Roster!G$2,Morning_Shift!$B$2:$BJ$2,0),0),"")="",IFERROR(VLOOKUP($B30,Evening_Shift!$B$4:$BJ$62,MATCH(Both_Shift_Roster!G$2,Evening_Shift!$B$2:$BJ$2,0),0),""),IFERROR(VLOOKUP($B30,Morning_Shift!$B$4:$BJ$61,MATCH(Both_Shift_Roster!G$2,Morning_Shift!$B$2:$BJ$2,0),0),""))</f>
        <v>Agent Choice WO</v>
      </c>
      <c r="H30" s="2" t="str">
        <f>IF(IFERROR(VLOOKUP($B30,Morning_Shift!$B$4:$BJ$61,MATCH(Both_Shift_Roster!H$2,Morning_Shift!$B$2:$BJ$2,0),0),"")="",IFERROR(VLOOKUP($B30,Evening_Shift!$B$4:$BJ$62,MATCH(Both_Shift_Roster!H$2,Evening_Shift!$B$2:$BJ$2,0),0),""),IFERROR(VLOOKUP($B30,Morning_Shift!$B$4:$BJ$61,MATCH(Both_Shift_Roster!H$2,Morning_Shift!$B$2:$BJ$2,0),0),""))</f>
        <v>Agent Choice WO</v>
      </c>
      <c r="I30" s="2" t="str">
        <f>IF(IFERROR(VLOOKUP($B30,Morning_Shift!$B$4:$BJ$61,MATCH(Both_Shift_Roster!I$2,Morning_Shift!$B$2:$BJ$2,0),0),"")="",IFERROR(VLOOKUP($B30,Evening_Shift!$B$4:$BJ$62,MATCH(Both_Shift_Roster!I$2,Evening_Shift!$B$2:$BJ$2,0),0),""),IFERROR(VLOOKUP($B30,Morning_Shift!$B$4:$BJ$61,MATCH(Both_Shift_Roster!I$2,Morning_Shift!$B$2:$BJ$2,0),0),""))</f>
        <v>Agent Choice WO</v>
      </c>
      <c r="J30" s="2" t="str">
        <f>IF(IFERROR(VLOOKUP($B30,Morning_Shift!$B$4:$BJ$61,MATCH(Both_Shift_Roster!J$2,Morning_Shift!$B$2:$BJ$2,0),0),"")="",IFERROR(VLOOKUP($B30,Evening_Shift!$B$4:$BJ$62,MATCH(Both_Shift_Roster!J$2,Evening_Shift!$B$2:$BJ$2,0),0),""),IFERROR(VLOOKUP($B30,Morning_Shift!$B$4:$BJ$61,MATCH(Both_Shift_Roster!J$2,Morning_Shift!$B$2:$BJ$2,0),0),""))</f>
        <v>Agent Choice WO</v>
      </c>
      <c r="K30" s="2" t="str">
        <f>IF(IFERROR(VLOOKUP($B30,Morning_Shift!$B$4:$BJ$61,MATCH(Both_Shift_Roster!K$2,Morning_Shift!$B$2:$BJ$2,0),0),"")="",IFERROR(VLOOKUP($B30,Evening_Shift!$B$4:$BJ$62,MATCH(Both_Shift_Roster!K$2,Evening_Shift!$B$2:$BJ$2,0),0),""),IFERROR(VLOOKUP($B30,Morning_Shift!$B$4:$BJ$61,MATCH(Both_Shift_Roster!K$2,Morning_Shift!$B$2:$BJ$2,0),0),""))</f>
        <v>7:00-14:30</v>
      </c>
      <c r="L30" s="2" t="str">
        <f>IF(IFERROR(VLOOKUP($B30,Morning_Shift!$B$4:$BJ$61,MATCH(Both_Shift_Roster!L$2,Morning_Shift!$B$2:$BJ$2,0),0),"")="",IFERROR(VLOOKUP($B30,Evening_Shift!$B$4:$BJ$62,MATCH(Both_Shift_Roster!L$2,Evening_Shift!$B$2:$BJ$2,0),0),""),IFERROR(VLOOKUP($B30,Morning_Shift!$B$4:$BJ$61,MATCH(Both_Shift_Roster!L$2,Morning_Shift!$B$2:$BJ$2,0),0),""))</f>
        <v>7:00-14:30</v>
      </c>
      <c r="M30" s="2" t="str">
        <f>IF(IFERROR(VLOOKUP($B30,Morning_Shift!$B$4:$BJ$61,MATCH(Both_Shift_Roster!M$2,Morning_Shift!$B$2:$BJ$2,0),0),"")="",IFERROR(VLOOKUP($B30,Evening_Shift!$B$4:$BJ$62,MATCH(Both_Shift_Roster!M$2,Evening_Shift!$B$2:$BJ$2,0),0),""),IFERROR(VLOOKUP($B30,Morning_Shift!$B$4:$BJ$61,MATCH(Both_Shift_Roster!M$2,Morning_Shift!$B$2:$BJ$2,0),0),""))</f>
        <v>7:00-14:30</v>
      </c>
      <c r="N30" s="2">
        <f t="shared" si="15"/>
        <v>4</v>
      </c>
      <c r="O30" s="2">
        <f t="shared" si="16"/>
        <v>0</v>
      </c>
      <c r="P30" s="2">
        <f t="shared" si="17"/>
        <v>0</v>
      </c>
      <c r="Q30" s="2">
        <f t="shared" si="18"/>
        <v>0</v>
      </c>
      <c r="R30" s="2">
        <f t="shared" si="19"/>
        <v>0</v>
      </c>
      <c r="S30" s="2" t="str">
        <f>IF(IFERROR(VLOOKUP($B30,Morning_Shift!$B$4:$BJ$61,MATCH(Both_Shift_Roster!S$2,Morning_Shift!$B$2:$BJ$2,0),0),"")="",IFERROR(VLOOKUP($B30,Evening_Shift!$B$4:$BJ$62,MATCH(Both_Shift_Roster!S$2,Evening_Shift!$B$2:$BJ$2,0),0),""),IFERROR(VLOOKUP($B30,Morning_Shift!$B$4:$BJ$61,MATCH(Both_Shift_Roster!S$2,Morning_Shift!$B$2:$BJ$2,0),0),""))</f>
        <v>7:00-14:30</v>
      </c>
      <c r="T30" s="2" t="str">
        <f>IF(IFERROR(VLOOKUP($B30,Morning_Shift!$B$4:$BJ$61,MATCH(Both_Shift_Roster!T$2,Morning_Shift!$B$2:$BJ$2,0),0),"")="",IFERROR(VLOOKUP($B30,Evening_Shift!$B$4:$BJ$62,MATCH(Both_Shift_Roster!T$2,Evening_Shift!$B$2:$BJ$2,0),0),""),IFERROR(VLOOKUP($B30,Morning_Shift!$B$4:$BJ$61,MATCH(Both_Shift_Roster!T$2,Morning_Shift!$B$2:$BJ$2,0),0),""))</f>
        <v>7:00-14:30</v>
      </c>
      <c r="U30" s="2" t="str">
        <f>IF(IFERROR(VLOOKUP($B30,Morning_Shift!$B$4:$BJ$61,MATCH(Both_Shift_Roster!U$2,Morning_Shift!$B$2:$BJ$2,0),0),"")="",IFERROR(VLOOKUP($B30,Evening_Shift!$B$4:$BJ$62,MATCH(Both_Shift_Roster!U$2,Evening_Shift!$B$2:$BJ$2,0),0),""),IFERROR(VLOOKUP($B30,Morning_Shift!$B$4:$BJ$61,MATCH(Both_Shift_Roster!U$2,Morning_Shift!$B$2:$BJ$2,0),0),""))</f>
        <v>7:00-14:30</v>
      </c>
      <c r="V30" s="2" t="str">
        <f>IF(IFERROR(VLOOKUP($B30,Morning_Shift!$B$4:$BJ$61,MATCH(Both_Shift_Roster!V$2,Morning_Shift!$B$2:$BJ$2,0),0),"")="",IFERROR(VLOOKUP($B30,Evening_Shift!$B$4:$BJ$62,MATCH(Both_Shift_Roster!V$2,Evening_Shift!$B$2:$BJ$2,0),0),""),IFERROR(VLOOKUP($B30,Morning_Shift!$B$4:$BJ$61,MATCH(Both_Shift_Roster!V$2,Morning_Shift!$B$2:$BJ$2,0),0),""))</f>
        <v>7:00-14:30</v>
      </c>
      <c r="W30" s="2" t="str">
        <f>IF(IFERROR(VLOOKUP($B30,Morning_Shift!$B$4:$BJ$61,MATCH(Both_Shift_Roster!W$2,Morning_Shift!$B$2:$BJ$2,0),0),"")="",IFERROR(VLOOKUP($B30,Evening_Shift!$B$4:$BJ$62,MATCH(Both_Shift_Roster!W$2,Evening_Shift!$B$2:$BJ$2,0),0),""),IFERROR(VLOOKUP($B30,Morning_Shift!$B$4:$BJ$61,MATCH(Both_Shift_Roster!W$2,Morning_Shift!$B$2:$BJ$2,0),0),""))</f>
        <v>7:00-14:30</v>
      </c>
      <c r="X30" s="2" t="str">
        <f>IF(IFERROR(VLOOKUP($B30,Morning_Shift!$B$4:$BJ$61,MATCH(Both_Shift_Roster!X$2,Morning_Shift!$B$2:$BJ$2,0),0),"")="",IFERROR(VLOOKUP($B30,Evening_Shift!$B$4:$BJ$62,MATCH(Both_Shift_Roster!X$2,Evening_Shift!$B$2:$BJ$2,0),0),""),IFERROR(VLOOKUP($B30,Morning_Shift!$B$4:$BJ$61,MATCH(Both_Shift_Roster!X$2,Morning_Shift!$B$2:$BJ$2,0),0),""))</f>
        <v>7:00-14:30</v>
      </c>
      <c r="Y30" s="2" t="str">
        <f>IF(IFERROR(VLOOKUP($B30,Morning_Shift!$B$4:$BJ$61,MATCH(Both_Shift_Roster!Y$2,Morning_Shift!$B$2:$BJ$2,0),0),"")="",IFERROR(VLOOKUP($B30,Evening_Shift!$B$4:$BJ$62,MATCH(Both_Shift_Roster!Y$2,Evening_Shift!$B$2:$BJ$2,0),0),""),IFERROR(VLOOKUP($B30,Morning_Shift!$B$4:$BJ$61,MATCH(Both_Shift_Roster!Y$2,Morning_Shift!$B$2:$BJ$2,0),0),""))</f>
        <v>7:00-14:30</v>
      </c>
      <c r="Z30" s="2">
        <f t="shared" si="20"/>
        <v>0</v>
      </c>
      <c r="AA30" s="2">
        <f t="shared" si="21"/>
        <v>0</v>
      </c>
      <c r="AB30" s="2">
        <f t="shared" si="22"/>
        <v>0</v>
      </c>
      <c r="AC30" s="2">
        <f t="shared" si="23"/>
        <v>0</v>
      </c>
      <c r="AD30" s="2">
        <f t="shared" si="24"/>
        <v>0</v>
      </c>
      <c r="AE30" s="2" t="str">
        <f>IF(IFERROR(VLOOKUP($B30,Morning_Shift!$B$4:$BJ$61,MATCH(Both_Shift_Roster!AE$2,Morning_Shift!$B$2:$BJ$2,0),0),"")="",IFERROR(VLOOKUP($B30,Evening_Shift!$B$4:$BJ$62,MATCH(Both_Shift_Roster!AE$2,Evening_Shift!$B$2:$BJ$2,0),0),""),IFERROR(VLOOKUP($B30,Morning_Shift!$B$4:$BJ$61,MATCH(Both_Shift_Roster!AE$2,Morning_Shift!$B$2:$BJ$2,0),0),""))</f>
        <v>7:00-14:30</v>
      </c>
      <c r="AF30" s="2" t="str">
        <f>IF(IFERROR(VLOOKUP($B30,Morning_Shift!$B$4:$BJ$61,MATCH(Both_Shift_Roster!AF$2,Morning_Shift!$B$2:$BJ$2,0),0),"")="",IFERROR(VLOOKUP($B30,Evening_Shift!$B$4:$BJ$62,MATCH(Both_Shift_Roster!AF$2,Evening_Shift!$B$2:$BJ$2,0),0),""),IFERROR(VLOOKUP($B30,Morning_Shift!$B$4:$BJ$61,MATCH(Both_Shift_Roster!AF$2,Morning_Shift!$B$2:$BJ$2,0),0),""))</f>
        <v>7:00-14:30</v>
      </c>
      <c r="AG30" s="2" t="str">
        <f>IF(IFERROR(VLOOKUP($B30,Morning_Shift!$B$4:$BJ$61,MATCH(Both_Shift_Roster!AG$2,Morning_Shift!$B$2:$BJ$2,0),0),"")="",IFERROR(VLOOKUP($B30,Evening_Shift!$B$4:$BJ$62,MATCH(Both_Shift_Roster!AG$2,Evening_Shift!$B$2:$BJ$2,0),0),""),IFERROR(VLOOKUP($B30,Morning_Shift!$B$4:$BJ$61,MATCH(Both_Shift_Roster!AG$2,Morning_Shift!$B$2:$BJ$2,0),0),""))</f>
        <v>7:00-14:30</v>
      </c>
      <c r="AH30" s="2" t="str">
        <f>IF(IFERROR(VLOOKUP($B30,Morning_Shift!$B$4:$BJ$61,MATCH(Both_Shift_Roster!AH$2,Morning_Shift!$B$2:$BJ$2,0),0),"")="",IFERROR(VLOOKUP($B30,Evening_Shift!$B$4:$BJ$62,MATCH(Both_Shift_Roster!AH$2,Evening_Shift!$B$2:$BJ$2,0),0),""),IFERROR(VLOOKUP($B30,Morning_Shift!$B$4:$BJ$61,MATCH(Both_Shift_Roster!AH$2,Morning_Shift!$B$2:$BJ$2,0),0),""))</f>
        <v>7:00-14:30</v>
      </c>
      <c r="AI30" s="2" t="str">
        <f>IF(IFERROR(VLOOKUP($B30,Morning_Shift!$B$4:$BJ$61,MATCH(Both_Shift_Roster!AI$2,Morning_Shift!$B$2:$BJ$2,0),0),"")="",IFERROR(VLOOKUP($B30,Evening_Shift!$B$4:$BJ$62,MATCH(Both_Shift_Roster!AI$2,Evening_Shift!$B$2:$BJ$2,0),0),""),IFERROR(VLOOKUP($B30,Morning_Shift!$B$4:$BJ$61,MATCH(Both_Shift_Roster!AI$2,Morning_Shift!$B$2:$BJ$2,0),0),""))</f>
        <v>7:00-14:30</v>
      </c>
      <c r="AJ30" s="2" t="str">
        <f>IF(IFERROR(VLOOKUP($B30,Morning_Shift!$B$4:$BJ$61,MATCH(Both_Shift_Roster!AJ$2,Morning_Shift!$B$2:$BJ$2,0),0),"")="",IFERROR(VLOOKUP($B30,Evening_Shift!$B$4:$BJ$62,MATCH(Both_Shift_Roster!AJ$2,Evening_Shift!$B$2:$BJ$2,0),0),""),IFERROR(VLOOKUP($B30,Morning_Shift!$B$4:$BJ$61,MATCH(Both_Shift_Roster!AJ$2,Morning_Shift!$B$2:$BJ$2,0),0),""))</f>
        <v>7:00-14:30</v>
      </c>
      <c r="AK30" s="2" t="str">
        <f>IF(IFERROR(VLOOKUP($B30,Morning_Shift!$B$4:$BJ$61,MATCH(Both_Shift_Roster!AK$2,Morning_Shift!$B$2:$BJ$2,0),0),"")="",IFERROR(VLOOKUP($B30,Evening_Shift!$B$4:$BJ$62,MATCH(Both_Shift_Roster!AK$2,Evening_Shift!$B$2:$BJ$2,0),0),""),IFERROR(VLOOKUP($B30,Morning_Shift!$B$4:$BJ$61,MATCH(Both_Shift_Roster!AK$2,Morning_Shift!$B$2:$BJ$2,0),0),""))</f>
        <v>7:00-14:30</v>
      </c>
      <c r="AL30" s="2">
        <f t="shared" si="25"/>
        <v>0</v>
      </c>
      <c r="AM30" s="2">
        <f t="shared" si="26"/>
        <v>0</v>
      </c>
      <c r="AN30" s="2">
        <f t="shared" si="27"/>
        <v>0</v>
      </c>
      <c r="AO30" s="2">
        <f t="shared" si="28"/>
        <v>0</v>
      </c>
      <c r="AP30" s="2">
        <f t="shared" si="29"/>
        <v>0</v>
      </c>
      <c r="AQ30" s="2" t="str">
        <f>IF(IFERROR(VLOOKUP($B30,Morning_Shift!$B$4:$BJ$61,MATCH(Both_Shift_Roster!AQ$2,Morning_Shift!$B$2:$BJ$2,0),0),"")="",IFERROR(VLOOKUP($B30,Evening_Shift!$B$4:$BJ$62,MATCH(Both_Shift_Roster!AQ$2,Evening_Shift!$B$2:$BJ$2,0),0),""),IFERROR(VLOOKUP($B30,Morning_Shift!$B$4:$BJ$61,MATCH(Both_Shift_Roster!AQ$2,Morning_Shift!$B$2:$BJ$2,0),0),""))</f>
        <v>7:00-14:30</v>
      </c>
      <c r="AR30" s="2" t="str">
        <f>IF(IFERROR(VLOOKUP($B30,Morning_Shift!$B$4:$BJ$61,MATCH(Both_Shift_Roster!AR$2,Morning_Shift!$B$2:$BJ$2,0),0),"")="",IFERROR(VLOOKUP($B30,Evening_Shift!$B$4:$BJ$62,MATCH(Both_Shift_Roster!AR$2,Evening_Shift!$B$2:$BJ$2,0),0),""),IFERROR(VLOOKUP($B30,Morning_Shift!$B$4:$BJ$61,MATCH(Both_Shift_Roster!AR$2,Morning_Shift!$B$2:$BJ$2,0),0),""))</f>
        <v>7:00-14:30</v>
      </c>
      <c r="AS30" s="2" t="str">
        <f>IF(IFERROR(VLOOKUP($B30,Morning_Shift!$B$4:$BJ$61,MATCH(Both_Shift_Roster!AS$2,Morning_Shift!$B$2:$BJ$2,0),0),"")="",IFERROR(VLOOKUP($B30,Evening_Shift!$B$4:$BJ$62,MATCH(Both_Shift_Roster!AS$2,Evening_Shift!$B$2:$BJ$2,0),0),""),IFERROR(VLOOKUP($B30,Morning_Shift!$B$4:$BJ$61,MATCH(Both_Shift_Roster!AS$2,Morning_Shift!$B$2:$BJ$2,0),0),""))</f>
        <v>7:00-14:30</v>
      </c>
      <c r="AT30" s="2" t="str">
        <f>IF(IFERROR(VLOOKUP($B30,Morning_Shift!$B$4:$BJ$61,MATCH(Both_Shift_Roster!AT$2,Morning_Shift!$B$2:$BJ$2,0),0),"")="",IFERROR(VLOOKUP($B30,Evening_Shift!$B$4:$BJ$62,MATCH(Both_Shift_Roster!AT$2,Evening_Shift!$B$2:$BJ$2,0),0),""),IFERROR(VLOOKUP($B30,Morning_Shift!$B$4:$BJ$61,MATCH(Both_Shift_Roster!AT$2,Morning_Shift!$B$2:$BJ$2,0),0),""))</f>
        <v>7:00-14:30</v>
      </c>
      <c r="AU30" s="2" t="str">
        <f>IF(IFERROR(VLOOKUP($B30,Morning_Shift!$B$4:$BJ$61,MATCH(Both_Shift_Roster!AU$2,Morning_Shift!$B$2:$BJ$2,0),0),"")="",IFERROR(VLOOKUP($B30,Evening_Shift!$B$4:$BJ$62,MATCH(Both_Shift_Roster!AU$2,Evening_Shift!$B$2:$BJ$2,0),0),""),IFERROR(VLOOKUP($B30,Morning_Shift!$B$4:$BJ$61,MATCH(Both_Shift_Roster!AU$2,Morning_Shift!$B$2:$BJ$2,0),0),""))</f>
        <v>7:00-14:30</v>
      </c>
      <c r="AV30" s="2" t="str">
        <f>IF(IFERROR(VLOOKUP($B30,Morning_Shift!$B$4:$BJ$61,MATCH(Both_Shift_Roster!AV$2,Morning_Shift!$B$2:$BJ$2,0),0),"")="",IFERROR(VLOOKUP($B30,Evening_Shift!$B$4:$BJ$62,MATCH(Both_Shift_Roster!AV$2,Evening_Shift!$B$2:$BJ$2,0),0),""),IFERROR(VLOOKUP($B30,Morning_Shift!$B$4:$BJ$61,MATCH(Both_Shift_Roster!AV$2,Morning_Shift!$B$2:$BJ$2,0),0),""))</f>
        <v>7:00-14:30</v>
      </c>
      <c r="AW30" s="2" t="str">
        <f>IF(IFERROR(VLOOKUP($B30,Morning_Shift!$B$4:$BJ$61,MATCH(Both_Shift_Roster!AW$2,Morning_Shift!$B$2:$BJ$2,0),0),"")="",IFERROR(VLOOKUP($B30,Evening_Shift!$B$4:$BJ$62,MATCH(Both_Shift_Roster!AW$2,Evening_Shift!$B$2:$BJ$2,0),0),""),IFERROR(VLOOKUP($B30,Morning_Shift!$B$4:$BJ$61,MATCH(Both_Shift_Roster!AW$2,Morning_Shift!$B$2:$BJ$2,0),0),""))</f>
        <v>7:00-14:30</v>
      </c>
      <c r="AX30" s="2">
        <f t="shared" si="30"/>
        <v>0</v>
      </c>
      <c r="AY30" s="2">
        <f t="shared" si="31"/>
        <v>0</v>
      </c>
      <c r="AZ30" s="2">
        <f t="shared" si="32"/>
        <v>0</v>
      </c>
      <c r="BA30" s="2">
        <f t="shared" si="33"/>
        <v>0</v>
      </c>
      <c r="BB30" s="2">
        <f t="shared" si="34"/>
        <v>0</v>
      </c>
      <c r="BC30" s="2" t="str">
        <f>IF(IFERROR(VLOOKUP($B30,Morning_Shift!$B$4:$BJ$61,MATCH(Both_Shift_Roster!BC$2,Morning_Shift!$B$2:$BJ$2,0),0),"")="",IFERROR(VLOOKUP($B30,Evening_Shift!$B$4:$BJ$62,MATCH(Both_Shift_Roster!BC$2,Evening_Shift!$B$2:$BJ$2,0),0),""),IFERROR(VLOOKUP($B30,Morning_Shift!$B$4:$BJ$61,MATCH(Both_Shift_Roster!BC$2,Morning_Shift!$B$2:$BJ$2,0),0),""))</f>
        <v>7:00-14:30</v>
      </c>
      <c r="BD30" s="2" t="str">
        <f>IF(IFERROR(VLOOKUP($B30,Morning_Shift!$B$4:$BJ$61,MATCH(Both_Shift_Roster!BD$2,Morning_Shift!$B$2:$BJ$2,0),0),"")="",IFERROR(VLOOKUP($B30,Evening_Shift!$B$4:$BJ$62,MATCH(Both_Shift_Roster!BD$2,Evening_Shift!$B$2:$BJ$2,0),0),""),IFERROR(VLOOKUP($B30,Morning_Shift!$B$4:$BJ$61,MATCH(Both_Shift_Roster!BD$2,Morning_Shift!$B$2:$BJ$2,0),0),""))</f>
        <v>7:00-14:30</v>
      </c>
      <c r="BE30" s="2" t="str">
        <f>IF(IFERROR(VLOOKUP($B30,Morning_Shift!$B$4:$BJ$61,MATCH(Both_Shift_Roster!BE$2,Morning_Shift!$B$2:$BJ$2,0),0),"")="",IFERROR(VLOOKUP($B30,Evening_Shift!$B$4:$BJ$59,MATCH(Both_Shift_Roster!BE$2,Evening_Shift!$B$2:$BJ$2,0),0),""),IFERROR(VLOOKUP($B30,Morning_Shift!$B$4:$BJ$61,MATCH(Both_Shift_Roster!BE$2,Morning_Shift!$B$2:$BJ$2,0),0),""))</f>
        <v>7:00-14:30</v>
      </c>
      <c r="BF30" s="2">
        <f t="shared" si="35"/>
        <v>0</v>
      </c>
      <c r="BG30" s="2">
        <f t="shared" si="36"/>
        <v>0</v>
      </c>
      <c r="BH30" s="2">
        <f t="shared" si="37"/>
        <v>0</v>
      </c>
      <c r="BI30" s="2">
        <f t="shared" si="38"/>
        <v>0</v>
      </c>
      <c r="BJ30" s="2">
        <f t="shared" si="39"/>
        <v>0</v>
      </c>
    </row>
    <row r="31" spans="1:62">
      <c r="A31" s="17">
        <f t="shared" si="40"/>
        <v>28</v>
      </c>
      <c r="B31" s="16" t="str">
        <f>Morning_Shift!$B31</f>
        <v>Dritm77</v>
      </c>
      <c r="C31" s="21" t="str">
        <f>IF(IFERROR(VLOOKUP(B31,Morning_Shift!B:C,2,0),"")="",IFERROR(VLOOKUP(B31,Evening_Shift!B:C,2,0),""),IFERROR(VLOOKUP(B31,Morning_Shift!B:C,2,0),""))</f>
        <v>Nisha Kumari</v>
      </c>
      <c r="D31" s="15" t="str">
        <f>IF(IFERROR(VLOOKUP(B31,Morning_Shift!B:D,3,0),"")="",IFERROR(VLOOKUP(B31,Evening_Shift!B:D,3,0),""),IFERROR(VLOOKUP(B31,Morning_Shift!B:D,3,0),""))</f>
        <v>Naina</v>
      </c>
      <c r="E31" s="4" t="str">
        <f>IF(IFERROR(VLOOKUP(B31,Morning_Shift!B:E,4,0),"")="",IFERROR(VLOOKUP(B31,Evening_Shift!B:E,4,0),""),IFERROR(VLOOKUP(B31,Morning_Shift!B:E,4,0),""))</f>
        <v>F</v>
      </c>
      <c r="F31" s="5" t="str">
        <f>IF(IFERROR(VLOOKUP(B31,Morning_Shift!B:F,5,0),"")="",IFERROR(VLOOKUP(B31,Evening_Shift!B:F,5,0),""),IFERROR(VLOOKUP(B31,Morning_Shift!B:F,5,0),""))</f>
        <v>FCS</v>
      </c>
      <c r="G31" s="2" t="str">
        <f>IF(IFERROR(VLOOKUP($B31,Morning_Shift!$B$4:$BJ$61,MATCH(Both_Shift_Roster!G$2,Morning_Shift!$B$2:$BJ$2,0),0),"")="",IFERROR(VLOOKUP($B31,Evening_Shift!$B$4:$BJ$62,MATCH(Both_Shift_Roster!G$2,Evening_Shift!$B$2:$BJ$2,0),0),""),IFERROR(VLOOKUP($B31,Morning_Shift!$B$4:$BJ$61,MATCH(Both_Shift_Roster!G$2,Morning_Shift!$B$2:$BJ$2,0),0),""))</f>
        <v>10:00-17:00</v>
      </c>
      <c r="H31" s="2" t="str">
        <f>IF(IFERROR(VLOOKUP($B31,Morning_Shift!$B$4:$BJ$61,MATCH(Both_Shift_Roster!H$2,Morning_Shift!$B$2:$BJ$2,0),0),"")="",IFERROR(VLOOKUP($B31,Evening_Shift!$B$4:$BJ$62,MATCH(Both_Shift_Roster!H$2,Evening_Shift!$B$2:$BJ$2,0),0),""),IFERROR(VLOOKUP($B31,Morning_Shift!$B$4:$BJ$61,MATCH(Both_Shift_Roster!H$2,Morning_Shift!$B$2:$BJ$2,0),0),""))</f>
        <v>10:00-17:00</v>
      </c>
      <c r="I31" s="2" t="str">
        <f>IF(IFERROR(VLOOKUP($B31,Morning_Shift!$B$4:$BJ$61,MATCH(Both_Shift_Roster!I$2,Morning_Shift!$B$2:$BJ$2,0),0),"")="",IFERROR(VLOOKUP($B31,Evening_Shift!$B$4:$BJ$62,MATCH(Both_Shift_Roster!I$2,Evening_Shift!$B$2:$BJ$2,0),0),""),IFERROR(VLOOKUP($B31,Morning_Shift!$B$4:$BJ$61,MATCH(Both_Shift_Roster!I$2,Morning_Shift!$B$2:$BJ$2,0),0),""))</f>
        <v>10:00-17:00</v>
      </c>
      <c r="J31" s="2" t="str">
        <f>IF(IFERROR(VLOOKUP($B31,Morning_Shift!$B$4:$BJ$61,MATCH(Both_Shift_Roster!J$2,Morning_Shift!$B$2:$BJ$2,0),0),"")="",IFERROR(VLOOKUP($B31,Evening_Shift!$B$4:$BJ$62,MATCH(Both_Shift_Roster!J$2,Evening_Shift!$B$2:$BJ$2,0),0),""),IFERROR(VLOOKUP($B31,Morning_Shift!$B$4:$BJ$61,MATCH(Both_Shift_Roster!J$2,Morning_Shift!$B$2:$BJ$2,0),0),""))</f>
        <v>10:00-17:00</v>
      </c>
      <c r="K31" s="2" t="str">
        <f>IF(IFERROR(VLOOKUP($B31,Morning_Shift!$B$4:$BJ$61,MATCH(Both_Shift_Roster!K$2,Morning_Shift!$B$2:$BJ$2,0),0),"")="",IFERROR(VLOOKUP($B31,Evening_Shift!$B$4:$BJ$62,MATCH(Both_Shift_Roster!K$2,Evening_Shift!$B$2:$BJ$2,0),0),""),IFERROR(VLOOKUP($B31,Morning_Shift!$B$4:$BJ$61,MATCH(Both_Shift_Roster!K$2,Morning_Shift!$B$2:$BJ$2,0),0),""))</f>
        <v>10:00-17:00</v>
      </c>
      <c r="L31" s="2" t="str">
        <f>IF(IFERROR(VLOOKUP($B31,Morning_Shift!$B$4:$BJ$61,MATCH(Both_Shift_Roster!L$2,Morning_Shift!$B$2:$BJ$2,0),0),"")="",IFERROR(VLOOKUP($B31,Evening_Shift!$B$4:$BJ$62,MATCH(Both_Shift_Roster!L$2,Evening_Shift!$B$2:$BJ$2,0),0),""),IFERROR(VLOOKUP($B31,Morning_Shift!$B$4:$BJ$61,MATCH(Both_Shift_Roster!L$2,Morning_Shift!$B$2:$BJ$2,0),0),""))</f>
        <v>10:00-17:00</v>
      </c>
      <c r="M31" s="2" t="str">
        <f>IF(IFERROR(VLOOKUP($B31,Morning_Shift!$B$4:$BJ$61,MATCH(Both_Shift_Roster!M$2,Morning_Shift!$B$2:$BJ$2,0),0),"")="",IFERROR(VLOOKUP($B31,Evening_Shift!$B$4:$BJ$62,MATCH(Both_Shift_Roster!M$2,Evening_Shift!$B$2:$BJ$2,0),0),""),IFERROR(VLOOKUP($B31,Morning_Shift!$B$4:$BJ$61,MATCH(Both_Shift_Roster!M$2,Morning_Shift!$B$2:$BJ$2,0),0),""))</f>
        <v>10:00-17:00</v>
      </c>
      <c r="N31" s="2">
        <f t="shared" si="15"/>
        <v>0</v>
      </c>
      <c r="O31" s="2">
        <f t="shared" si="16"/>
        <v>0</v>
      </c>
      <c r="P31" s="2">
        <f t="shared" si="17"/>
        <v>0</v>
      </c>
      <c r="Q31" s="2">
        <f t="shared" si="18"/>
        <v>0</v>
      </c>
      <c r="R31" s="2">
        <f t="shared" si="19"/>
        <v>0</v>
      </c>
      <c r="S31" s="2" t="str">
        <f>IF(IFERROR(VLOOKUP($B31,Morning_Shift!$B$4:$BJ$61,MATCH(Both_Shift_Roster!S$2,Morning_Shift!$B$2:$BJ$2,0),0),"")="",IFERROR(VLOOKUP($B31,Evening_Shift!$B$4:$BJ$62,MATCH(Both_Shift_Roster!S$2,Evening_Shift!$B$2:$BJ$2,0),0),""),IFERROR(VLOOKUP($B31,Morning_Shift!$B$4:$BJ$61,MATCH(Both_Shift_Roster!S$2,Morning_Shift!$B$2:$BJ$2,0),0),""))</f>
        <v>10:00-17:00</v>
      </c>
      <c r="T31" s="2" t="str">
        <f>IF(IFERROR(VLOOKUP($B31,Morning_Shift!$B$4:$BJ$61,MATCH(Both_Shift_Roster!T$2,Morning_Shift!$B$2:$BJ$2,0),0),"")="",IFERROR(VLOOKUP($B31,Evening_Shift!$B$4:$BJ$62,MATCH(Both_Shift_Roster!T$2,Evening_Shift!$B$2:$BJ$2,0),0),""),IFERROR(VLOOKUP($B31,Morning_Shift!$B$4:$BJ$61,MATCH(Both_Shift_Roster!T$2,Morning_Shift!$B$2:$BJ$2,0),0),""))</f>
        <v>10:00-17:00</v>
      </c>
      <c r="U31" s="2" t="str">
        <f>IF(IFERROR(VLOOKUP($B31,Morning_Shift!$B$4:$BJ$61,MATCH(Both_Shift_Roster!U$2,Morning_Shift!$B$2:$BJ$2,0),0),"")="",IFERROR(VLOOKUP($B31,Evening_Shift!$B$4:$BJ$62,MATCH(Both_Shift_Roster!U$2,Evening_Shift!$B$2:$BJ$2,0),0),""),IFERROR(VLOOKUP($B31,Morning_Shift!$B$4:$BJ$61,MATCH(Both_Shift_Roster!U$2,Morning_Shift!$B$2:$BJ$2,0),0),""))</f>
        <v>10:00-17:00</v>
      </c>
      <c r="V31" s="2" t="str">
        <f>IF(IFERROR(VLOOKUP($B31,Morning_Shift!$B$4:$BJ$61,MATCH(Both_Shift_Roster!V$2,Morning_Shift!$B$2:$BJ$2,0),0),"")="",IFERROR(VLOOKUP($B31,Evening_Shift!$B$4:$BJ$62,MATCH(Both_Shift_Roster!V$2,Evening_Shift!$B$2:$BJ$2,0),0),""),IFERROR(VLOOKUP($B31,Morning_Shift!$B$4:$BJ$61,MATCH(Both_Shift_Roster!V$2,Morning_Shift!$B$2:$BJ$2,0),0),""))</f>
        <v>10:00-17:00</v>
      </c>
      <c r="W31" s="2" t="str">
        <f>IF(IFERROR(VLOOKUP($B31,Morning_Shift!$B$4:$BJ$61,MATCH(Both_Shift_Roster!W$2,Morning_Shift!$B$2:$BJ$2,0),0),"")="",IFERROR(VLOOKUP($B31,Evening_Shift!$B$4:$BJ$62,MATCH(Both_Shift_Roster!W$2,Evening_Shift!$B$2:$BJ$2,0),0),""),IFERROR(VLOOKUP($B31,Morning_Shift!$B$4:$BJ$61,MATCH(Both_Shift_Roster!W$2,Morning_Shift!$B$2:$BJ$2,0),0),""))</f>
        <v>10:00-17:00</v>
      </c>
      <c r="X31" s="2" t="str">
        <f>IF(IFERROR(VLOOKUP($B31,Morning_Shift!$B$4:$BJ$61,MATCH(Both_Shift_Roster!X$2,Morning_Shift!$B$2:$BJ$2,0),0),"")="",IFERROR(VLOOKUP($B31,Evening_Shift!$B$4:$BJ$62,MATCH(Both_Shift_Roster!X$2,Evening_Shift!$B$2:$BJ$2,0),0),""),IFERROR(VLOOKUP($B31,Morning_Shift!$B$4:$BJ$61,MATCH(Both_Shift_Roster!X$2,Morning_Shift!$B$2:$BJ$2,0),0),""))</f>
        <v>10:00-17:00</v>
      </c>
      <c r="Y31" s="2" t="str">
        <f>IF(IFERROR(VLOOKUP($B31,Morning_Shift!$B$4:$BJ$61,MATCH(Both_Shift_Roster!Y$2,Morning_Shift!$B$2:$BJ$2,0),0),"")="",IFERROR(VLOOKUP($B31,Evening_Shift!$B$4:$BJ$62,MATCH(Both_Shift_Roster!Y$2,Evening_Shift!$B$2:$BJ$2,0),0),""),IFERROR(VLOOKUP($B31,Morning_Shift!$B$4:$BJ$61,MATCH(Both_Shift_Roster!Y$2,Morning_Shift!$B$2:$BJ$2,0),0),""))</f>
        <v>10:00-17:00</v>
      </c>
      <c r="Z31" s="2">
        <f t="shared" si="20"/>
        <v>0</v>
      </c>
      <c r="AA31" s="2">
        <f t="shared" si="21"/>
        <v>0</v>
      </c>
      <c r="AB31" s="2">
        <f t="shared" si="22"/>
        <v>0</v>
      </c>
      <c r="AC31" s="2">
        <f t="shared" si="23"/>
        <v>0</v>
      </c>
      <c r="AD31" s="2">
        <f t="shared" si="24"/>
        <v>0</v>
      </c>
      <c r="AE31" s="2" t="str">
        <f>IF(IFERROR(VLOOKUP($B31,Morning_Shift!$B$4:$BJ$61,MATCH(Both_Shift_Roster!AE$2,Morning_Shift!$B$2:$BJ$2,0),0),"")="",IFERROR(VLOOKUP($B31,Evening_Shift!$B$4:$BJ$62,MATCH(Both_Shift_Roster!AE$2,Evening_Shift!$B$2:$BJ$2,0),0),""),IFERROR(VLOOKUP($B31,Morning_Shift!$B$4:$BJ$61,MATCH(Both_Shift_Roster!AE$2,Morning_Shift!$B$2:$BJ$2,0),0),""))</f>
        <v>10:00-17:00</v>
      </c>
      <c r="AF31" s="2" t="str">
        <f>IF(IFERROR(VLOOKUP($B31,Morning_Shift!$B$4:$BJ$61,MATCH(Both_Shift_Roster!AF$2,Morning_Shift!$B$2:$BJ$2,0),0),"")="",IFERROR(VLOOKUP($B31,Evening_Shift!$B$4:$BJ$62,MATCH(Both_Shift_Roster!AF$2,Evening_Shift!$B$2:$BJ$2,0),0),""),IFERROR(VLOOKUP($B31,Morning_Shift!$B$4:$BJ$61,MATCH(Both_Shift_Roster!AF$2,Morning_Shift!$B$2:$BJ$2,0),0),""))</f>
        <v>10:00-17:00</v>
      </c>
      <c r="AG31" s="2" t="str">
        <f>IF(IFERROR(VLOOKUP($B31,Morning_Shift!$B$4:$BJ$61,MATCH(Both_Shift_Roster!AG$2,Morning_Shift!$B$2:$BJ$2,0),0),"")="",IFERROR(VLOOKUP($B31,Evening_Shift!$B$4:$BJ$62,MATCH(Both_Shift_Roster!AG$2,Evening_Shift!$B$2:$BJ$2,0),0),""),IFERROR(VLOOKUP($B31,Morning_Shift!$B$4:$BJ$61,MATCH(Both_Shift_Roster!AG$2,Morning_Shift!$B$2:$BJ$2,0),0),""))</f>
        <v>10:00-17:00</v>
      </c>
      <c r="AH31" s="2" t="str">
        <f>IF(IFERROR(VLOOKUP($B31,Morning_Shift!$B$4:$BJ$61,MATCH(Both_Shift_Roster!AH$2,Morning_Shift!$B$2:$BJ$2,0),0),"")="",IFERROR(VLOOKUP($B31,Evening_Shift!$B$4:$BJ$62,MATCH(Both_Shift_Roster!AH$2,Evening_Shift!$B$2:$BJ$2,0),0),""),IFERROR(VLOOKUP($B31,Morning_Shift!$B$4:$BJ$61,MATCH(Both_Shift_Roster!AH$2,Morning_Shift!$B$2:$BJ$2,0),0),""))</f>
        <v>Agent Choice WO</v>
      </c>
      <c r="AI31" s="2" t="str">
        <f>IF(IFERROR(VLOOKUP($B31,Morning_Shift!$B$4:$BJ$61,MATCH(Both_Shift_Roster!AI$2,Morning_Shift!$B$2:$BJ$2,0),0),"")="",IFERROR(VLOOKUP($B31,Evening_Shift!$B$4:$BJ$62,MATCH(Both_Shift_Roster!AI$2,Evening_Shift!$B$2:$BJ$2,0),0),""),IFERROR(VLOOKUP($B31,Morning_Shift!$B$4:$BJ$61,MATCH(Both_Shift_Roster!AI$2,Morning_Shift!$B$2:$BJ$2,0),0),""))</f>
        <v>Agent Choice WO</v>
      </c>
      <c r="AJ31" s="2" t="str">
        <f>IF(IFERROR(VLOOKUP($B31,Morning_Shift!$B$4:$BJ$61,MATCH(Both_Shift_Roster!AJ$2,Morning_Shift!$B$2:$BJ$2,0),0),"")="",IFERROR(VLOOKUP($B31,Evening_Shift!$B$4:$BJ$62,MATCH(Both_Shift_Roster!AJ$2,Evening_Shift!$B$2:$BJ$2,0),0),""),IFERROR(VLOOKUP($B31,Morning_Shift!$B$4:$BJ$61,MATCH(Both_Shift_Roster!AJ$2,Morning_Shift!$B$2:$BJ$2,0),0),""))</f>
        <v>Agent Choice WO</v>
      </c>
      <c r="AK31" s="2" t="str">
        <f>IF(IFERROR(VLOOKUP($B31,Morning_Shift!$B$4:$BJ$61,MATCH(Both_Shift_Roster!AK$2,Morning_Shift!$B$2:$BJ$2,0),0),"")="",IFERROR(VLOOKUP($B31,Evening_Shift!$B$4:$BJ$62,MATCH(Both_Shift_Roster!AK$2,Evening_Shift!$B$2:$BJ$2,0),0),""),IFERROR(VLOOKUP($B31,Morning_Shift!$B$4:$BJ$61,MATCH(Both_Shift_Roster!AK$2,Morning_Shift!$B$2:$BJ$2,0),0),""))</f>
        <v>Agent Choice WO</v>
      </c>
      <c r="AL31" s="2">
        <f t="shared" si="25"/>
        <v>4</v>
      </c>
      <c r="AM31" s="2">
        <f t="shared" si="26"/>
        <v>0</v>
      </c>
      <c r="AN31" s="2">
        <f t="shared" si="27"/>
        <v>0</v>
      </c>
      <c r="AO31" s="2">
        <f t="shared" si="28"/>
        <v>0</v>
      </c>
      <c r="AP31" s="2">
        <f t="shared" si="29"/>
        <v>0</v>
      </c>
      <c r="AQ31" s="2" t="str">
        <f>IF(IFERROR(VLOOKUP($B31,Morning_Shift!$B$4:$BJ$61,MATCH(Both_Shift_Roster!AQ$2,Morning_Shift!$B$2:$BJ$2,0),0),"")="",IFERROR(VLOOKUP($B31,Evening_Shift!$B$4:$BJ$62,MATCH(Both_Shift_Roster!AQ$2,Evening_Shift!$B$2:$BJ$2,0),0),""),IFERROR(VLOOKUP($B31,Morning_Shift!$B$4:$BJ$61,MATCH(Both_Shift_Roster!AQ$2,Morning_Shift!$B$2:$BJ$2,0),0),""))</f>
        <v>CL</v>
      </c>
      <c r="AR31" s="2" t="str">
        <f>IF(IFERROR(VLOOKUP($B31,Morning_Shift!$B$4:$BJ$61,MATCH(Both_Shift_Roster!AR$2,Morning_Shift!$B$2:$BJ$2,0),0),"")="",IFERROR(VLOOKUP($B31,Evening_Shift!$B$4:$BJ$62,MATCH(Both_Shift_Roster!AR$2,Evening_Shift!$B$2:$BJ$2,0),0),""),IFERROR(VLOOKUP($B31,Morning_Shift!$B$4:$BJ$61,MATCH(Both_Shift_Roster!AR$2,Morning_Shift!$B$2:$BJ$2,0),0),""))</f>
        <v>CL</v>
      </c>
      <c r="AS31" s="2" t="str">
        <f>IF(IFERROR(VLOOKUP($B31,Morning_Shift!$B$4:$BJ$61,MATCH(Both_Shift_Roster!AS$2,Morning_Shift!$B$2:$BJ$2,0),0),"")="",IFERROR(VLOOKUP($B31,Evening_Shift!$B$4:$BJ$62,MATCH(Both_Shift_Roster!AS$2,Evening_Shift!$B$2:$BJ$2,0),0),""),IFERROR(VLOOKUP($B31,Morning_Shift!$B$4:$BJ$61,MATCH(Both_Shift_Roster!AS$2,Morning_Shift!$B$2:$BJ$2,0),0),""))</f>
        <v>10:00-17:00</v>
      </c>
      <c r="AT31" s="2" t="str">
        <f>IF(IFERROR(VLOOKUP($B31,Morning_Shift!$B$4:$BJ$61,MATCH(Both_Shift_Roster!AT$2,Morning_Shift!$B$2:$BJ$2,0),0),"")="",IFERROR(VLOOKUP($B31,Evening_Shift!$B$4:$BJ$62,MATCH(Both_Shift_Roster!AT$2,Evening_Shift!$B$2:$BJ$2,0),0),""),IFERROR(VLOOKUP($B31,Morning_Shift!$B$4:$BJ$61,MATCH(Both_Shift_Roster!AT$2,Morning_Shift!$B$2:$BJ$2,0),0),""))</f>
        <v>10:00-17:00</v>
      </c>
      <c r="AU31" s="2" t="str">
        <f>IF(IFERROR(VLOOKUP($B31,Morning_Shift!$B$4:$BJ$61,MATCH(Both_Shift_Roster!AU$2,Morning_Shift!$B$2:$BJ$2,0),0),"")="",IFERROR(VLOOKUP($B31,Evening_Shift!$B$4:$BJ$62,MATCH(Both_Shift_Roster!AU$2,Evening_Shift!$B$2:$BJ$2,0),0),""),IFERROR(VLOOKUP($B31,Morning_Shift!$B$4:$BJ$61,MATCH(Both_Shift_Roster!AU$2,Morning_Shift!$B$2:$BJ$2,0),0),""))</f>
        <v>10:00-17:00</v>
      </c>
      <c r="AV31" s="2" t="str">
        <f>IF(IFERROR(VLOOKUP($B31,Morning_Shift!$B$4:$BJ$61,MATCH(Both_Shift_Roster!AV$2,Morning_Shift!$B$2:$BJ$2,0),0),"")="",IFERROR(VLOOKUP($B31,Evening_Shift!$B$4:$BJ$62,MATCH(Both_Shift_Roster!AV$2,Evening_Shift!$B$2:$BJ$2,0),0),""),IFERROR(VLOOKUP($B31,Morning_Shift!$B$4:$BJ$61,MATCH(Both_Shift_Roster!AV$2,Morning_Shift!$B$2:$BJ$2,0),0),""))</f>
        <v>10:00-17:00</v>
      </c>
      <c r="AW31" s="2" t="str">
        <f>IF(IFERROR(VLOOKUP($B31,Morning_Shift!$B$4:$BJ$61,MATCH(Both_Shift_Roster!AW$2,Morning_Shift!$B$2:$BJ$2,0),0),"")="",IFERROR(VLOOKUP($B31,Evening_Shift!$B$4:$BJ$62,MATCH(Both_Shift_Roster!AW$2,Evening_Shift!$B$2:$BJ$2,0),0),""),IFERROR(VLOOKUP($B31,Morning_Shift!$B$4:$BJ$61,MATCH(Both_Shift_Roster!AW$2,Morning_Shift!$B$2:$BJ$2,0),0),""))</f>
        <v>10:00-17:00</v>
      </c>
      <c r="AX31" s="2">
        <f t="shared" si="30"/>
        <v>0</v>
      </c>
      <c r="AY31" s="2">
        <f t="shared" si="31"/>
        <v>0</v>
      </c>
      <c r="AZ31" s="2">
        <f t="shared" si="32"/>
        <v>2</v>
      </c>
      <c r="BA31" s="2">
        <f t="shared" si="33"/>
        <v>0</v>
      </c>
      <c r="BB31" s="2">
        <f t="shared" si="34"/>
        <v>0</v>
      </c>
      <c r="BC31" s="2" t="str">
        <f>IF(IFERROR(VLOOKUP($B31,Morning_Shift!$B$4:$BJ$61,MATCH(Both_Shift_Roster!BC$2,Morning_Shift!$B$2:$BJ$2,0),0),"")="",IFERROR(VLOOKUP($B31,Evening_Shift!$B$4:$BJ$62,MATCH(Both_Shift_Roster!BC$2,Evening_Shift!$B$2:$BJ$2,0),0),""),IFERROR(VLOOKUP($B31,Morning_Shift!$B$4:$BJ$61,MATCH(Both_Shift_Roster!BC$2,Morning_Shift!$B$2:$BJ$2,0),0),""))</f>
        <v>10:00-17:00</v>
      </c>
      <c r="BD31" s="2" t="str">
        <f>IF(IFERROR(VLOOKUP($B31,Morning_Shift!$B$4:$BJ$61,MATCH(Both_Shift_Roster!BD$2,Morning_Shift!$B$2:$BJ$2,0),0),"")="",IFERROR(VLOOKUP($B31,Evening_Shift!$B$4:$BJ$62,MATCH(Both_Shift_Roster!BD$2,Evening_Shift!$B$2:$BJ$2,0),0),""),IFERROR(VLOOKUP($B31,Morning_Shift!$B$4:$BJ$61,MATCH(Both_Shift_Roster!BD$2,Morning_Shift!$B$2:$BJ$2,0),0),""))</f>
        <v>10:00-17:00</v>
      </c>
      <c r="BE31" s="2" t="str">
        <f>IF(IFERROR(VLOOKUP($B31,Morning_Shift!$B$4:$BJ$61,MATCH(Both_Shift_Roster!BE$2,Morning_Shift!$B$2:$BJ$2,0),0),"")="",IFERROR(VLOOKUP($B31,Evening_Shift!$B$4:$BJ$59,MATCH(Both_Shift_Roster!BE$2,Evening_Shift!$B$2:$BJ$2,0),0),""),IFERROR(VLOOKUP($B31,Morning_Shift!$B$4:$BJ$61,MATCH(Both_Shift_Roster!BE$2,Morning_Shift!$B$2:$BJ$2,0),0),""))</f>
        <v>10:00-17:00</v>
      </c>
      <c r="BF31" s="2">
        <f t="shared" si="35"/>
        <v>0</v>
      </c>
      <c r="BG31" s="2">
        <f t="shared" si="36"/>
        <v>0</v>
      </c>
      <c r="BH31" s="2">
        <f t="shared" si="37"/>
        <v>0</v>
      </c>
      <c r="BI31" s="2">
        <f t="shared" si="38"/>
        <v>0</v>
      </c>
      <c r="BJ31" s="2">
        <f t="shared" si="39"/>
        <v>0</v>
      </c>
    </row>
    <row r="32" spans="1:62">
      <c r="A32" s="17">
        <f t="shared" si="40"/>
        <v>29</v>
      </c>
      <c r="B32" s="16" t="str">
        <f>Morning_Shift!$B32</f>
        <v>Dritm116</v>
      </c>
      <c r="C32" s="21" t="str">
        <f>IF(IFERROR(VLOOKUP(B32,Morning_Shift!B:C,2,0),"")="",IFERROR(VLOOKUP(B32,Evening_Shift!B:C,2,0),""),IFERROR(VLOOKUP(B32,Morning_Shift!B:C,2,0),""))</f>
        <v>Pooja  Thakur</v>
      </c>
      <c r="D32" s="15" t="str">
        <f>IF(IFERROR(VLOOKUP(B32,Morning_Shift!B:D,3,0),"")="",IFERROR(VLOOKUP(B32,Evening_Shift!B:D,3,0),""),IFERROR(VLOOKUP(B32,Morning_Shift!B:D,3,0),""))</f>
        <v>Naina</v>
      </c>
      <c r="E32" s="4" t="str">
        <f>IF(IFERROR(VLOOKUP(B32,Morning_Shift!B:E,4,0),"")="",IFERROR(VLOOKUP(B32,Evening_Shift!B:E,4,0),""),IFERROR(VLOOKUP(B32,Morning_Shift!B:E,4,0),""))</f>
        <v>F</v>
      </c>
      <c r="F32" s="5" t="str">
        <f>IF(IFERROR(VLOOKUP(B32,Morning_Shift!B:F,5,0),"")="",IFERROR(VLOOKUP(B32,Evening_Shift!B:F,5,0),""),IFERROR(VLOOKUP(B32,Morning_Shift!B:F,5,0),""))</f>
        <v>Inbound</v>
      </c>
      <c r="G32" s="2" t="str">
        <f>IF(IFERROR(VLOOKUP($B32,Morning_Shift!$B$4:$BJ$61,MATCH(Both_Shift_Roster!G$2,Morning_Shift!$B$2:$BJ$2,0),0),"")="",IFERROR(VLOOKUP($B32,Evening_Shift!$B$4:$BJ$62,MATCH(Both_Shift_Roster!G$2,Evening_Shift!$B$2:$BJ$2,0),0),""),IFERROR(VLOOKUP($B32,Morning_Shift!$B$4:$BJ$61,MATCH(Both_Shift_Roster!G$2,Morning_Shift!$B$2:$BJ$2,0),0),""))</f>
        <v>7:00-14:30</v>
      </c>
      <c r="H32" s="2" t="str">
        <f>IF(IFERROR(VLOOKUP($B32,Morning_Shift!$B$4:$BJ$61,MATCH(Both_Shift_Roster!H$2,Morning_Shift!$B$2:$BJ$2,0),0),"")="",IFERROR(VLOOKUP($B32,Evening_Shift!$B$4:$BJ$62,MATCH(Both_Shift_Roster!H$2,Evening_Shift!$B$2:$BJ$2,0),0),""),IFERROR(VLOOKUP($B32,Morning_Shift!$B$4:$BJ$61,MATCH(Both_Shift_Roster!H$2,Morning_Shift!$B$2:$BJ$2,0),0),""))</f>
        <v>7:00-14:30</v>
      </c>
      <c r="I32" s="2" t="str">
        <f>IF(IFERROR(VLOOKUP($B32,Morning_Shift!$B$4:$BJ$61,MATCH(Both_Shift_Roster!I$2,Morning_Shift!$B$2:$BJ$2,0),0),"")="",IFERROR(VLOOKUP($B32,Evening_Shift!$B$4:$BJ$62,MATCH(Both_Shift_Roster!I$2,Evening_Shift!$B$2:$BJ$2,0),0),""),IFERROR(VLOOKUP($B32,Morning_Shift!$B$4:$BJ$61,MATCH(Both_Shift_Roster!I$2,Morning_Shift!$B$2:$BJ$2,0),0),""))</f>
        <v>7:00-14:30</v>
      </c>
      <c r="J32" s="2" t="str">
        <f>IF(IFERROR(VLOOKUP($B32,Morning_Shift!$B$4:$BJ$61,MATCH(Both_Shift_Roster!J$2,Morning_Shift!$B$2:$BJ$2,0),0),"")="",IFERROR(VLOOKUP($B32,Evening_Shift!$B$4:$BJ$62,MATCH(Both_Shift_Roster!J$2,Evening_Shift!$B$2:$BJ$2,0),0),""),IFERROR(VLOOKUP($B32,Morning_Shift!$B$4:$BJ$61,MATCH(Both_Shift_Roster!J$2,Morning_Shift!$B$2:$BJ$2,0),0),""))</f>
        <v>7:00-14:30</v>
      </c>
      <c r="K32" s="2" t="str">
        <f>IF(IFERROR(VLOOKUP($B32,Morning_Shift!$B$4:$BJ$61,MATCH(Both_Shift_Roster!K$2,Morning_Shift!$B$2:$BJ$2,0),0),"")="",IFERROR(VLOOKUP($B32,Evening_Shift!$B$4:$BJ$62,MATCH(Both_Shift_Roster!K$2,Evening_Shift!$B$2:$BJ$2,0),0),""),IFERROR(VLOOKUP($B32,Morning_Shift!$B$4:$BJ$61,MATCH(Both_Shift_Roster!K$2,Morning_Shift!$B$2:$BJ$2,0),0),""))</f>
        <v>Agent Choice WO</v>
      </c>
      <c r="L32" s="2" t="str">
        <f>IF(IFERROR(VLOOKUP($B32,Morning_Shift!$B$4:$BJ$61,MATCH(Both_Shift_Roster!L$2,Morning_Shift!$B$2:$BJ$2,0),0),"")="",IFERROR(VLOOKUP($B32,Evening_Shift!$B$4:$BJ$62,MATCH(Both_Shift_Roster!L$2,Evening_Shift!$B$2:$BJ$2,0),0),""),IFERROR(VLOOKUP($B32,Morning_Shift!$B$4:$BJ$61,MATCH(Both_Shift_Roster!L$2,Morning_Shift!$B$2:$BJ$2,0),0),""))</f>
        <v>Agent Choice WO</v>
      </c>
      <c r="M32" s="2" t="str">
        <f>IF(IFERROR(VLOOKUP($B32,Morning_Shift!$B$4:$BJ$61,MATCH(Both_Shift_Roster!M$2,Morning_Shift!$B$2:$BJ$2,0),0),"")="",IFERROR(VLOOKUP($B32,Evening_Shift!$B$4:$BJ$62,MATCH(Both_Shift_Roster!M$2,Evening_Shift!$B$2:$BJ$2,0),0),""),IFERROR(VLOOKUP($B32,Morning_Shift!$B$4:$BJ$61,MATCH(Both_Shift_Roster!M$2,Morning_Shift!$B$2:$BJ$2,0),0),""))</f>
        <v>7:00-14:30</v>
      </c>
      <c r="N32" s="2">
        <f t="shared" si="15"/>
        <v>2</v>
      </c>
      <c r="O32" s="2">
        <f t="shared" si="16"/>
        <v>0</v>
      </c>
      <c r="P32" s="2">
        <f t="shared" si="17"/>
        <v>0</v>
      </c>
      <c r="Q32" s="2">
        <f t="shared" si="18"/>
        <v>0</v>
      </c>
      <c r="R32" s="2">
        <f t="shared" si="19"/>
        <v>0</v>
      </c>
      <c r="S32" s="2" t="str">
        <f>IF(IFERROR(VLOOKUP($B32,Morning_Shift!$B$4:$BJ$61,MATCH(Both_Shift_Roster!S$2,Morning_Shift!$B$2:$BJ$2,0),0),"")="",IFERROR(VLOOKUP($B32,Evening_Shift!$B$4:$BJ$62,MATCH(Both_Shift_Roster!S$2,Evening_Shift!$B$2:$BJ$2,0),0),""),IFERROR(VLOOKUP($B32,Morning_Shift!$B$4:$BJ$61,MATCH(Both_Shift_Roster!S$2,Morning_Shift!$B$2:$BJ$2,0),0),""))</f>
        <v>7:00-14:30</v>
      </c>
      <c r="T32" s="2" t="str">
        <f>IF(IFERROR(VLOOKUP($B32,Morning_Shift!$B$4:$BJ$61,MATCH(Both_Shift_Roster!T$2,Morning_Shift!$B$2:$BJ$2,0),0),"")="",IFERROR(VLOOKUP($B32,Evening_Shift!$B$4:$BJ$62,MATCH(Both_Shift_Roster!T$2,Evening_Shift!$B$2:$BJ$2,0),0),""),IFERROR(VLOOKUP($B32,Morning_Shift!$B$4:$BJ$61,MATCH(Both_Shift_Roster!T$2,Morning_Shift!$B$2:$BJ$2,0),0),""))</f>
        <v>7:00-14:30</v>
      </c>
      <c r="U32" s="2" t="str">
        <f>IF(IFERROR(VLOOKUP($B32,Morning_Shift!$B$4:$BJ$61,MATCH(Both_Shift_Roster!U$2,Morning_Shift!$B$2:$BJ$2,0),0),"")="",IFERROR(VLOOKUP($B32,Evening_Shift!$B$4:$BJ$62,MATCH(Both_Shift_Roster!U$2,Evening_Shift!$B$2:$BJ$2,0),0),""),IFERROR(VLOOKUP($B32,Morning_Shift!$B$4:$BJ$61,MATCH(Both_Shift_Roster!U$2,Morning_Shift!$B$2:$BJ$2,0),0),""))</f>
        <v>7:00-14:30</v>
      </c>
      <c r="V32" s="2" t="str">
        <f>IF(IFERROR(VLOOKUP($B32,Morning_Shift!$B$4:$BJ$61,MATCH(Both_Shift_Roster!V$2,Morning_Shift!$B$2:$BJ$2,0),0),"")="",IFERROR(VLOOKUP($B32,Evening_Shift!$B$4:$BJ$62,MATCH(Both_Shift_Roster!V$2,Evening_Shift!$B$2:$BJ$2,0),0),""),IFERROR(VLOOKUP($B32,Morning_Shift!$B$4:$BJ$61,MATCH(Both_Shift_Roster!V$2,Morning_Shift!$B$2:$BJ$2,0),0),""))</f>
        <v>7:00-14:30</v>
      </c>
      <c r="W32" s="2" t="str">
        <f>IF(IFERROR(VLOOKUP($B32,Morning_Shift!$B$4:$BJ$61,MATCH(Both_Shift_Roster!W$2,Morning_Shift!$B$2:$BJ$2,0),0),"")="",IFERROR(VLOOKUP($B32,Evening_Shift!$B$4:$BJ$62,MATCH(Both_Shift_Roster!W$2,Evening_Shift!$B$2:$BJ$2,0),0),""),IFERROR(VLOOKUP($B32,Morning_Shift!$B$4:$BJ$61,MATCH(Both_Shift_Roster!W$2,Morning_Shift!$B$2:$BJ$2,0),0),""))</f>
        <v>7:00-14:30</v>
      </c>
      <c r="X32" s="2" t="str">
        <f>IF(IFERROR(VLOOKUP($B32,Morning_Shift!$B$4:$BJ$61,MATCH(Both_Shift_Roster!X$2,Morning_Shift!$B$2:$BJ$2,0),0),"")="",IFERROR(VLOOKUP($B32,Evening_Shift!$B$4:$BJ$62,MATCH(Both_Shift_Roster!X$2,Evening_Shift!$B$2:$BJ$2,0),0),""),IFERROR(VLOOKUP($B32,Morning_Shift!$B$4:$BJ$61,MATCH(Both_Shift_Roster!X$2,Morning_Shift!$B$2:$BJ$2,0),0),""))</f>
        <v>7:00-14:30</v>
      </c>
      <c r="Y32" s="2" t="str">
        <f>IF(IFERROR(VLOOKUP($B32,Morning_Shift!$B$4:$BJ$61,MATCH(Both_Shift_Roster!Y$2,Morning_Shift!$B$2:$BJ$2,0),0),"")="",IFERROR(VLOOKUP($B32,Evening_Shift!$B$4:$BJ$62,MATCH(Both_Shift_Roster!Y$2,Evening_Shift!$B$2:$BJ$2,0),0),""),IFERROR(VLOOKUP($B32,Morning_Shift!$B$4:$BJ$61,MATCH(Both_Shift_Roster!Y$2,Morning_Shift!$B$2:$BJ$2,0),0),""))</f>
        <v>7:00-14:30</v>
      </c>
      <c r="Z32" s="2">
        <f t="shared" si="20"/>
        <v>0</v>
      </c>
      <c r="AA32" s="2">
        <f t="shared" si="21"/>
        <v>0</v>
      </c>
      <c r="AB32" s="2">
        <f t="shared" si="22"/>
        <v>0</v>
      </c>
      <c r="AC32" s="2">
        <f t="shared" si="23"/>
        <v>0</v>
      </c>
      <c r="AD32" s="2">
        <f t="shared" si="24"/>
        <v>0</v>
      </c>
      <c r="AE32" s="2" t="str">
        <f>IF(IFERROR(VLOOKUP($B32,Morning_Shift!$B$4:$BJ$61,MATCH(Both_Shift_Roster!AE$2,Morning_Shift!$B$2:$BJ$2,0),0),"")="",IFERROR(VLOOKUP($B32,Evening_Shift!$B$4:$BJ$62,MATCH(Both_Shift_Roster!AE$2,Evening_Shift!$B$2:$BJ$2,0),0),""),IFERROR(VLOOKUP($B32,Morning_Shift!$B$4:$BJ$61,MATCH(Both_Shift_Roster!AE$2,Morning_Shift!$B$2:$BJ$2,0),0),""))</f>
        <v>7:00-14:30</v>
      </c>
      <c r="AF32" s="2" t="str">
        <f>IF(IFERROR(VLOOKUP($B32,Morning_Shift!$B$4:$BJ$61,MATCH(Both_Shift_Roster!AF$2,Morning_Shift!$B$2:$BJ$2,0),0),"")="",IFERROR(VLOOKUP($B32,Evening_Shift!$B$4:$BJ$62,MATCH(Both_Shift_Roster!AF$2,Evening_Shift!$B$2:$BJ$2,0),0),""),IFERROR(VLOOKUP($B32,Morning_Shift!$B$4:$BJ$61,MATCH(Both_Shift_Roster!AF$2,Morning_Shift!$B$2:$BJ$2,0),0),""))</f>
        <v>7:00-14:30</v>
      </c>
      <c r="AG32" s="2" t="str">
        <f>IF(IFERROR(VLOOKUP($B32,Morning_Shift!$B$4:$BJ$61,MATCH(Both_Shift_Roster!AG$2,Morning_Shift!$B$2:$BJ$2,0),0),"")="",IFERROR(VLOOKUP($B32,Evening_Shift!$B$4:$BJ$62,MATCH(Both_Shift_Roster!AG$2,Evening_Shift!$B$2:$BJ$2,0),0),""),IFERROR(VLOOKUP($B32,Morning_Shift!$B$4:$BJ$61,MATCH(Both_Shift_Roster!AG$2,Morning_Shift!$B$2:$BJ$2,0),0),""))</f>
        <v>7:00-14:30</v>
      </c>
      <c r="AH32" s="2" t="str">
        <f>IF(IFERROR(VLOOKUP($B32,Morning_Shift!$B$4:$BJ$61,MATCH(Both_Shift_Roster!AH$2,Morning_Shift!$B$2:$BJ$2,0),0),"")="",IFERROR(VLOOKUP($B32,Evening_Shift!$B$4:$BJ$62,MATCH(Both_Shift_Roster!AH$2,Evening_Shift!$B$2:$BJ$2,0),0),""),IFERROR(VLOOKUP($B32,Morning_Shift!$B$4:$BJ$61,MATCH(Both_Shift_Roster!AH$2,Morning_Shift!$B$2:$BJ$2,0),0),""))</f>
        <v>7:00-14:30</v>
      </c>
      <c r="AI32" s="2" t="str">
        <f>IF(IFERROR(VLOOKUP($B32,Morning_Shift!$B$4:$BJ$61,MATCH(Both_Shift_Roster!AI$2,Morning_Shift!$B$2:$BJ$2,0),0),"")="",IFERROR(VLOOKUP($B32,Evening_Shift!$B$4:$BJ$62,MATCH(Both_Shift_Roster!AI$2,Evening_Shift!$B$2:$BJ$2,0),0),""),IFERROR(VLOOKUP($B32,Morning_Shift!$B$4:$BJ$61,MATCH(Both_Shift_Roster!AI$2,Morning_Shift!$B$2:$BJ$2,0),0),""))</f>
        <v>7:00-14:30</v>
      </c>
      <c r="AJ32" s="2" t="str">
        <f>IF(IFERROR(VLOOKUP($B32,Morning_Shift!$B$4:$BJ$61,MATCH(Both_Shift_Roster!AJ$2,Morning_Shift!$B$2:$BJ$2,0),0),"")="",IFERROR(VLOOKUP($B32,Evening_Shift!$B$4:$BJ$62,MATCH(Both_Shift_Roster!AJ$2,Evening_Shift!$B$2:$BJ$2,0),0),""),IFERROR(VLOOKUP($B32,Morning_Shift!$B$4:$BJ$61,MATCH(Both_Shift_Roster!AJ$2,Morning_Shift!$B$2:$BJ$2,0),0),""))</f>
        <v>7:00-14:30</v>
      </c>
      <c r="AK32" s="2" t="str">
        <f>IF(IFERROR(VLOOKUP($B32,Morning_Shift!$B$4:$BJ$61,MATCH(Both_Shift_Roster!AK$2,Morning_Shift!$B$2:$BJ$2,0),0),"")="",IFERROR(VLOOKUP($B32,Evening_Shift!$B$4:$BJ$62,MATCH(Both_Shift_Roster!AK$2,Evening_Shift!$B$2:$BJ$2,0),0),""),IFERROR(VLOOKUP($B32,Morning_Shift!$B$4:$BJ$61,MATCH(Both_Shift_Roster!AK$2,Morning_Shift!$B$2:$BJ$2,0),0),""))</f>
        <v>7:00-14:30</v>
      </c>
      <c r="AL32" s="2">
        <f t="shared" si="25"/>
        <v>0</v>
      </c>
      <c r="AM32" s="2">
        <f t="shared" si="26"/>
        <v>0</v>
      </c>
      <c r="AN32" s="2">
        <f t="shared" si="27"/>
        <v>0</v>
      </c>
      <c r="AO32" s="2">
        <f t="shared" si="28"/>
        <v>0</v>
      </c>
      <c r="AP32" s="2">
        <f t="shared" si="29"/>
        <v>0</v>
      </c>
      <c r="AQ32" s="2" t="str">
        <f>IF(IFERROR(VLOOKUP($B32,Morning_Shift!$B$4:$BJ$61,MATCH(Both_Shift_Roster!AQ$2,Morning_Shift!$B$2:$BJ$2,0),0),"")="",IFERROR(VLOOKUP($B32,Evening_Shift!$B$4:$BJ$62,MATCH(Both_Shift_Roster!AQ$2,Evening_Shift!$B$2:$BJ$2,0),0),""),IFERROR(VLOOKUP($B32,Morning_Shift!$B$4:$BJ$61,MATCH(Both_Shift_Roster!AQ$2,Morning_Shift!$B$2:$BJ$2,0),0),""))</f>
        <v>7:00-14:30</v>
      </c>
      <c r="AR32" s="2" t="str">
        <f>IF(IFERROR(VLOOKUP($B32,Morning_Shift!$B$4:$BJ$61,MATCH(Both_Shift_Roster!AR$2,Morning_Shift!$B$2:$BJ$2,0),0),"")="",IFERROR(VLOOKUP($B32,Evening_Shift!$B$4:$BJ$62,MATCH(Both_Shift_Roster!AR$2,Evening_Shift!$B$2:$BJ$2,0),0),""),IFERROR(VLOOKUP($B32,Morning_Shift!$B$4:$BJ$61,MATCH(Both_Shift_Roster!AR$2,Morning_Shift!$B$2:$BJ$2,0),0),""))</f>
        <v>TL Choice WO</v>
      </c>
      <c r="AS32" s="2" t="str">
        <f>IF(IFERROR(VLOOKUP($B32,Morning_Shift!$B$4:$BJ$61,MATCH(Both_Shift_Roster!AS$2,Morning_Shift!$B$2:$BJ$2,0),0),"")="",IFERROR(VLOOKUP($B32,Evening_Shift!$B$4:$BJ$62,MATCH(Both_Shift_Roster!AS$2,Evening_Shift!$B$2:$BJ$2,0),0),""),IFERROR(VLOOKUP($B32,Morning_Shift!$B$4:$BJ$61,MATCH(Both_Shift_Roster!AS$2,Morning_Shift!$B$2:$BJ$2,0),0),""))</f>
        <v>TL Choice WO</v>
      </c>
      <c r="AT32" s="2" t="str">
        <f>IF(IFERROR(VLOOKUP($B32,Morning_Shift!$B$4:$BJ$61,MATCH(Both_Shift_Roster!AT$2,Morning_Shift!$B$2:$BJ$2,0),0),"")="",IFERROR(VLOOKUP($B32,Evening_Shift!$B$4:$BJ$62,MATCH(Both_Shift_Roster!AT$2,Evening_Shift!$B$2:$BJ$2,0),0),""),IFERROR(VLOOKUP($B32,Morning_Shift!$B$4:$BJ$61,MATCH(Both_Shift_Roster!AT$2,Morning_Shift!$B$2:$BJ$2,0),0),""))</f>
        <v>7:00-14:30</v>
      </c>
      <c r="AU32" s="2" t="str">
        <f>IF(IFERROR(VLOOKUP($B32,Morning_Shift!$B$4:$BJ$61,MATCH(Both_Shift_Roster!AU$2,Morning_Shift!$B$2:$BJ$2,0),0),"")="",IFERROR(VLOOKUP($B32,Evening_Shift!$B$4:$BJ$62,MATCH(Both_Shift_Roster!AU$2,Evening_Shift!$B$2:$BJ$2,0),0),""),IFERROR(VLOOKUP($B32,Morning_Shift!$B$4:$BJ$61,MATCH(Both_Shift_Roster!AU$2,Morning_Shift!$B$2:$BJ$2,0),0),""))</f>
        <v>7:00-14:30</v>
      </c>
      <c r="AV32" s="2" t="str">
        <f>IF(IFERROR(VLOOKUP($B32,Morning_Shift!$B$4:$BJ$61,MATCH(Both_Shift_Roster!AV$2,Morning_Shift!$B$2:$BJ$2,0),0),"")="",IFERROR(VLOOKUP($B32,Evening_Shift!$B$4:$BJ$62,MATCH(Both_Shift_Roster!AV$2,Evening_Shift!$B$2:$BJ$2,0),0),""),IFERROR(VLOOKUP($B32,Morning_Shift!$B$4:$BJ$61,MATCH(Both_Shift_Roster!AV$2,Morning_Shift!$B$2:$BJ$2,0),0),""))</f>
        <v>7:00-14:30</v>
      </c>
      <c r="AW32" s="2" t="str">
        <f>IF(IFERROR(VLOOKUP($B32,Morning_Shift!$B$4:$BJ$61,MATCH(Both_Shift_Roster!AW$2,Morning_Shift!$B$2:$BJ$2,0),0),"")="",IFERROR(VLOOKUP($B32,Evening_Shift!$B$4:$BJ$62,MATCH(Both_Shift_Roster!AW$2,Evening_Shift!$B$2:$BJ$2,0),0),""),IFERROR(VLOOKUP($B32,Morning_Shift!$B$4:$BJ$61,MATCH(Both_Shift_Roster!AW$2,Morning_Shift!$B$2:$BJ$2,0),0),""))</f>
        <v>7:00-14:30</v>
      </c>
      <c r="AX32" s="2">
        <f t="shared" si="30"/>
        <v>0</v>
      </c>
      <c r="AY32" s="2">
        <f t="shared" si="31"/>
        <v>2</v>
      </c>
      <c r="AZ32" s="2">
        <f t="shared" si="32"/>
        <v>0</v>
      </c>
      <c r="BA32" s="2">
        <f t="shared" si="33"/>
        <v>0</v>
      </c>
      <c r="BB32" s="2">
        <f t="shared" si="34"/>
        <v>0</v>
      </c>
      <c r="BC32" s="2" t="str">
        <f>IF(IFERROR(VLOOKUP($B32,Morning_Shift!$B$4:$BJ$61,MATCH(Both_Shift_Roster!BC$2,Morning_Shift!$B$2:$BJ$2,0),0),"")="",IFERROR(VLOOKUP($B32,Evening_Shift!$B$4:$BJ$62,MATCH(Both_Shift_Roster!BC$2,Evening_Shift!$B$2:$BJ$2,0),0),""),IFERROR(VLOOKUP($B32,Morning_Shift!$B$4:$BJ$61,MATCH(Both_Shift_Roster!BC$2,Morning_Shift!$B$2:$BJ$2,0),0),""))</f>
        <v>7:00-14:30</v>
      </c>
      <c r="BD32" s="2" t="str">
        <f>IF(IFERROR(VLOOKUP($B32,Morning_Shift!$B$4:$BJ$61,MATCH(Both_Shift_Roster!BD$2,Morning_Shift!$B$2:$BJ$2,0),0),"")="",IFERROR(VLOOKUP($B32,Evening_Shift!$B$4:$BJ$62,MATCH(Both_Shift_Roster!BD$2,Evening_Shift!$B$2:$BJ$2,0),0),""),IFERROR(VLOOKUP($B32,Morning_Shift!$B$4:$BJ$61,MATCH(Both_Shift_Roster!BD$2,Morning_Shift!$B$2:$BJ$2,0),0),""))</f>
        <v>7:00-14:30</v>
      </c>
      <c r="BE32" s="2" t="str">
        <f>IF(IFERROR(VLOOKUP($B32,Morning_Shift!$B$4:$BJ$61,MATCH(Both_Shift_Roster!BE$2,Morning_Shift!$B$2:$BJ$2,0),0),"")="",IFERROR(VLOOKUP($B32,Evening_Shift!$B$4:$BJ$59,MATCH(Both_Shift_Roster!BE$2,Evening_Shift!$B$2:$BJ$2,0),0),""),IFERROR(VLOOKUP($B32,Morning_Shift!$B$4:$BJ$61,MATCH(Both_Shift_Roster!BE$2,Morning_Shift!$B$2:$BJ$2,0),0),""))</f>
        <v>7:00-14:30</v>
      </c>
      <c r="BF32" s="2">
        <f t="shared" si="35"/>
        <v>0</v>
      </c>
      <c r="BG32" s="2">
        <f t="shared" si="36"/>
        <v>0</v>
      </c>
      <c r="BH32" s="2">
        <f t="shared" si="37"/>
        <v>0</v>
      </c>
      <c r="BI32" s="2">
        <f t="shared" si="38"/>
        <v>0</v>
      </c>
      <c r="BJ32" s="2">
        <f t="shared" si="39"/>
        <v>0</v>
      </c>
    </row>
    <row r="33" spans="1:62">
      <c r="A33" s="17">
        <f t="shared" si="40"/>
        <v>30</v>
      </c>
      <c r="B33" s="16" t="str">
        <f>Morning_Shift!$B33</f>
        <v>Dritm10</v>
      </c>
      <c r="C33" s="21" t="str">
        <f>IF(IFERROR(VLOOKUP(B33,Morning_Shift!B:C,2,0),"")="",IFERROR(VLOOKUP(B33,Evening_Shift!B:C,2,0),""),IFERROR(VLOOKUP(B33,Morning_Shift!B:C,2,0),""))</f>
        <v>Pooja Devi</v>
      </c>
      <c r="D33" s="15" t="str">
        <f>IF(IFERROR(VLOOKUP(B33,Morning_Shift!B:D,3,0),"")="",IFERROR(VLOOKUP(B33,Evening_Shift!B:D,3,0),""),IFERROR(VLOOKUP(B33,Morning_Shift!B:D,3,0),""))</f>
        <v>Naina</v>
      </c>
      <c r="E33" s="4" t="str">
        <f>IF(IFERROR(VLOOKUP(B33,Morning_Shift!B:E,4,0),"")="",IFERROR(VLOOKUP(B33,Evening_Shift!B:E,4,0),""),IFERROR(VLOOKUP(B33,Morning_Shift!B:E,4,0),""))</f>
        <v>F</v>
      </c>
      <c r="F33" s="5" t="str">
        <f>IF(IFERROR(VLOOKUP(B33,Morning_Shift!B:F,5,0),"")="",IFERROR(VLOOKUP(B33,Evening_Shift!B:F,5,0),""),IFERROR(VLOOKUP(B33,Morning_Shift!B:F,5,0),""))</f>
        <v>Officer Helpdesk</v>
      </c>
      <c r="G33" s="2" t="str">
        <f>IF(IFERROR(VLOOKUP($B33,Morning_Shift!$B$4:$BJ$61,MATCH(Both_Shift_Roster!G$2,Morning_Shift!$B$2:$BJ$2,0),0),"")="",IFERROR(VLOOKUP($B33,Evening_Shift!$B$4:$BJ$62,MATCH(Both_Shift_Roster!G$2,Evening_Shift!$B$2:$BJ$2,0),0),""),IFERROR(VLOOKUP($B33,Morning_Shift!$B$4:$BJ$61,MATCH(Both_Shift_Roster!G$2,Morning_Shift!$B$2:$BJ$2,0),0),""))</f>
        <v>10:00-17:30</v>
      </c>
      <c r="H33" s="2" t="str">
        <f>IF(IFERROR(VLOOKUP($B33,Morning_Shift!$B$4:$BJ$61,MATCH(Both_Shift_Roster!H$2,Morning_Shift!$B$2:$BJ$2,0),0),"")="",IFERROR(VLOOKUP($B33,Evening_Shift!$B$4:$BJ$62,MATCH(Both_Shift_Roster!H$2,Evening_Shift!$B$2:$BJ$2,0),0),""),IFERROR(VLOOKUP($B33,Morning_Shift!$B$4:$BJ$61,MATCH(Both_Shift_Roster!H$2,Morning_Shift!$B$2:$BJ$2,0),0),""))</f>
        <v>10:00-17:30</v>
      </c>
      <c r="I33" s="2" t="str">
        <f>IF(IFERROR(VLOOKUP($B33,Morning_Shift!$B$4:$BJ$61,MATCH(Both_Shift_Roster!I$2,Morning_Shift!$B$2:$BJ$2,0),0),"")="",IFERROR(VLOOKUP($B33,Evening_Shift!$B$4:$BJ$62,MATCH(Both_Shift_Roster!I$2,Evening_Shift!$B$2:$BJ$2,0),0),""),IFERROR(VLOOKUP($B33,Morning_Shift!$B$4:$BJ$61,MATCH(Both_Shift_Roster!I$2,Morning_Shift!$B$2:$BJ$2,0),0),""))</f>
        <v>10:00-17:30</v>
      </c>
      <c r="J33" s="2" t="str">
        <f>IF(IFERROR(VLOOKUP($B33,Morning_Shift!$B$4:$BJ$61,MATCH(Both_Shift_Roster!J$2,Morning_Shift!$B$2:$BJ$2,0),0),"")="",IFERROR(VLOOKUP($B33,Evening_Shift!$B$4:$BJ$62,MATCH(Both_Shift_Roster!J$2,Evening_Shift!$B$2:$BJ$2,0),0),""),IFERROR(VLOOKUP($B33,Morning_Shift!$B$4:$BJ$61,MATCH(Both_Shift_Roster!J$2,Morning_Shift!$B$2:$BJ$2,0),0),""))</f>
        <v>10:00-17:30</v>
      </c>
      <c r="K33" s="2" t="str">
        <f>IF(IFERROR(VLOOKUP($B33,Morning_Shift!$B$4:$BJ$61,MATCH(Both_Shift_Roster!K$2,Morning_Shift!$B$2:$BJ$2,0),0),"")="",IFERROR(VLOOKUP($B33,Evening_Shift!$B$4:$BJ$62,MATCH(Both_Shift_Roster!K$2,Evening_Shift!$B$2:$BJ$2,0),0),""),IFERROR(VLOOKUP($B33,Morning_Shift!$B$4:$BJ$61,MATCH(Both_Shift_Roster!K$2,Morning_Shift!$B$2:$BJ$2,0),0),""))</f>
        <v>10:00-17:30</v>
      </c>
      <c r="L33" s="2" t="str">
        <f>IF(IFERROR(VLOOKUP($B33,Morning_Shift!$B$4:$BJ$61,MATCH(Both_Shift_Roster!L$2,Morning_Shift!$B$2:$BJ$2,0),0),"")="",IFERROR(VLOOKUP($B33,Evening_Shift!$B$4:$BJ$62,MATCH(Both_Shift_Roster!L$2,Evening_Shift!$B$2:$BJ$2,0),0),""),IFERROR(VLOOKUP($B33,Morning_Shift!$B$4:$BJ$61,MATCH(Both_Shift_Roster!L$2,Morning_Shift!$B$2:$BJ$2,0),0),""))</f>
        <v>Agent Choice WO</v>
      </c>
      <c r="M33" s="2" t="str">
        <f>IF(IFERROR(VLOOKUP($B33,Morning_Shift!$B$4:$BJ$61,MATCH(Both_Shift_Roster!M$2,Morning_Shift!$B$2:$BJ$2,0),0),"")="",IFERROR(VLOOKUP($B33,Evening_Shift!$B$4:$BJ$62,MATCH(Both_Shift_Roster!M$2,Evening_Shift!$B$2:$BJ$2,0),0),""),IFERROR(VLOOKUP($B33,Morning_Shift!$B$4:$BJ$61,MATCH(Both_Shift_Roster!M$2,Morning_Shift!$B$2:$BJ$2,0),0),""))</f>
        <v>10:00-17:30</v>
      </c>
      <c r="N33" s="2">
        <f t="shared" si="15"/>
        <v>1</v>
      </c>
      <c r="O33" s="2">
        <f t="shared" si="16"/>
        <v>0</v>
      </c>
      <c r="P33" s="2">
        <f t="shared" si="17"/>
        <v>0</v>
      </c>
      <c r="Q33" s="2">
        <f t="shared" si="18"/>
        <v>0</v>
      </c>
      <c r="R33" s="2">
        <f t="shared" si="19"/>
        <v>0</v>
      </c>
      <c r="S33" s="2" t="str">
        <f>IF(IFERROR(VLOOKUP($B33,Morning_Shift!$B$4:$BJ$61,MATCH(Both_Shift_Roster!S$2,Morning_Shift!$B$2:$BJ$2,0),0),"")="",IFERROR(VLOOKUP($B33,Evening_Shift!$B$4:$BJ$62,MATCH(Both_Shift_Roster!S$2,Evening_Shift!$B$2:$BJ$2,0),0),""),IFERROR(VLOOKUP($B33,Morning_Shift!$B$4:$BJ$61,MATCH(Both_Shift_Roster!S$2,Morning_Shift!$B$2:$BJ$2,0),0),""))</f>
        <v>10:00-17:30</v>
      </c>
      <c r="T33" s="2" t="str">
        <f>IF(IFERROR(VLOOKUP($B33,Morning_Shift!$B$4:$BJ$61,MATCH(Both_Shift_Roster!T$2,Morning_Shift!$B$2:$BJ$2,0),0),"")="",IFERROR(VLOOKUP($B33,Evening_Shift!$B$4:$BJ$62,MATCH(Both_Shift_Roster!T$2,Evening_Shift!$B$2:$BJ$2,0),0),""),IFERROR(VLOOKUP($B33,Morning_Shift!$B$4:$BJ$61,MATCH(Both_Shift_Roster!T$2,Morning_Shift!$B$2:$BJ$2,0),0),""))</f>
        <v>10:00-17:30</v>
      </c>
      <c r="U33" s="2" t="str">
        <f>IF(IFERROR(VLOOKUP($B33,Morning_Shift!$B$4:$BJ$61,MATCH(Both_Shift_Roster!U$2,Morning_Shift!$B$2:$BJ$2,0),0),"")="",IFERROR(VLOOKUP($B33,Evening_Shift!$B$4:$BJ$62,MATCH(Both_Shift_Roster!U$2,Evening_Shift!$B$2:$BJ$2,0),0),""),IFERROR(VLOOKUP($B33,Morning_Shift!$B$4:$BJ$61,MATCH(Both_Shift_Roster!U$2,Morning_Shift!$B$2:$BJ$2,0),0),""))</f>
        <v>10:00-17:30</v>
      </c>
      <c r="V33" s="2" t="str">
        <f>IF(IFERROR(VLOOKUP($B33,Morning_Shift!$B$4:$BJ$61,MATCH(Both_Shift_Roster!V$2,Morning_Shift!$B$2:$BJ$2,0),0),"")="",IFERROR(VLOOKUP($B33,Evening_Shift!$B$4:$BJ$62,MATCH(Both_Shift_Roster!V$2,Evening_Shift!$B$2:$BJ$2,0),0),""),IFERROR(VLOOKUP($B33,Morning_Shift!$B$4:$BJ$61,MATCH(Both_Shift_Roster!V$2,Morning_Shift!$B$2:$BJ$2,0),0),""))</f>
        <v>10:00-17:30</v>
      </c>
      <c r="W33" s="2" t="str">
        <f>IF(IFERROR(VLOOKUP($B33,Morning_Shift!$B$4:$BJ$61,MATCH(Both_Shift_Roster!W$2,Morning_Shift!$B$2:$BJ$2,0),0),"")="",IFERROR(VLOOKUP($B33,Evening_Shift!$B$4:$BJ$62,MATCH(Both_Shift_Roster!W$2,Evening_Shift!$B$2:$BJ$2,0),0),""),IFERROR(VLOOKUP($B33,Morning_Shift!$B$4:$BJ$61,MATCH(Both_Shift_Roster!W$2,Morning_Shift!$B$2:$BJ$2,0),0),""))</f>
        <v>10:00-17:30</v>
      </c>
      <c r="X33" s="2" t="str">
        <f>IF(IFERROR(VLOOKUP($B33,Morning_Shift!$B$4:$BJ$61,MATCH(Both_Shift_Roster!X$2,Morning_Shift!$B$2:$BJ$2,0),0),"")="",IFERROR(VLOOKUP($B33,Evening_Shift!$B$4:$BJ$62,MATCH(Both_Shift_Roster!X$2,Evening_Shift!$B$2:$BJ$2,0),0),""),IFERROR(VLOOKUP($B33,Morning_Shift!$B$4:$BJ$61,MATCH(Both_Shift_Roster!X$2,Morning_Shift!$B$2:$BJ$2,0),0),""))</f>
        <v>Agent Choice WO</v>
      </c>
      <c r="Y33" s="2" t="str">
        <f>IF(IFERROR(VLOOKUP($B33,Morning_Shift!$B$4:$BJ$61,MATCH(Both_Shift_Roster!Y$2,Morning_Shift!$B$2:$BJ$2,0),0),"")="",IFERROR(VLOOKUP($B33,Evening_Shift!$B$4:$BJ$62,MATCH(Both_Shift_Roster!Y$2,Evening_Shift!$B$2:$BJ$2,0),0),""),IFERROR(VLOOKUP($B33,Morning_Shift!$B$4:$BJ$61,MATCH(Both_Shift_Roster!Y$2,Morning_Shift!$B$2:$BJ$2,0),0),""))</f>
        <v>10:00-17:30</v>
      </c>
      <c r="Z33" s="2">
        <f t="shared" si="20"/>
        <v>1</v>
      </c>
      <c r="AA33" s="2">
        <f t="shared" si="21"/>
        <v>0</v>
      </c>
      <c r="AB33" s="2">
        <f t="shared" si="22"/>
        <v>0</v>
      </c>
      <c r="AC33" s="2">
        <f t="shared" si="23"/>
        <v>0</v>
      </c>
      <c r="AD33" s="2">
        <f t="shared" si="24"/>
        <v>0</v>
      </c>
      <c r="AE33" s="2" t="str">
        <f>IF(IFERROR(VLOOKUP($B33,Morning_Shift!$B$4:$BJ$61,MATCH(Both_Shift_Roster!AE$2,Morning_Shift!$B$2:$BJ$2,0),0),"")="",IFERROR(VLOOKUP($B33,Evening_Shift!$B$4:$BJ$62,MATCH(Both_Shift_Roster!AE$2,Evening_Shift!$B$2:$BJ$2,0),0),""),IFERROR(VLOOKUP($B33,Morning_Shift!$B$4:$BJ$61,MATCH(Both_Shift_Roster!AE$2,Morning_Shift!$B$2:$BJ$2,0),0),""))</f>
        <v>10:00-17:30</v>
      </c>
      <c r="AF33" s="2" t="str">
        <f>IF(IFERROR(VLOOKUP($B33,Morning_Shift!$B$4:$BJ$61,MATCH(Both_Shift_Roster!AF$2,Morning_Shift!$B$2:$BJ$2,0),0),"")="",IFERROR(VLOOKUP($B33,Evening_Shift!$B$4:$BJ$62,MATCH(Both_Shift_Roster!AF$2,Evening_Shift!$B$2:$BJ$2,0),0),""),IFERROR(VLOOKUP($B33,Morning_Shift!$B$4:$BJ$61,MATCH(Both_Shift_Roster!AF$2,Morning_Shift!$B$2:$BJ$2,0),0),""))</f>
        <v>10:00-17:30</v>
      </c>
      <c r="AG33" s="2" t="str">
        <f>IF(IFERROR(VLOOKUP($B33,Morning_Shift!$B$4:$BJ$61,MATCH(Both_Shift_Roster!AG$2,Morning_Shift!$B$2:$BJ$2,0),0),"")="",IFERROR(VLOOKUP($B33,Evening_Shift!$B$4:$BJ$62,MATCH(Both_Shift_Roster!AG$2,Evening_Shift!$B$2:$BJ$2,0),0),""),IFERROR(VLOOKUP($B33,Morning_Shift!$B$4:$BJ$61,MATCH(Both_Shift_Roster!AG$2,Morning_Shift!$B$2:$BJ$2,0),0),""))</f>
        <v>10:00-17:30</v>
      </c>
      <c r="AH33" s="2" t="str">
        <f>IF(IFERROR(VLOOKUP($B33,Morning_Shift!$B$4:$BJ$61,MATCH(Both_Shift_Roster!AH$2,Morning_Shift!$B$2:$BJ$2,0),0),"")="",IFERROR(VLOOKUP($B33,Evening_Shift!$B$4:$BJ$62,MATCH(Both_Shift_Roster!AH$2,Evening_Shift!$B$2:$BJ$2,0),0),""),IFERROR(VLOOKUP($B33,Morning_Shift!$B$4:$BJ$61,MATCH(Both_Shift_Roster!AH$2,Morning_Shift!$B$2:$BJ$2,0),0),""))</f>
        <v>10:00-17:30</v>
      </c>
      <c r="AI33" s="2" t="str">
        <f>IF(IFERROR(VLOOKUP($B33,Morning_Shift!$B$4:$BJ$61,MATCH(Both_Shift_Roster!AI$2,Morning_Shift!$B$2:$BJ$2,0),0),"")="",IFERROR(VLOOKUP($B33,Evening_Shift!$B$4:$BJ$62,MATCH(Both_Shift_Roster!AI$2,Evening_Shift!$B$2:$BJ$2,0),0),""),IFERROR(VLOOKUP($B33,Morning_Shift!$B$4:$BJ$61,MATCH(Both_Shift_Roster!AI$2,Morning_Shift!$B$2:$BJ$2,0),0),""))</f>
        <v>10:00-17:30</v>
      </c>
      <c r="AJ33" s="2" t="str">
        <f>IF(IFERROR(VLOOKUP($B33,Morning_Shift!$B$4:$BJ$61,MATCH(Both_Shift_Roster!AJ$2,Morning_Shift!$B$2:$BJ$2,0),0),"")="",IFERROR(VLOOKUP($B33,Evening_Shift!$B$4:$BJ$62,MATCH(Both_Shift_Roster!AJ$2,Evening_Shift!$B$2:$BJ$2,0),0),""),IFERROR(VLOOKUP($B33,Morning_Shift!$B$4:$BJ$61,MATCH(Both_Shift_Roster!AJ$2,Morning_Shift!$B$2:$BJ$2,0),0),""))</f>
        <v>10:00-17:30</v>
      </c>
      <c r="AK33" s="2" t="str">
        <f>IF(IFERROR(VLOOKUP($B33,Morning_Shift!$B$4:$BJ$61,MATCH(Both_Shift_Roster!AK$2,Morning_Shift!$B$2:$BJ$2,0),0),"")="",IFERROR(VLOOKUP($B33,Evening_Shift!$B$4:$BJ$62,MATCH(Both_Shift_Roster!AK$2,Evening_Shift!$B$2:$BJ$2,0),0),""),IFERROR(VLOOKUP($B33,Morning_Shift!$B$4:$BJ$61,MATCH(Both_Shift_Roster!AK$2,Morning_Shift!$B$2:$BJ$2,0),0),""))</f>
        <v>10:00-17:30</v>
      </c>
      <c r="AL33" s="2">
        <f t="shared" si="25"/>
        <v>0</v>
      </c>
      <c r="AM33" s="2">
        <f t="shared" si="26"/>
        <v>0</v>
      </c>
      <c r="AN33" s="2">
        <f t="shared" si="27"/>
        <v>0</v>
      </c>
      <c r="AO33" s="2">
        <f t="shared" si="28"/>
        <v>0</v>
      </c>
      <c r="AP33" s="2">
        <f t="shared" si="29"/>
        <v>0</v>
      </c>
      <c r="AQ33" s="2" t="str">
        <f>IF(IFERROR(VLOOKUP($B33,Morning_Shift!$B$4:$BJ$61,MATCH(Both_Shift_Roster!AQ$2,Morning_Shift!$B$2:$BJ$2,0),0),"")="",IFERROR(VLOOKUP($B33,Evening_Shift!$B$4:$BJ$62,MATCH(Both_Shift_Roster!AQ$2,Evening_Shift!$B$2:$BJ$2,0),0),""),IFERROR(VLOOKUP($B33,Morning_Shift!$B$4:$BJ$61,MATCH(Both_Shift_Roster!AQ$2,Morning_Shift!$B$2:$BJ$2,0),0),""))</f>
        <v>10:00-17:30</v>
      </c>
      <c r="AR33" s="2" t="str">
        <f>IF(IFERROR(VLOOKUP($B33,Morning_Shift!$B$4:$BJ$61,MATCH(Both_Shift_Roster!AR$2,Morning_Shift!$B$2:$BJ$2,0),0),"")="",IFERROR(VLOOKUP($B33,Evening_Shift!$B$4:$BJ$62,MATCH(Both_Shift_Roster!AR$2,Evening_Shift!$B$2:$BJ$2,0),0),""),IFERROR(VLOOKUP($B33,Morning_Shift!$B$4:$BJ$61,MATCH(Both_Shift_Roster!AR$2,Morning_Shift!$B$2:$BJ$2,0),0),""))</f>
        <v>10:00-17:30</v>
      </c>
      <c r="AS33" s="2" t="str">
        <f>IF(IFERROR(VLOOKUP($B33,Morning_Shift!$B$4:$BJ$61,MATCH(Both_Shift_Roster!AS$2,Morning_Shift!$B$2:$BJ$2,0),0),"")="",IFERROR(VLOOKUP($B33,Evening_Shift!$B$4:$BJ$62,MATCH(Both_Shift_Roster!AS$2,Evening_Shift!$B$2:$BJ$2,0),0),""),IFERROR(VLOOKUP($B33,Morning_Shift!$B$4:$BJ$61,MATCH(Both_Shift_Roster!AS$2,Morning_Shift!$B$2:$BJ$2,0),0),""))</f>
        <v>10:00-17:30</v>
      </c>
      <c r="AT33" s="2" t="str">
        <f>IF(IFERROR(VLOOKUP($B33,Morning_Shift!$B$4:$BJ$61,MATCH(Both_Shift_Roster!AT$2,Morning_Shift!$B$2:$BJ$2,0),0),"")="",IFERROR(VLOOKUP($B33,Evening_Shift!$B$4:$BJ$62,MATCH(Both_Shift_Roster!AT$2,Evening_Shift!$B$2:$BJ$2,0),0),""),IFERROR(VLOOKUP($B33,Morning_Shift!$B$4:$BJ$61,MATCH(Both_Shift_Roster!AT$2,Morning_Shift!$B$2:$BJ$2,0),0),""))</f>
        <v>Agent Choice WO</v>
      </c>
      <c r="AU33" s="2" t="str">
        <f>IF(IFERROR(VLOOKUP($B33,Morning_Shift!$B$4:$BJ$61,MATCH(Both_Shift_Roster!AU$2,Morning_Shift!$B$2:$BJ$2,0),0),"")="",IFERROR(VLOOKUP($B33,Evening_Shift!$B$4:$BJ$62,MATCH(Both_Shift_Roster!AU$2,Evening_Shift!$B$2:$BJ$2,0),0),""),IFERROR(VLOOKUP($B33,Morning_Shift!$B$4:$BJ$61,MATCH(Both_Shift_Roster!AU$2,Morning_Shift!$B$2:$BJ$2,0),0),""))</f>
        <v>Agent Choice WO</v>
      </c>
      <c r="AV33" s="2" t="str">
        <f>IF(IFERROR(VLOOKUP($B33,Morning_Shift!$B$4:$BJ$61,MATCH(Both_Shift_Roster!AV$2,Morning_Shift!$B$2:$BJ$2,0),0),"")="",IFERROR(VLOOKUP($B33,Evening_Shift!$B$4:$BJ$62,MATCH(Both_Shift_Roster!AV$2,Evening_Shift!$B$2:$BJ$2,0),0),""),IFERROR(VLOOKUP($B33,Morning_Shift!$B$4:$BJ$61,MATCH(Both_Shift_Roster!AV$2,Morning_Shift!$B$2:$BJ$2,0),0),""))</f>
        <v>Agent Choice WO</v>
      </c>
      <c r="AW33" s="2" t="str">
        <f>IF(IFERROR(VLOOKUP($B33,Morning_Shift!$B$4:$BJ$61,MATCH(Both_Shift_Roster!AW$2,Morning_Shift!$B$2:$BJ$2,0),0),"")="",IFERROR(VLOOKUP($B33,Evening_Shift!$B$4:$BJ$62,MATCH(Both_Shift_Roster!AW$2,Evening_Shift!$B$2:$BJ$2,0),0),""),IFERROR(VLOOKUP($B33,Morning_Shift!$B$4:$BJ$61,MATCH(Both_Shift_Roster!AW$2,Morning_Shift!$B$2:$BJ$2,0),0),""))</f>
        <v>10:00-17:30</v>
      </c>
      <c r="AX33" s="2">
        <f t="shared" si="30"/>
        <v>3</v>
      </c>
      <c r="AY33" s="2">
        <f t="shared" si="31"/>
        <v>0</v>
      </c>
      <c r="AZ33" s="2">
        <f t="shared" si="32"/>
        <v>0</v>
      </c>
      <c r="BA33" s="2">
        <f t="shared" si="33"/>
        <v>0</v>
      </c>
      <c r="BB33" s="2">
        <f t="shared" si="34"/>
        <v>0</v>
      </c>
      <c r="BC33" s="2" t="str">
        <f>IF(IFERROR(VLOOKUP($B33,Morning_Shift!$B$4:$BJ$61,MATCH(Both_Shift_Roster!BC$2,Morning_Shift!$B$2:$BJ$2,0),0),"")="",IFERROR(VLOOKUP($B33,Evening_Shift!$B$4:$BJ$62,MATCH(Both_Shift_Roster!BC$2,Evening_Shift!$B$2:$BJ$2,0),0),""),IFERROR(VLOOKUP($B33,Morning_Shift!$B$4:$BJ$61,MATCH(Both_Shift_Roster!BC$2,Morning_Shift!$B$2:$BJ$2,0),0),""))</f>
        <v>10:00-17:30</v>
      </c>
      <c r="BD33" s="2" t="str">
        <f>IF(IFERROR(VLOOKUP($B33,Morning_Shift!$B$4:$BJ$61,MATCH(Both_Shift_Roster!BD$2,Morning_Shift!$B$2:$BJ$2,0),0),"")="",IFERROR(VLOOKUP($B33,Evening_Shift!$B$4:$BJ$62,MATCH(Both_Shift_Roster!BD$2,Evening_Shift!$B$2:$BJ$2,0),0),""),IFERROR(VLOOKUP($B33,Morning_Shift!$B$4:$BJ$61,MATCH(Both_Shift_Roster!BD$2,Morning_Shift!$B$2:$BJ$2,0),0),""))</f>
        <v>10:00-17:30</v>
      </c>
      <c r="BE33" s="2" t="str">
        <f>IF(IFERROR(VLOOKUP($B33,Morning_Shift!$B$4:$BJ$61,MATCH(Both_Shift_Roster!BE$2,Morning_Shift!$B$2:$BJ$2,0),0),"")="",IFERROR(VLOOKUP($B33,Evening_Shift!$B$4:$BJ$59,MATCH(Both_Shift_Roster!BE$2,Evening_Shift!$B$2:$BJ$2,0),0),""),IFERROR(VLOOKUP($B33,Morning_Shift!$B$4:$BJ$61,MATCH(Both_Shift_Roster!BE$2,Morning_Shift!$B$2:$BJ$2,0),0),""))</f>
        <v>10:00-17:30</v>
      </c>
      <c r="BF33" s="2">
        <f t="shared" si="35"/>
        <v>0</v>
      </c>
      <c r="BG33" s="2">
        <f t="shared" si="36"/>
        <v>0</v>
      </c>
      <c r="BH33" s="2">
        <f t="shared" si="37"/>
        <v>0</v>
      </c>
      <c r="BI33" s="2">
        <f t="shared" si="38"/>
        <v>0</v>
      </c>
      <c r="BJ33" s="2">
        <f t="shared" si="39"/>
        <v>0</v>
      </c>
    </row>
    <row r="34" spans="1:62">
      <c r="A34" s="17">
        <f t="shared" si="40"/>
        <v>31</v>
      </c>
      <c r="B34" s="16" t="str">
        <f>Morning_Shift!$B34</f>
        <v>Dritm29</v>
      </c>
      <c r="C34" s="21" t="str">
        <f>IF(IFERROR(VLOOKUP(B34,Morning_Shift!B:C,2,0),"")="",IFERROR(VLOOKUP(B34,Evening_Shift!B:C,2,0),""),IFERROR(VLOOKUP(B34,Morning_Shift!B:C,2,0),""))</f>
        <v>Pradeep Kumar</v>
      </c>
      <c r="D34" s="15" t="str">
        <f>IF(IFERROR(VLOOKUP(B34,Morning_Shift!B:D,3,0),"")="",IFERROR(VLOOKUP(B34,Evening_Shift!B:D,3,0),""),IFERROR(VLOOKUP(B34,Morning_Shift!B:D,3,0),""))</f>
        <v>Naina</v>
      </c>
      <c r="E34" s="4" t="str">
        <f>IF(IFERROR(VLOOKUP(B34,Morning_Shift!B:E,4,0),"")="",IFERROR(VLOOKUP(B34,Evening_Shift!B:E,4,0),""),IFERROR(VLOOKUP(B34,Morning_Shift!B:E,4,0),""))</f>
        <v>M</v>
      </c>
      <c r="F34" s="5" t="str">
        <f>IF(IFERROR(VLOOKUP(B34,Morning_Shift!B:F,5,0),"")="",IFERROR(VLOOKUP(B34,Evening_Shift!B:F,5,0),""),IFERROR(VLOOKUP(B34,Morning_Shift!B:F,5,0),""))</f>
        <v>Disaster</v>
      </c>
      <c r="G34" s="2" t="str">
        <f>IF(IFERROR(VLOOKUP($B34,Morning_Shift!$B$4:$BJ$61,MATCH(Both_Shift_Roster!G$2,Morning_Shift!$B$2:$BJ$2,0),0),"")="",IFERROR(VLOOKUP($B34,Evening_Shift!$B$4:$BJ$62,MATCH(Both_Shift_Roster!G$2,Evening_Shift!$B$2:$BJ$2,0),0),""),IFERROR(VLOOKUP($B34,Morning_Shift!$B$4:$BJ$61,MATCH(Both_Shift_Roster!G$2,Morning_Shift!$B$2:$BJ$2,0),0),""))</f>
        <v>7:00-14:30</v>
      </c>
      <c r="H34" s="2" t="str">
        <f>IF(IFERROR(VLOOKUP($B34,Morning_Shift!$B$4:$BJ$61,MATCH(Both_Shift_Roster!H$2,Morning_Shift!$B$2:$BJ$2,0),0),"")="",IFERROR(VLOOKUP($B34,Evening_Shift!$B$4:$BJ$62,MATCH(Both_Shift_Roster!H$2,Evening_Shift!$B$2:$BJ$2,0),0),""),IFERROR(VLOOKUP($B34,Morning_Shift!$B$4:$BJ$61,MATCH(Both_Shift_Roster!H$2,Morning_Shift!$B$2:$BJ$2,0),0),""))</f>
        <v>7:00-14:30</v>
      </c>
      <c r="I34" s="2" t="str">
        <f>IF(IFERROR(VLOOKUP($B34,Morning_Shift!$B$4:$BJ$61,MATCH(Both_Shift_Roster!I$2,Morning_Shift!$B$2:$BJ$2,0),0),"")="",IFERROR(VLOOKUP($B34,Evening_Shift!$B$4:$BJ$62,MATCH(Both_Shift_Roster!I$2,Evening_Shift!$B$2:$BJ$2,0),0),""),IFERROR(VLOOKUP($B34,Morning_Shift!$B$4:$BJ$61,MATCH(Both_Shift_Roster!I$2,Morning_Shift!$B$2:$BJ$2,0),0),""))</f>
        <v>7:00-14:30</v>
      </c>
      <c r="J34" s="2" t="str">
        <f>IF(IFERROR(VLOOKUP($B34,Morning_Shift!$B$4:$BJ$61,MATCH(Both_Shift_Roster!J$2,Morning_Shift!$B$2:$BJ$2,0),0),"")="",IFERROR(VLOOKUP($B34,Evening_Shift!$B$4:$BJ$62,MATCH(Both_Shift_Roster!J$2,Evening_Shift!$B$2:$BJ$2,0),0),""),IFERROR(VLOOKUP($B34,Morning_Shift!$B$4:$BJ$61,MATCH(Both_Shift_Roster!J$2,Morning_Shift!$B$2:$BJ$2,0),0),""))</f>
        <v>7:00-14:30</v>
      </c>
      <c r="K34" s="2" t="str">
        <f>IF(IFERROR(VLOOKUP($B34,Morning_Shift!$B$4:$BJ$61,MATCH(Both_Shift_Roster!K$2,Morning_Shift!$B$2:$BJ$2,0),0),"")="",IFERROR(VLOOKUP($B34,Evening_Shift!$B$4:$BJ$62,MATCH(Both_Shift_Roster!K$2,Evening_Shift!$B$2:$BJ$2,0),0),""),IFERROR(VLOOKUP($B34,Morning_Shift!$B$4:$BJ$61,MATCH(Both_Shift_Roster!K$2,Morning_Shift!$B$2:$BJ$2,0),0),""))</f>
        <v>7:00-14:30</v>
      </c>
      <c r="L34" s="2" t="str">
        <f>IF(IFERROR(VLOOKUP($B34,Morning_Shift!$B$4:$BJ$61,MATCH(Both_Shift_Roster!L$2,Morning_Shift!$B$2:$BJ$2,0),0),"")="",IFERROR(VLOOKUP($B34,Evening_Shift!$B$4:$BJ$62,MATCH(Both_Shift_Roster!L$2,Evening_Shift!$B$2:$BJ$2,0),0),""),IFERROR(VLOOKUP($B34,Morning_Shift!$B$4:$BJ$61,MATCH(Both_Shift_Roster!L$2,Morning_Shift!$B$2:$BJ$2,0),0),""))</f>
        <v>7:00-14:30</v>
      </c>
      <c r="M34" s="2" t="str">
        <f>IF(IFERROR(VLOOKUP($B34,Morning_Shift!$B$4:$BJ$61,MATCH(Both_Shift_Roster!M$2,Morning_Shift!$B$2:$BJ$2,0),0),"")="",IFERROR(VLOOKUP($B34,Evening_Shift!$B$4:$BJ$62,MATCH(Both_Shift_Roster!M$2,Evening_Shift!$B$2:$BJ$2,0),0),""),IFERROR(VLOOKUP($B34,Morning_Shift!$B$4:$BJ$61,MATCH(Both_Shift_Roster!M$2,Morning_Shift!$B$2:$BJ$2,0),0),""))</f>
        <v>7:00-14:30</v>
      </c>
      <c r="N34" s="2">
        <f t="shared" si="15"/>
        <v>0</v>
      </c>
      <c r="O34" s="2">
        <f t="shared" si="16"/>
        <v>0</v>
      </c>
      <c r="P34" s="2">
        <f t="shared" si="17"/>
        <v>0</v>
      </c>
      <c r="Q34" s="2">
        <f t="shared" si="18"/>
        <v>0</v>
      </c>
      <c r="R34" s="2">
        <f t="shared" si="19"/>
        <v>0</v>
      </c>
      <c r="S34" s="2" t="str">
        <f>IF(IFERROR(VLOOKUP($B34,Morning_Shift!$B$4:$BJ$61,MATCH(Both_Shift_Roster!S$2,Morning_Shift!$B$2:$BJ$2,0),0),"")="",IFERROR(VLOOKUP($B34,Evening_Shift!$B$4:$BJ$62,MATCH(Both_Shift_Roster!S$2,Evening_Shift!$B$2:$BJ$2,0),0),""),IFERROR(VLOOKUP($B34,Morning_Shift!$B$4:$BJ$61,MATCH(Both_Shift_Roster!S$2,Morning_Shift!$B$2:$BJ$2,0),0),""))</f>
        <v>7:00-14:30</v>
      </c>
      <c r="T34" s="2" t="str">
        <f>IF(IFERROR(VLOOKUP($B34,Morning_Shift!$B$4:$BJ$61,MATCH(Both_Shift_Roster!T$2,Morning_Shift!$B$2:$BJ$2,0),0),"")="",IFERROR(VLOOKUP($B34,Evening_Shift!$B$4:$BJ$62,MATCH(Both_Shift_Roster!T$2,Evening_Shift!$B$2:$BJ$2,0),0),""),IFERROR(VLOOKUP($B34,Morning_Shift!$B$4:$BJ$61,MATCH(Both_Shift_Roster!T$2,Morning_Shift!$B$2:$BJ$2,0),0),""))</f>
        <v>7:00-14:30</v>
      </c>
      <c r="U34" s="2" t="str">
        <f>IF(IFERROR(VLOOKUP($B34,Morning_Shift!$B$4:$BJ$61,MATCH(Both_Shift_Roster!U$2,Morning_Shift!$B$2:$BJ$2,0),0),"")="",IFERROR(VLOOKUP($B34,Evening_Shift!$B$4:$BJ$62,MATCH(Both_Shift_Roster!U$2,Evening_Shift!$B$2:$BJ$2,0),0),""),IFERROR(VLOOKUP($B34,Morning_Shift!$B$4:$BJ$61,MATCH(Both_Shift_Roster!U$2,Morning_Shift!$B$2:$BJ$2,0),0),""))</f>
        <v>7:00-14:30</v>
      </c>
      <c r="V34" s="2" t="str">
        <f>IF(IFERROR(VLOOKUP($B34,Morning_Shift!$B$4:$BJ$61,MATCH(Both_Shift_Roster!V$2,Morning_Shift!$B$2:$BJ$2,0),0),"")="",IFERROR(VLOOKUP($B34,Evening_Shift!$B$4:$BJ$62,MATCH(Both_Shift_Roster!V$2,Evening_Shift!$B$2:$BJ$2,0),0),""),IFERROR(VLOOKUP($B34,Morning_Shift!$B$4:$BJ$61,MATCH(Both_Shift_Roster!V$2,Morning_Shift!$B$2:$BJ$2,0),0),""))</f>
        <v>Agent Choice WO</v>
      </c>
      <c r="W34" s="2" t="str">
        <f>IF(IFERROR(VLOOKUP($B34,Morning_Shift!$B$4:$BJ$61,MATCH(Both_Shift_Roster!W$2,Morning_Shift!$B$2:$BJ$2,0),0),"")="",IFERROR(VLOOKUP($B34,Evening_Shift!$B$4:$BJ$62,MATCH(Both_Shift_Roster!W$2,Evening_Shift!$B$2:$BJ$2,0),0),""),IFERROR(VLOOKUP($B34,Morning_Shift!$B$4:$BJ$61,MATCH(Both_Shift_Roster!W$2,Morning_Shift!$B$2:$BJ$2,0),0),""))</f>
        <v>7:00-14:30</v>
      </c>
      <c r="X34" s="2" t="str">
        <f>IF(IFERROR(VLOOKUP($B34,Morning_Shift!$B$4:$BJ$61,MATCH(Both_Shift_Roster!X$2,Morning_Shift!$B$2:$BJ$2,0),0),"")="",IFERROR(VLOOKUP($B34,Evening_Shift!$B$4:$BJ$62,MATCH(Both_Shift_Roster!X$2,Evening_Shift!$B$2:$BJ$2,0),0),""),IFERROR(VLOOKUP($B34,Morning_Shift!$B$4:$BJ$61,MATCH(Both_Shift_Roster!X$2,Morning_Shift!$B$2:$BJ$2,0),0),""))</f>
        <v>7:00-14:30</v>
      </c>
      <c r="Y34" s="2" t="str">
        <f>IF(IFERROR(VLOOKUP($B34,Morning_Shift!$B$4:$BJ$61,MATCH(Both_Shift_Roster!Y$2,Morning_Shift!$B$2:$BJ$2,0),0),"")="",IFERROR(VLOOKUP($B34,Evening_Shift!$B$4:$BJ$62,MATCH(Both_Shift_Roster!Y$2,Evening_Shift!$B$2:$BJ$2,0),0),""),IFERROR(VLOOKUP($B34,Morning_Shift!$B$4:$BJ$61,MATCH(Both_Shift_Roster!Y$2,Morning_Shift!$B$2:$BJ$2,0),0),""))</f>
        <v>7:00-14:30</v>
      </c>
      <c r="Z34" s="2">
        <f t="shared" si="20"/>
        <v>1</v>
      </c>
      <c r="AA34" s="2">
        <f t="shared" si="21"/>
        <v>0</v>
      </c>
      <c r="AB34" s="2">
        <f t="shared" si="22"/>
        <v>0</v>
      </c>
      <c r="AC34" s="2">
        <f t="shared" si="23"/>
        <v>0</v>
      </c>
      <c r="AD34" s="2">
        <f t="shared" si="24"/>
        <v>0</v>
      </c>
      <c r="AE34" s="2" t="str">
        <f>IF(IFERROR(VLOOKUP($B34,Morning_Shift!$B$4:$BJ$61,MATCH(Both_Shift_Roster!AE$2,Morning_Shift!$B$2:$BJ$2,0),0),"")="",IFERROR(VLOOKUP($B34,Evening_Shift!$B$4:$BJ$62,MATCH(Both_Shift_Roster!AE$2,Evening_Shift!$B$2:$BJ$2,0),0),""),IFERROR(VLOOKUP($B34,Morning_Shift!$B$4:$BJ$61,MATCH(Both_Shift_Roster!AE$2,Morning_Shift!$B$2:$BJ$2,0),0),""))</f>
        <v>7:00-14:30</v>
      </c>
      <c r="AF34" s="2" t="str">
        <f>IF(IFERROR(VLOOKUP($B34,Morning_Shift!$B$4:$BJ$61,MATCH(Both_Shift_Roster!AF$2,Morning_Shift!$B$2:$BJ$2,0),0),"")="",IFERROR(VLOOKUP($B34,Evening_Shift!$B$4:$BJ$62,MATCH(Both_Shift_Roster!AF$2,Evening_Shift!$B$2:$BJ$2,0),0),""),IFERROR(VLOOKUP($B34,Morning_Shift!$B$4:$BJ$61,MATCH(Both_Shift_Roster!AF$2,Morning_Shift!$B$2:$BJ$2,0),0),""))</f>
        <v>7:00-14:30</v>
      </c>
      <c r="AG34" s="2" t="str">
        <f>IF(IFERROR(VLOOKUP($B34,Morning_Shift!$B$4:$BJ$61,MATCH(Both_Shift_Roster!AG$2,Morning_Shift!$B$2:$BJ$2,0),0),"")="",IFERROR(VLOOKUP($B34,Evening_Shift!$B$4:$BJ$62,MATCH(Both_Shift_Roster!AG$2,Evening_Shift!$B$2:$BJ$2,0),0),""),IFERROR(VLOOKUP($B34,Morning_Shift!$B$4:$BJ$61,MATCH(Both_Shift_Roster!AG$2,Morning_Shift!$B$2:$BJ$2,0),0),""))</f>
        <v>7:00-14:30</v>
      </c>
      <c r="AH34" s="2" t="str">
        <f>IF(IFERROR(VLOOKUP($B34,Morning_Shift!$B$4:$BJ$61,MATCH(Both_Shift_Roster!AH$2,Morning_Shift!$B$2:$BJ$2,0),0),"")="",IFERROR(VLOOKUP($B34,Evening_Shift!$B$4:$BJ$62,MATCH(Both_Shift_Roster!AH$2,Evening_Shift!$B$2:$BJ$2,0),0),""),IFERROR(VLOOKUP($B34,Morning_Shift!$B$4:$BJ$61,MATCH(Both_Shift_Roster!AH$2,Morning_Shift!$B$2:$BJ$2,0),0),""))</f>
        <v>Agent Choice WO</v>
      </c>
      <c r="AI34" s="2" t="str">
        <f>IF(IFERROR(VLOOKUP($B34,Morning_Shift!$B$4:$BJ$61,MATCH(Both_Shift_Roster!AI$2,Morning_Shift!$B$2:$BJ$2,0),0),"")="",IFERROR(VLOOKUP($B34,Evening_Shift!$B$4:$BJ$62,MATCH(Both_Shift_Roster!AI$2,Evening_Shift!$B$2:$BJ$2,0),0),""),IFERROR(VLOOKUP($B34,Morning_Shift!$B$4:$BJ$61,MATCH(Both_Shift_Roster!AI$2,Morning_Shift!$B$2:$BJ$2,0),0),""))</f>
        <v>7:00-14:30</v>
      </c>
      <c r="AJ34" s="2" t="str">
        <f>IF(IFERROR(VLOOKUP($B34,Morning_Shift!$B$4:$BJ$61,MATCH(Both_Shift_Roster!AJ$2,Morning_Shift!$B$2:$BJ$2,0),0),"")="",IFERROR(VLOOKUP($B34,Evening_Shift!$B$4:$BJ$62,MATCH(Both_Shift_Roster!AJ$2,Evening_Shift!$B$2:$BJ$2,0),0),""),IFERROR(VLOOKUP($B34,Morning_Shift!$B$4:$BJ$61,MATCH(Both_Shift_Roster!AJ$2,Morning_Shift!$B$2:$BJ$2,0),0),""))</f>
        <v>7:00-14:30</v>
      </c>
      <c r="AK34" s="2" t="str">
        <f>IF(IFERROR(VLOOKUP($B34,Morning_Shift!$B$4:$BJ$61,MATCH(Both_Shift_Roster!AK$2,Morning_Shift!$B$2:$BJ$2,0),0),"")="",IFERROR(VLOOKUP($B34,Evening_Shift!$B$4:$BJ$62,MATCH(Both_Shift_Roster!AK$2,Evening_Shift!$B$2:$BJ$2,0),0),""),IFERROR(VLOOKUP($B34,Morning_Shift!$B$4:$BJ$61,MATCH(Both_Shift_Roster!AK$2,Morning_Shift!$B$2:$BJ$2,0),0),""))</f>
        <v>7:00-14:30</v>
      </c>
      <c r="AL34" s="2">
        <f t="shared" si="25"/>
        <v>1</v>
      </c>
      <c r="AM34" s="2">
        <f t="shared" si="26"/>
        <v>0</v>
      </c>
      <c r="AN34" s="2">
        <f t="shared" si="27"/>
        <v>0</v>
      </c>
      <c r="AO34" s="2">
        <f t="shared" si="28"/>
        <v>0</v>
      </c>
      <c r="AP34" s="2">
        <f t="shared" si="29"/>
        <v>0</v>
      </c>
      <c r="AQ34" s="2" t="str">
        <f>IF(IFERROR(VLOOKUP($B34,Morning_Shift!$B$4:$BJ$61,MATCH(Both_Shift_Roster!AQ$2,Morning_Shift!$B$2:$BJ$2,0),0),"")="",IFERROR(VLOOKUP($B34,Evening_Shift!$B$4:$BJ$62,MATCH(Both_Shift_Roster!AQ$2,Evening_Shift!$B$2:$BJ$2,0),0),""),IFERROR(VLOOKUP($B34,Morning_Shift!$B$4:$BJ$61,MATCH(Both_Shift_Roster!AQ$2,Morning_Shift!$B$2:$BJ$2,0),0),""))</f>
        <v>7:00-14:30</v>
      </c>
      <c r="AR34" s="2" t="str">
        <f>IF(IFERROR(VLOOKUP($B34,Morning_Shift!$B$4:$BJ$61,MATCH(Both_Shift_Roster!AR$2,Morning_Shift!$B$2:$BJ$2,0),0),"")="",IFERROR(VLOOKUP($B34,Evening_Shift!$B$4:$BJ$62,MATCH(Both_Shift_Roster!AR$2,Evening_Shift!$B$2:$BJ$2,0),0),""),IFERROR(VLOOKUP($B34,Morning_Shift!$B$4:$BJ$61,MATCH(Both_Shift_Roster!AR$2,Morning_Shift!$B$2:$BJ$2,0),0),""))</f>
        <v>7:00-14:30</v>
      </c>
      <c r="AS34" s="2" t="str">
        <f>IF(IFERROR(VLOOKUP($B34,Morning_Shift!$B$4:$BJ$61,MATCH(Both_Shift_Roster!AS$2,Morning_Shift!$B$2:$BJ$2,0),0),"")="",IFERROR(VLOOKUP($B34,Evening_Shift!$B$4:$BJ$62,MATCH(Both_Shift_Roster!AS$2,Evening_Shift!$B$2:$BJ$2,0),0),""),IFERROR(VLOOKUP($B34,Morning_Shift!$B$4:$BJ$61,MATCH(Both_Shift_Roster!AS$2,Morning_Shift!$B$2:$BJ$2,0),0),""))</f>
        <v>7:00-14:30</v>
      </c>
      <c r="AT34" s="2" t="str">
        <f>IF(IFERROR(VLOOKUP($B34,Morning_Shift!$B$4:$BJ$61,MATCH(Both_Shift_Roster!AT$2,Morning_Shift!$B$2:$BJ$2,0),0),"")="",IFERROR(VLOOKUP($B34,Evening_Shift!$B$4:$BJ$62,MATCH(Both_Shift_Roster!AT$2,Evening_Shift!$B$2:$BJ$2,0),0),""),IFERROR(VLOOKUP($B34,Morning_Shift!$B$4:$BJ$61,MATCH(Both_Shift_Roster!AT$2,Morning_Shift!$B$2:$BJ$2,0),0),""))</f>
        <v>Agent Choice WO</v>
      </c>
      <c r="AU34" s="2" t="str">
        <f>IF(IFERROR(VLOOKUP($B34,Morning_Shift!$B$4:$BJ$61,MATCH(Both_Shift_Roster!AU$2,Morning_Shift!$B$2:$BJ$2,0),0),"")="",IFERROR(VLOOKUP($B34,Evening_Shift!$B$4:$BJ$62,MATCH(Both_Shift_Roster!AU$2,Evening_Shift!$B$2:$BJ$2,0),0),""),IFERROR(VLOOKUP($B34,Morning_Shift!$B$4:$BJ$61,MATCH(Both_Shift_Roster!AU$2,Morning_Shift!$B$2:$BJ$2,0),0),""))</f>
        <v>7:00-14:30</v>
      </c>
      <c r="AV34" s="2" t="str">
        <f>IF(IFERROR(VLOOKUP($B34,Morning_Shift!$B$4:$BJ$61,MATCH(Both_Shift_Roster!AV$2,Morning_Shift!$B$2:$BJ$2,0),0),"")="",IFERROR(VLOOKUP($B34,Evening_Shift!$B$4:$BJ$62,MATCH(Both_Shift_Roster!AV$2,Evening_Shift!$B$2:$BJ$2,0),0),""),IFERROR(VLOOKUP($B34,Morning_Shift!$B$4:$BJ$61,MATCH(Both_Shift_Roster!AV$2,Morning_Shift!$B$2:$BJ$2,0),0),""))</f>
        <v>7:00-14:30</v>
      </c>
      <c r="AW34" s="2" t="str">
        <f>IF(IFERROR(VLOOKUP($B34,Morning_Shift!$B$4:$BJ$61,MATCH(Both_Shift_Roster!AW$2,Morning_Shift!$B$2:$BJ$2,0),0),"")="",IFERROR(VLOOKUP($B34,Evening_Shift!$B$4:$BJ$62,MATCH(Both_Shift_Roster!AW$2,Evening_Shift!$B$2:$BJ$2,0),0),""),IFERROR(VLOOKUP($B34,Morning_Shift!$B$4:$BJ$61,MATCH(Both_Shift_Roster!AW$2,Morning_Shift!$B$2:$BJ$2,0),0),""))</f>
        <v>7:00-14:30</v>
      </c>
      <c r="AX34" s="2">
        <f t="shared" si="30"/>
        <v>1</v>
      </c>
      <c r="AY34" s="2">
        <f t="shared" si="31"/>
        <v>0</v>
      </c>
      <c r="AZ34" s="2">
        <f t="shared" si="32"/>
        <v>0</v>
      </c>
      <c r="BA34" s="2">
        <f t="shared" si="33"/>
        <v>0</v>
      </c>
      <c r="BB34" s="2">
        <f t="shared" si="34"/>
        <v>0</v>
      </c>
      <c r="BC34" s="2" t="str">
        <f>IF(IFERROR(VLOOKUP($B34,Morning_Shift!$B$4:$BJ$61,MATCH(Both_Shift_Roster!BC$2,Morning_Shift!$B$2:$BJ$2,0),0),"")="",IFERROR(VLOOKUP($B34,Evening_Shift!$B$4:$BJ$62,MATCH(Both_Shift_Roster!BC$2,Evening_Shift!$B$2:$BJ$2,0),0),""),IFERROR(VLOOKUP($B34,Morning_Shift!$B$4:$BJ$61,MATCH(Both_Shift_Roster!BC$2,Morning_Shift!$B$2:$BJ$2,0),0),""))</f>
        <v>Agent Choice WO</v>
      </c>
      <c r="BD34" s="2" t="str">
        <f>IF(IFERROR(VLOOKUP($B34,Morning_Shift!$B$4:$BJ$61,MATCH(Both_Shift_Roster!BD$2,Morning_Shift!$B$2:$BJ$2,0),0),"")="",IFERROR(VLOOKUP($B34,Evening_Shift!$B$4:$BJ$62,MATCH(Both_Shift_Roster!BD$2,Evening_Shift!$B$2:$BJ$2,0),0),""),IFERROR(VLOOKUP($B34,Morning_Shift!$B$4:$BJ$61,MATCH(Both_Shift_Roster!BD$2,Morning_Shift!$B$2:$BJ$2,0),0),""))</f>
        <v>7:00-14:30</v>
      </c>
      <c r="BE34" s="2" t="str">
        <f>IF(IFERROR(VLOOKUP($B34,Morning_Shift!$B$4:$BJ$61,MATCH(Both_Shift_Roster!BE$2,Morning_Shift!$B$2:$BJ$2,0),0),"")="",IFERROR(VLOOKUP($B34,Evening_Shift!$B$4:$BJ$59,MATCH(Both_Shift_Roster!BE$2,Evening_Shift!$B$2:$BJ$2,0),0),""),IFERROR(VLOOKUP($B34,Morning_Shift!$B$4:$BJ$61,MATCH(Both_Shift_Roster!BE$2,Morning_Shift!$B$2:$BJ$2,0),0),""))</f>
        <v>7:00-14:30</v>
      </c>
      <c r="BF34" s="2">
        <f t="shared" si="35"/>
        <v>1</v>
      </c>
      <c r="BG34" s="2">
        <f t="shared" si="36"/>
        <v>0</v>
      </c>
      <c r="BH34" s="2">
        <f t="shared" si="37"/>
        <v>0</v>
      </c>
      <c r="BI34" s="2">
        <f t="shared" si="38"/>
        <v>0</v>
      </c>
      <c r="BJ34" s="2">
        <f t="shared" si="39"/>
        <v>0</v>
      </c>
    </row>
    <row r="35" spans="1:62">
      <c r="A35" s="17">
        <f t="shared" si="40"/>
        <v>32</v>
      </c>
      <c r="B35" s="16" t="str">
        <f>Morning_Shift!$B35</f>
        <v>Dritm76</v>
      </c>
      <c r="C35" s="21" t="str">
        <f>IF(IFERROR(VLOOKUP(B35,Morning_Shift!B:C,2,0),"")="",IFERROR(VLOOKUP(B35,Evening_Shift!B:C,2,0),""),IFERROR(VLOOKUP(B35,Morning_Shift!B:C,2,0),""))</f>
        <v>Preet Pal Kaur</v>
      </c>
      <c r="D35" s="15" t="str">
        <f>IF(IFERROR(VLOOKUP(B35,Morning_Shift!B:D,3,0),"")="",IFERROR(VLOOKUP(B35,Evening_Shift!B:D,3,0),""),IFERROR(VLOOKUP(B35,Morning_Shift!B:D,3,0),""))</f>
        <v>Naina</v>
      </c>
      <c r="E35" s="4" t="str">
        <f>IF(IFERROR(VLOOKUP(B35,Morning_Shift!B:E,4,0),"")="",IFERROR(VLOOKUP(B35,Evening_Shift!B:E,4,0),""),IFERROR(VLOOKUP(B35,Morning_Shift!B:E,4,0),""))</f>
        <v>F</v>
      </c>
      <c r="F35" s="5" t="str">
        <f>IF(IFERROR(VLOOKUP(B35,Morning_Shift!B:F,5,0),"")="",IFERROR(VLOOKUP(B35,Evening_Shift!B:F,5,0),""),IFERROR(VLOOKUP(B35,Morning_Shift!B:F,5,0),""))</f>
        <v>FCS</v>
      </c>
      <c r="G35" s="2" t="str">
        <f>IF(IFERROR(VLOOKUP($B35,Morning_Shift!$B$4:$BJ$61,MATCH(Both_Shift_Roster!G$2,Morning_Shift!$B$2:$BJ$2,0),0),"")="",IFERROR(VLOOKUP($B35,Evening_Shift!$B$4:$BJ$62,MATCH(Both_Shift_Roster!G$2,Evening_Shift!$B$2:$BJ$2,0),0),""),IFERROR(VLOOKUP($B35,Morning_Shift!$B$4:$BJ$61,MATCH(Both_Shift_Roster!G$2,Morning_Shift!$B$2:$BJ$2,0),0),""))</f>
        <v>10:00-17:00</v>
      </c>
      <c r="H35" s="2" t="str">
        <f>IF(IFERROR(VLOOKUP($B35,Morning_Shift!$B$4:$BJ$61,MATCH(Both_Shift_Roster!H$2,Morning_Shift!$B$2:$BJ$2,0),0),"")="",IFERROR(VLOOKUP($B35,Evening_Shift!$B$4:$BJ$62,MATCH(Both_Shift_Roster!H$2,Evening_Shift!$B$2:$BJ$2,0),0),""),IFERROR(VLOOKUP($B35,Morning_Shift!$B$4:$BJ$61,MATCH(Both_Shift_Roster!H$2,Morning_Shift!$B$2:$BJ$2,0),0),""))</f>
        <v>10:00-17:00</v>
      </c>
      <c r="I35" s="2" t="str">
        <f>IF(IFERROR(VLOOKUP($B35,Morning_Shift!$B$4:$BJ$61,MATCH(Both_Shift_Roster!I$2,Morning_Shift!$B$2:$BJ$2,0),0),"")="",IFERROR(VLOOKUP($B35,Evening_Shift!$B$4:$BJ$62,MATCH(Both_Shift_Roster!I$2,Evening_Shift!$B$2:$BJ$2,0),0),""),IFERROR(VLOOKUP($B35,Morning_Shift!$B$4:$BJ$61,MATCH(Both_Shift_Roster!I$2,Morning_Shift!$B$2:$BJ$2,0),0),""))</f>
        <v>10:00-17:00</v>
      </c>
      <c r="J35" s="2" t="str">
        <f>IF(IFERROR(VLOOKUP($B35,Morning_Shift!$B$4:$BJ$61,MATCH(Both_Shift_Roster!J$2,Morning_Shift!$B$2:$BJ$2,0),0),"")="",IFERROR(VLOOKUP($B35,Evening_Shift!$B$4:$BJ$62,MATCH(Both_Shift_Roster!J$2,Evening_Shift!$B$2:$BJ$2,0),0),""),IFERROR(VLOOKUP($B35,Morning_Shift!$B$4:$BJ$61,MATCH(Both_Shift_Roster!J$2,Morning_Shift!$B$2:$BJ$2,0),0),""))</f>
        <v>10:00-17:00</v>
      </c>
      <c r="K35" s="2" t="str">
        <f>IF(IFERROR(VLOOKUP($B35,Morning_Shift!$B$4:$BJ$61,MATCH(Both_Shift_Roster!K$2,Morning_Shift!$B$2:$BJ$2,0),0),"")="",IFERROR(VLOOKUP($B35,Evening_Shift!$B$4:$BJ$62,MATCH(Both_Shift_Roster!K$2,Evening_Shift!$B$2:$BJ$2,0),0),""),IFERROR(VLOOKUP($B35,Morning_Shift!$B$4:$BJ$61,MATCH(Both_Shift_Roster!K$2,Morning_Shift!$B$2:$BJ$2,0),0),""))</f>
        <v>10:00-17:00</v>
      </c>
      <c r="L35" s="2" t="str">
        <f>IF(IFERROR(VLOOKUP($B35,Morning_Shift!$B$4:$BJ$61,MATCH(Both_Shift_Roster!L$2,Morning_Shift!$B$2:$BJ$2,0),0),"")="",IFERROR(VLOOKUP($B35,Evening_Shift!$B$4:$BJ$62,MATCH(Both_Shift_Roster!L$2,Evening_Shift!$B$2:$BJ$2,0),0),""),IFERROR(VLOOKUP($B35,Morning_Shift!$B$4:$BJ$61,MATCH(Both_Shift_Roster!L$2,Morning_Shift!$B$2:$BJ$2,0),0),""))</f>
        <v>Agent Choice WO</v>
      </c>
      <c r="M35" s="2" t="str">
        <f>IF(IFERROR(VLOOKUP($B35,Morning_Shift!$B$4:$BJ$61,MATCH(Both_Shift_Roster!M$2,Morning_Shift!$B$2:$BJ$2,0),0),"")="",IFERROR(VLOOKUP($B35,Evening_Shift!$B$4:$BJ$62,MATCH(Both_Shift_Roster!M$2,Evening_Shift!$B$2:$BJ$2,0),0),""),IFERROR(VLOOKUP($B35,Morning_Shift!$B$4:$BJ$61,MATCH(Both_Shift_Roster!M$2,Morning_Shift!$B$2:$BJ$2,0),0),""))</f>
        <v>Agent Choice WO</v>
      </c>
      <c r="N35" s="2">
        <f t="shared" si="15"/>
        <v>2</v>
      </c>
      <c r="O35" s="2">
        <f t="shared" si="16"/>
        <v>0</v>
      </c>
      <c r="P35" s="2">
        <f t="shared" si="17"/>
        <v>0</v>
      </c>
      <c r="Q35" s="2">
        <f t="shared" si="18"/>
        <v>0</v>
      </c>
      <c r="R35" s="2">
        <f t="shared" si="19"/>
        <v>0</v>
      </c>
      <c r="S35" s="2" t="str">
        <f>IF(IFERROR(VLOOKUP($B35,Morning_Shift!$B$4:$BJ$61,MATCH(Both_Shift_Roster!S$2,Morning_Shift!$B$2:$BJ$2,0),0),"")="",IFERROR(VLOOKUP($B35,Evening_Shift!$B$4:$BJ$62,MATCH(Both_Shift_Roster!S$2,Evening_Shift!$B$2:$BJ$2,0),0),""),IFERROR(VLOOKUP($B35,Morning_Shift!$B$4:$BJ$61,MATCH(Both_Shift_Roster!S$2,Morning_Shift!$B$2:$BJ$2,0),0),""))</f>
        <v>10:00-17:00</v>
      </c>
      <c r="T35" s="2" t="str">
        <f>IF(IFERROR(VLOOKUP($B35,Morning_Shift!$B$4:$BJ$61,MATCH(Both_Shift_Roster!T$2,Morning_Shift!$B$2:$BJ$2,0),0),"")="",IFERROR(VLOOKUP($B35,Evening_Shift!$B$4:$BJ$62,MATCH(Both_Shift_Roster!T$2,Evening_Shift!$B$2:$BJ$2,0),0),""),IFERROR(VLOOKUP($B35,Morning_Shift!$B$4:$BJ$61,MATCH(Both_Shift_Roster!T$2,Morning_Shift!$B$2:$BJ$2,0),0),""))</f>
        <v>10:00-17:00</v>
      </c>
      <c r="U35" s="2" t="str">
        <f>IF(IFERROR(VLOOKUP($B35,Morning_Shift!$B$4:$BJ$61,MATCH(Both_Shift_Roster!U$2,Morning_Shift!$B$2:$BJ$2,0),0),"")="",IFERROR(VLOOKUP($B35,Evening_Shift!$B$4:$BJ$62,MATCH(Both_Shift_Roster!U$2,Evening_Shift!$B$2:$BJ$2,0),0),""),IFERROR(VLOOKUP($B35,Morning_Shift!$B$4:$BJ$61,MATCH(Both_Shift_Roster!U$2,Morning_Shift!$B$2:$BJ$2,0),0),""))</f>
        <v>10:00-17:00</v>
      </c>
      <c r="V35" s="2" t="str">
        <f>IF(IFERROR(VLOOKUP($B35,Morning_Shift!$B$4:$BJ$61,MATCH(Both_Shift_Roster!V$2,Morning_Shift!$B$2:$BJ$2,0),0),"")="",IFERROR(VLOOKUP($B35,Evening_Shift!$B$4:$BJ$62,MATCH(Both_Shift_Roster!V$2,Evening_Shift!$B$2:$BJ$2,0),0),""),IFERROR(VLOOKUP($B35,Morning_Shift!$B$4:$BJ$61,MATCH(Both_Shift_Roster!V$2,Morning_Shift!$B$2:$BJ$2,0),0),""))</f>
        <v>10:00-17:00</v>
      </c>
      <c r="W35" s="2" t="str">
        <f>IF(IFERROR(VLOOKUP($B35,Morning_Shift!$B$4:$BJ$61,MATCH(Both_Shift_Roster!W$2,Morning_Shift!$B$2:$BJ$2,0),0),"")="",IFERROR(VLOOKUP($B35,Evening_Shift!$B$4:$BJ$62,MATCH(Both_Shift_Roster!W$2,Evening_Shift!$B$2:$BJ$2,0),0),""),IFERROR(VLOOKUP($B35,Morning_Shift!$B$4:$BJ$61,MATCH(Both_Shift_Roster!W$2,Morning_Shift!$B$2:$BJ$2,0),0),""))</f>
        <v>10:00-17:00</v>
      </c>
      <c r="X35" s="2" t="str">
        <f>IF(IFERROR(VLOOKUP($B35,Morning_Shift!$B$4:$BJ$61,MATCH(Both_Shift_Roster!X$2,Morning_Shift!$B$2:$BJ$2,0),0),"")="",IFERROR(VLOOKUP($B35,Evening_Shift!$B$4:$BJ$62,MATCH(Both_Shift_Roster!X$2,Evening_Shift!$B$2:$BJ$2,0),0),""),IFERROR(VLOOKUP($B35,Morning_Shift!$B$4:$BJ$61,MATCH(Both_Shift_Roster!X$2,Morning_Shift!$B$2:$BJ$2,0),0),""))</f>
        <v>10:00-17:00</v>
      </c>
      <c r="Y35" s="2" t="str">
        <f>IF(IFERROR(VLOOKUP($B35,Morning_Shift!$B$4:$BJ$61,MATCH(Both_Shift_Roster!Y$2,Morning_Shift!$B$2:$BJ$2,0),0),"")="",IFERROR(VLOOKUP($B35,Evening_Shift!$B$4:$BJ$62,MATCH(Both_Shift_Roster!Y$2,Evening_Shift!$B$2:$BJ$2,0),0),""),IFERROR(VLOOKUP($B35,Morning_Shift!$B$4:$BJ$61,MATCH(Both_Shift_Roster!Y$2,Morning_Shift!$B$2:$BJ$2,0),0),""))</f>
        <v>10:00-17:00</v>
      </c>
      <c r="Z35" s="2">
        <f t="shared" si="20"/>
        <v>0</v>
      </c>
      <c r="AA35" s="2">
        <f t="shared" si="21"/>
        <v>0</v>
      </c>
      <c r="AB35" s="2">
        <f t="shared" si="22"/>
        <v>0</v>
      </c>
      <c r="AC35" s="2">
        <f t="shared" si="23"/>
        <v>0</v>
      </c>
      <c r="AD35" s="2">
        <f t="shared" si="24"/>
        <v>0</v>
      </c>
      <c r="AE35" s="2" t="str">
        <f>IF(IFERROR(VLOOKUP($B35,Morning_Shift!$B$4:$BJ$61,MATCH(Both_Shift_Roster!AE$2,Morning_Shift!$B$2:$BJ$2,0),0),"")="",IFERROR(VLOOKUP($B35,Evening_Shift!$B$4:$BJ$62,MATCH(Both_Shift_Roster!AE$2,Evening_Shift!$B$2:$BJ$2,0),0),""),IFERROR(VLOOKUP($B35,Morning_Shift!$B$4:$BJ$61,MATCH(Both_Shift_Roster!AE$2,Morning_Shift!$B$2:$BJ$2,0),0),""))</f>
        <v>10:00-17:00</v>
      </c>
      <c r="AF35" s="2" t="str">
        <f>IF(IFERROR(VLOOKUP($B35,Morning_Shift!$B$4:$BJ$61,MATCH(Both_Shift_Roster!AF$2,Morning_Shift!$B$2:$BJ$2,0),0),"")="",IFERROR(VLOOKUP($B35,Evening_Shift!$B$4:$BJ$62,MATCH(Both_Shift_Roster!AF$2,Evening_Shift!$B$2:$BJ$2,0),0),""),IFERROR(VLOOKUP($B35,Morning_Shift!$B$4:$BJ$61,MATCH(Both_Shift_Roster!AF$2,Morning_Shift!$B$2:$BJ$2,0),0),""))</f>
        <v>Agent Choice WO</v>
      </c>
      <c r="AG35" s="2" t="str">
        <f>IF(IFERROR(VLOOKUP($B35,Morning_Shift!$B$4:$BJ$61,MATCH(Both_Shift_Roster!AG$2,Morning_Shift!$B$2:$BJ$2,0),0),"")="",IFERROR(VLOOKUP($B35,Evening_Shift!$B$4:$BJ$62,MATCH(Both_Shift_Roster!AG$2,Evening_Shift!$B$2:$BJ$2,0),0),""),IFERROR(VLOOKUP($B35,Morning_Shift!$B$4:$BJ$61,MATCH(Both_Shift_Roster!AG$2,Morning_Shift!$B$2:$BJ$2,0),0),""))</f>
        <v>10:00-17:00</v>
      </c>
      <c r="AH35" s="2" t="str">
        <f>IF(IFERROR(VLOOKUP($B35,Morning_Shift!$B$4:$BJ$61,MATCH(Both_Shift_Roster!AH$2,Morning_Shift!$B$2:$BJ$2,0),0),"")="",IFERROR(VLOOKUP($B35,Evening_Shift!$B$4:$BJ$62,MATCH(Both_Shift_Roster!AH$2,Evening_Shift!$B$2:$BJ$2,0),0),""),IFERROR(VLOOKUP($B35,Morning_Shift!$B$4:$BJ$61,MATCH(Both_Shift_Roster!AH$2,Morning_Shift!$B$2:$BJ$2,0),0),""))</f>
        <v>10:00-17:00</v>
      </c>
      <c r="AI35" s="2" t="str">
        <f>IF(IFERROR(VLOOKUP($B35,Morning_Shift!$B$4:$BJ$61,MATCH(Both_Shift_Roster!AI$2,Morning_Shift!$B$2:$BJ$2,0),0),"")="",IFERROR(VLOOKUP($B35,Evening_Shift!$B$4:$BJ$62,MATCH(Both_Shift_Roster!AI$2,Evening_Shift!$B$2:$BJ$2,0),0),""),IFERROR(VLOOKUP($B35,Morning_Shift!$B$4:$BJ$61,MATCH(Both_Shift_Roster!AI$2,Morning_Shift!$B$2:$BJ$2,0),0),""))</f>
        <v>10:00-17:00</v>
      </c>
      <c r="AJ35" s="2" t="str">
        <f>IF(IFERROR(VLOOKUP($B35,Morning_Shift!$B$4:$BJ$61,MATCH(Both_Shift_Roster!AJ$2,Morning_Shift!$B$2:$BJ$2,0),0),"")="",IFERROR(VLOOKUP($B35,Evening_Shift!$B$4:$BJ$62,MATCH(Both_Shift_Roster!AJ$2,Evening_Shift!$B$2:$BJ$2,0),0),""),IFERROR(VLOOKUP($B35,Morning_Shift!$B$4:$BJ$61,MATCH(Both_Shift_Roster!AJ$2,Morning_Shift!$B$2:$BJ$2,0),0),""))</f>
        <v>10:00-17:00</v>
      </c>
      <c r="AK35" s="2" t="str">
        <f>IF(IFERROR(VLOOKUP($B35,Morning_Shift!$B$4:$BJ$61,MATCH(Both_Shift_Roster!AK$2,Morning_Shift!$B$2:$BJ$2,0),0),"")="",IFERROR(VLOOKUP($B35,Evening_Shift!$B$4:$BJ$62,MATCH(Both_Shift_Roster!AK$2,Evening_Shift!$B$2:$BJ$2,0),0),""),IFERROR(VLOOKUP($B35,Morning_Shift!$B$4:$BJ$61,MATCH(Both_Shift_Roster!AK$2,Morning_Shift!$B$2:$BJ$2,0),0),""))</f>
        <v>10:00-17:00</v>
      </c>
      <c r="AL35" s="2">
        <f t="shared" si="25"/>
        <v>1</v>
      </c>
      <c r="AM35" s="2">
        <f t="shared" si="26"/>
        <v>0</v>
      </c>
      <c r="AN35" s="2">
        <f t="shared" si="27"/>
        <v>0</v>
      </c>
      <c r="AO35" s="2">
        <f t="shared" si="28"/>
        <v>0</v>
      </c>
      <c r="AP35" s="2">
        <f t="shared" si="29"/>
        <v>0</v>
      </c>
      <c r="AQ35" s="2" t="str">
        <f>IF(IFERROR(VLOOKUP($B35,Morning_Shift!$B$4:$BJ$61,MATCH(Both_Shift_Roster!AQ$2,Morning_Shift!$B$2:$BJ$2,0),0),"")="",IFERROR(VLOOKUP($B35,Evening_Shift!$B$4:$BJ$62,MATCH(Both_Shift_Roster!AQ$2,Evening_Shift!$B$2:$BJ$2,0),0),""),IFERROR(VLOOKUP($B35,Morning_Shift!$B$4:$BJ$61,MATCH(Both_Shift_Roster!AQ$2,Morning_Shift!$B$2:$BJ$2,0),0),""))</f>
        <v>10:00-17:00</v>
      </c>
      <c r="AR35" s="2" t="str">
        <f>IF(IFERROR(VLOOKUP($B35,Morning_Shift!$B$4:$BJ$61,MATCH(Both_Shift_Roster!AR$2,Morning_Shift!$B$2:$BJ$2,0),0),"")="",IFERROR(VLOOKUP($B35,Evening_Shift!$B$4:$BJ$62,MATCH(Both_Shift_Roster!AR$2,Evening_Shift!$B$2:$BJ$2,0),0),""),IFERROR(VLOOKUP($B35,Morning_Shift!$B$4:$BJ$61,MATCH(Both_Shift_Roster!AR$2,Morning_Shift!$B$2:$BJ$2,0),0),""))</f>
        <v>10:00-17:00</v>
      </c>
      <c r="AS35" s="2" t="str">
        <f>IF(IFERROR(VLOOKUP($B35,Morning_Shift!$B$4:$BJ$61,MATCH(Both_Shift_Roster!AS$2,Morning_Shift!$B$2:$BJ$2,0),0),"")="",IFERROR(VLOOKUP($B35,Evening_Shift!$B$4:$BJ$62,MATCH(Both_Shift_Roster!AS$2,Evening_Shift!$B$2:$BJ$2,0),0),""),IFERROR(VLOOKUP($B35,Morning_Shift!$B$4:$BJ$61,MATCH(Both_Shift_Roster!AS$2,Morning_Shift!$B$2:$BJ$2,0),0),""))</f>
        <v>10:00-17:00</v>
      </c>
      <c r="AT35" s="2" t="str">
        <f>IF(IFERROR(VLOOKUP($B35,Morning_Shift!$B$4:$BJ$61,MATCH(Both_Shift_Roster!AT$2,Morning_Shift!$B$2:$BJ$2,0),0),"")="",IFERROR(VLOOKUP($B35,Evening_Shift!$B$4:$BJ$62,MATCH(Both_Shift_Roster!AT$2,Evening_Shift!$B$2:$BJ$2,0),0),""),IFERROR(VLOOKUP($B35,Morning_Shift!$B$4:$BJ$61,MATCH(Both_Shift_Roster!AT$2,Morning_Shift!$B$2:$BJ$2,0),0),""))</f>
        <v>10:00-17:00</v>
      </c>
      <c r="AU35" s="2" t="str">
        <f>IF(IFERROR(VLOOKUP($B35,Morning_Shift!$B$4:$BJ$61,MATCH(Both_Shift_Roster!AU$2,Morning_Shift!$B$2:$BJ$2,0),0),"")="",IFERROR(VLOOKUP($B35,Evening_Shift!$B$4:$BJ$62,MATCH(Both_Shift_Roster!AU$2,Evening_Shift!$B$2:$BJ$2,0),0),""),IFERROR(VLOOKUP($B35,Morning_Shift!$B$4:$BJ$61,MATCH(Both_Shift_Roster!AU$2,Morning_Shift!$B$2:$BJ$2,0),0),""))</f>
        <v>Agent Choice WO</v>
      </c>
      <c r="AV35" s="2" t="str">
        <f>IF(IFERROR(VLOOKUP($B35,Morning_Shift!$B$4:$BJ$61,MATCH(Both_Shift_Roster!AV$2,Morning_Shift!$B$2:$BJ$2,0),0),"")="",IFERROR(VLOOKUP($B35,Evening_Shift!$B$4:$BJ$62,MATCH(Both_Shift_Roster!AV$2,Evening_Shift!$B$2:$BJ$2,0),0),""),IFERROR(VLOOKUP($B35,Morning_Shift!$B$4:$BJ$61,MATCH(Both_Shift_Roster!AV$2,Morning_Shift!$B$2:$BJ$2,0),0),""))</f>
        <v>10:00-17:00</v>
      </c>
      <c r="AW35" s="2" t="str">
        <f>IF(IFERROR(VLOOKUP($B35,Morning_Shift!$B$4:$BJ$61,MATCH(Both_Shift_Roster!AW$2,Morning_Shift!$B$2:$BJ$2,0),0),"")="",IFERROR(VLOOKUP($B35,Evening_Shift!$B$4:$BJ$62,MATCH(Both_Shift_Roster!AW$2,Evening_Shift!$B$2:$BJ$2,0),0),""),IFERROR(VLOOKUP($B35,Morning_Shift!$B$4:$BJ$61,MATCH(Both_Shift_Roster!AW$2,Morning_Shift!$B$2:$BJ$2,0),0),""))</f>
        <v>10:00-17:00</v>
      </c>
      <c r="AX35" s="2">
        <f t="shared" si="30"/>
        <v>1</v>
      </c>
      <c r="AY35" s="2">
        <f t="shared" si="31"/>
        <v>0</v>
      </c>
      <c r="AZ35" s="2">
        <f t="shared" si="32"/>
        <v>0</v>
      </c>
      <c r="BA35" s="2">
        <f t="shared" si="33"/>
        <v>0</v>
      </c>
      <c r="BB35" s="2">
        <f t="shared" si="34"/>
        <v>0</v>
      </c>
      <c r="BC35" s="2" t="str">
        <f>IF(IFERROR(VLOOKUP($B35,Morning_Shift!$B$4:$BJ$61,MATCH(Both_Shift_Roster!BC$2,Morning_Shift!$B$2:$BJ$2,0),0),"")="",IFERROR(VLOOKUP($B35,Evening_Shift!$B$4:$BJ$62,MATCH(Both_Shift_Roster!BC$2,Evening_Shift!$B$2:$BJ$2,0),0),""),IFERROR(VLOOKUP($B35,Morning_Shift!$B$4:$BJ$61,MATCH(Both_Shift_Roster!BC$2,Morning_Shift!$B$2:$BJ$2,0),0),""))</f>
        <v>10:00-17:00</v>
      </c>
      <c r="BD35" s="2" t="str">
        <f>IF(IFERROR(VLOOKUP($B35,Morning_Shift!$B$4:$BJ$61,MATCH(Both_Shift_Roster!BD$2,Morning_Shift!$B$2:$BJ$2,0),0),"")="",IFERROR(VLOOKUP($B35,Evening_Shift!$B$4:$BJ$62,MATCH(Both_Shift_Roster!BD$2,Evening_Shift!$B$2:$BJ$2,0),0),""),IFERROR(VLOOKUP($B35,Morning_Shift!$B$4:$BJ$61,MATCH(Both_Shift_Roster!BD$2,Morning_Shift!$B$2:$BJ$2,0),0),""))</f>
        <v>10:00-17:00</v>
      </c>
      <c r="BE35" s="2" t="str">
        <f>IF(IFERROR(VLOOKUP($B35,Morning_Shift!$B$4:$BJ$61,MATCH(Both_Shift_Roster!BE$2,Morning_Shift!$B$2:$BJ$2,0),0),"")="",IFERROR(VLOOKUP($B35,Evening_Shift!$B$4:$BJ$59,MATCH(Both_Shift_Roster!BE$2,Evening_Shift!$B$2:$BJ$2,0),0),""),IFERROR(VLOOKUP($B35,Morning_Shift!$B$4:$BJ$61,MATCH(Both_Shift_Roster!BE$2,Morning_Shift!$B$2:$BJ$2,0),0),""))</f>
        <v>10:00-17:00</v>
      </c>
      <c r="BF35" s="2">
        <f t="shared" si="35"/>
        <v>0</v>
      </c>
      <c r="BG35" s="2">
        <f t="shared" si="36"/>
        <v>0</v>
      </c>
      <c r="BH35" s="2">
        <f t="shared" si="37"/>
        <v>0</v>
      </c>
      <c r="BI35" s="2">
        <f t="shared" si="38"/>
        <v>0</v>
      </c>
      <c r="BJ35" s="2">
        <f t="shared" si="39"/>
        <v>0</v>
      </c>
    </row>
    <row r="36" spans="1:62">
      <c r="A36" s="17">
        <f t="shared" si="40"/>
        <v>33</v>
      </c>
      <c r="B36" s="16" t="str">
        <f>Morning_Shift!$B36</f>
        <v>Dritm32</v>
      </c>
      <c r="C36" s="21" t="str">
        <f>IF(IFERROR(VLOOKUP(B36,Morning_Shift!B:C,2,0),"")="",IFERROR(VLOOKUP(B36,Evening_Shift!B:C,2,0),""),IFERROR(VLOOKUP(B36,Morning_Shift!B:C,2,0),""))</f>
        <v>Preeti Sharma</v>
      </c>
      <c r="D36" s="15" t="str">
        <f>IF(IFERROR(VLOOKUP(B36,Morning_Shift!B:D,3,0),"")="",IFERROR(VLOOKUP(B36,Evening_Shift!B:D,3,0),""),IFERROR(VLOOKUP(B36,Morning_Shift!B:D,3,0),""))</f>
        <v>Naina</v>
      </c>
      <c r="E36" s="4" t="str">
        <f>IF(IFERROR(VLOOKUP(B36,Morning_Shift!B:E,4,0),"")="",IFERROR(VLOOKUP(B36,Evening_Shift!B:E,4,0),""),IFERROR(VLOOKUP(B36,Morning_Shift!B:E,4,0),""))</f>
        <v>F</v>
      </c>
      <c r="F36" s="5" t="str">
        <f>IF(IFERROR(VLOOKUP(B36,Morning_Shift!B:F,5,0),"")="",IFERROR(VLOOKUP(B36,Evening_Shift!B:F,5,0),""),IFERROR(VLOOKUP(B36,Morning_Shift!B:F,5,0),""))</f>
        <v>DDTG</v>
      </c>
      <c r="G36" s="2" t="str">
        <f>IF(IFERROR(VLOOKUP($B36,Morning_Shift!$B$4:$BJ$61,MATCH(Both_Shift_Roster!G$2,Morning_Shift!$B$2:$BJ$2,0),0),"")="",IFERROR(VLOOKUP($B36,Evening_Shift!$B$4:$BJ$62,MATCH(Both_Shift_Roster!G$2,Evening_Shift!$B$2:$BJ$2,0),0),""),IFERROR(VLOOKUP($B36,Morning_Shift!$B$4:$BJ$61,MATCH(Both_Shift_Roster!G$2,Morning_Shift!$B$2:$BJ$2,0),0),""))</f>
        <v>10:00-17:00</v>
      </c>
      <c r="H36" s="2" t="str">
        <f>IF(IFERROR(VLOOKUP($B36,Morning_Shift!$B$4:$BJ$61,MATCH(Both_Shift_Roster!H$2,Morning_Shift!$B$2:$BJ$2,0),0),"")="",IFERROR(VLOOKUP($B36,Evening_Shift!$B$4:$BJ$62,MATCH(Both_Shift_Roster!H$2,Evening_Shift!$B$2:$BJ$2,0),0),""),IFERROR(VLOOKUP($B36,Morning_Shift!$B$4:$BJ$61,MATCH(Both_Shift_Roster!H$2,Morning_Shift!$B$2:$BJ$2,0),0),""))</f>
        <v>10:00-17:00</v>
      </c>
      <c r="I36" s="2" t="str">
        <f>IF(IFERROR(VLOOKUP($B36,Morning_Shift!$B$4:$BJ$61,MATCH(Both_Shift_Roster!I$2,Morning_Shift!$B$2:$BJ$2,0),0),"")="",IFERROR(VLOOKUP($B36,Evening_Shift!$B$4:$BJ$62,MATCH(Both_Shift_Roster!I$2,Evening_Shift!$B$2:$BJ$2,0),0),""),IFERROR(VLOOKUP($B36,Morning_Shift!$B$4:$BJ$61,MATCH(Both_Shift_Roster!I$2,Morning_Shift!$B$2:$BJ$2,0),0),""))</f>
        <v>10:00-17:00</v>
      </c>
      <c r="J36" s="2" t="str">
        <f>IF(IFERROR(VLOOKUP($B36,Morning_Shift!$B$4:$BJ$61,MATCH(Both_Shift_Roster!J$2,Morning_Shift!$B$2:$BJ$2,0),0),"")="",IFERROR(VLOOKUP($B36,Evening_Shift!$B$4:$BJ$62,MATCH(Both_Shift_Roster!J$2,Evening_Shift!$B$2:$BJ$2,0),0),""),IFERROR(VLOOKUP($B36,Morning_Shift!$B$4:$BJ$61,MATCH(Both_Shift_Roster!J$2,Morning_Shift!$B$2:$BJ$2,0),0),""))</f>
        <v>Agent Choice WO</v>
      </c>
      <c r="K36" s="2" t="str">
        <f>IF(IFERROR(VLOOKUP($B36,Morning_Shift!$B$4:$BJ$61,MATCH(Both_Shift_Roster!K$2,Morning_Shift!$B$2:$BJ$2,0),0),"")="",IFERROR(VLOOKUP($B36,Evening_Shift!$B$4:$BJ$62,MATCH(Both_Shift_Roster!K$2,Evening_Shift!$B$2:$BJ$2,0),0),""),IFERROR(VLOOKUP($B36,Morning_Shift!$B$4:$BJ$61,MATCH(Both_Shift_Roster!K$2,Morning_Shift!$B$2:$BJ$2,0),0),""))</f>
        <v>Agent Choice WO</v>
      </c>
      <c r="L36" s="2" t="str">
        <f>IF(IFERROR(VLOOKUP($B36,Morning_Shift!$B$4:$BJ$61,MATCH(Both_Shift_Roster!L$2,Morning_Shift!$B$2:$BJ$2,0),0),"")="",IFERROR(VLOOKUP($B36,Evening_Shift!$B$4:$BJ$62,MATCH(Both_Shift_Roster!L$2,Evening_Shift!$B$2:$BJ$2,0),0),""),IFERROR(VLOOKUP($B36,Morning_Shift!$B$4:$BJ$61,MATCH(Both_Shift_Roster!L$2,Morning_Shift!$B$2:$BJ$2,0),0),""))</f>
        <v>Agent Choice WO</v>
      </c>
      <c r="M36" s="2" t="str">
        <f>IF(IFERROR(VLOOKUP($B36,Morning_Shift!$B$4:$BJ$61,MATCH(Both_Shift_Roster!M$2,Morning_Shift!$B$2:$BJ$2,0),0),"")="",IFERROR(VLOOKUP($B36,Evening_Shift!$B$4:$BJ$62,MATCH(Both_Shift_Roster!M$2,Evening_Shift!$B$2:$BJ$2,0),0),""),IFERROR(VLOOKUP($B36,Morning_Shift!$B$4:$BJ$61,MATCH(Both_Shift_Roster!M$2,Morning_Shift!$B$2:$BJ$2,0),0),""))</f>
        <v>10:00-17:00</v>
      </c>
      <c r="N36" s="2">
        <f t="shared" si="15"/>
        <v>3</v>
      </c>
      <c r="O36" s="2">
        <f t="shared" si="16"/>
        <v>0</v>
      </c>
      <c r="P36" s="2">
        <f t="shared" si="17"/>
        <v>0</v>
      </c>
      <c r="Q36" s="2">
        <f t="shared" si="18"/>
        <v>0</v>
      </c>
      <c r="R36" s="2">
        <f t="shared" si="19"/>
        <v>0</v>
      </c>
      <c r="S36" s="2" t="str">
        <f>IF(IFERROR(VLOOKUP($B36,Morning_Shift!$B$4:$BJ$61,MATCH(Both_Shift_Roster!S$2,Morning_Shift!$B$2:$BJ$2,0),0),"")="",IFERROR(VLOOKUP($B36,Evening_Shift!$B$4:$BJ$62,MATCH(Both_Shift_Roster!S$2,Evening_Shift!$B$2:$BJ$2,0),0),""),IFERROR(VLOOKUP($B36,Morning_Shift!$B$4:$BJ$61,MATCH(Both_Shift_Roster!S$2,Morning_Shift!$B$2:$BJ$2,0),0),""))</f>
        <v>10:00-17:00</v>
      </c>
      <c r="T36" s="2" t="str">
        <f>IF(IFERROR(VLOOKUP($B36,Morning_Shift!$B$4:$BJ$61,MATCH(Both_Shift_Roster!T$2,Morning_Shift!$B$2:$BJ$2,0),0),"")="",IFERROR(VLOOKUP($B36,Evening_Shift!$B$4:$BJ$62,MATCH(Both_Shift_Roster!T$2,Evening_Shift!$B$2:$BJ$2,0),0),""),IFERROR(VLOOKUP($B36,Morning_Shift!$B$4:$BJ$61,MATCH(Both_Shift_Roster!T$2,Morning_Shift!$B$2:$BJ$2,0),0),""))</f>
        <v>10:00-17:00</v>
      </c>
      <c r="U36" s="2" t="str">
        <f>IF(IFERROR(VLOOKUP($B36,Morning_Shift!$B$4:$BJ$61,MATCH(Both_Shift_Roster!U$2,Morning_Shift!$B$2:$BJ$2,0),0),"")="",IFERROR(VLOOKUP($B36,Evening_Shift!$B$4:$BJ$62,MATCH(Both_Shift_Roster!U$2,Evening_Shift!$B$2:$BJ$2,0),0),""),IFERROR(VLOOKUP($B36,Morning_Shift!$B$4:$BJ$61,MATCH(Both_Shift_Roster!U$2,Morning_Shift!$B$2:$BJ$2,0),0),""))</f>
        <v>10:00-17:00</v>
      </c>
      <c r="V36" s="2" t="str">
        <f>IF(IFERROR(VLOOKUP($B36,Morning_Shift!$B$4:$BJ$61,MATCH(Both_Shift_Roster!V$2,Morning_Shift!$B$2:$BJ$2,0),0),"")="",IFERROR(VLOOKUP($B36,Evening_Shift!$B$4:$BJ$62,MATCH(Both_Shift_Roster!V$2,Evening_Shift!$B$2:$BJ$2,0),0),""),IFERROR(VLOOKUP($B36,Morning_Shift!$B$4:$BJ$61,MATCH(Both_Shift_Roster!V$2,Morning_Shift!$B$2:$BJ$2,0),0),""))</f>
        <v>10:00-17:00</v>
      </c>
      <c r="W36" s="2" t="str">
        <f>IF(IFERROR(VLOOKUP($B36,Morning_Shift!$B$4:$BJ$61,MATCH(Both_Shift_Roster!W$2,Morning_Shift!$B$2:$BJ$2,0),0),"")="",IFERROR(VLOOKUP($B36,Evening_Shift!$B$4:$BJ$62,MATCH(Both_Shift_Roster!W$2,Evening_Shift!$B$2:$BJ$2,0),0),""),IFERROR(VLOOKUP($B36,Morning_Shift!$B$4:$BJ$61,MATCH(Both_Shift_Roster!W$2,Morning_Shift!$B$2:$BJ$2,0),0),""))</f>
        <v>Agent Choice WO</v>
      </c>
      <c r="X36" s="2" t="str">
        <f>IF(IFERROR(VLOOKUP($B36,Morning_Shift!$B$4:$BJ$61,MATCH(Both_Shift_Roster!X$2,Morning_Shift!$B$2:$BJ$2,0),0),"")="",IFERROR(VLOOKUP($B36,Evening_Shift!$B$4:$BJ$62,MATCH(Both_Shift_Roster!X$2,Evening_Shift!$B$2:$BJ$2,0),0),""),IFERROR(VLOOKUP($B36,Morning_Shift!$B$4:$BJ$61,MATCH(Both_Shift_Roster!X$2,Morning_Shift!$B$2:$BJ$2,0),0),""))</f>
        <v>Agent Choice WO</v>
      </c>
      <c r="Y36" s="2" t="str">
        <f>IF(IFERROR(VLOOKUP($B36,Morning_Shift!$B$4:$BJ$61,MATCH(Both_Shift_Roster!Y$2,Morning_Shift!$B$2:$BJ$2,0),0),"")="",IFERROR(VLOOKUP($B36,Evening_Shift!$B$4:$BJ$62,MATCH(Both_Shift_Roster!Y$2,Evening_Shift!$B$2:$BJ$2,0),0),""),IFERROR(VLOOKUP($B36,Morning_Shift!$B$4:$BJ$61,MATCH(Both_Shift_Roster!Y$2,Morning_Shift!$B$2:$BJ$2,0),0),""))</f>
        <v>10:00-17:00</v>
      </c>
      <c r="Z36" s="2">
        <f t="shared" si="20"/>
        <v>2</v>
      </c>
      <c r="AA36" s="2">
        <f t="shared" si="21"/>
        <v>0</v>
      </c>
      <c r="AB36" s="2">
        <f t="shared" si="22"/>
        <v>0</v>
      </c>
      <c r="AC36" s="2">
        <f t="shared" si="23"/>
        <v>0</v>
      </c>
      <c r="AD36" s="2">
        <f t="shared" si="24"/>
        <v>0</v>
      </c>
      <c r="AE36" s="2" t="str">
        <f>IF(IFERROR(VLOOKUP($B36,Morning_Shift!$B$4:$BJ$61,MATCH(Both_Shift_Roster!AE$2,Morning_Shift!$B$2:$BJ$2,0),0),"")="",IFERROR(VLOOKUP($B36,Evening_Shift!$B$4:$BJ$62,MATCH(Both_Shift_Roster!AE$2,Evening_Shift!$B$2:$BJ$2,0),0),""),IFERROR(VLOOKUP($B36,Morning_Shift!$B$4:$BJ$61,MATCH(Both_Shift_Roster!AE$2,Morning_Shift!$B$2:$BJ$2,0),0),""))</f>
        <v>10:00-17:00</v>
      </c>
      <c r="AF36" s="2" t="str">
        <f>IF(IFERROR(VLOOKUP($B36,Morning_Shift!$B$4:$BJ$61,MATCH(Both_Shift_Roster!AF$2,Morning_Shift!$B$2:$BJ$2,0),0),"")="",IFERROR(VLOOKUP($B36,Evening_Shift!$B$4:$BJ$62,MATCH(Both_Shift_Roster!AF$2,Evening_Shift!$B$2:$BJ$2,0),0),""),IFERROR(VLOOKUP($B36,Morning_Shift!$B$4:$BJ$61,MATCH(Both_Shift_Roster!AF$2,Morning_Shift!$B$2:$BJ$2,0),0),""))</f>
        <v>10:00-17:00</v>
      </c>
      <c r="AG36" s="2" t="str">
        <f>IF(IFERROR(VLOOKUP($B36,Morning_Shift!$B$4:$BJ$61,MATCH(Both_Shift_Roster!AG$2,Morning_Shift!$B$2:$BJ$2,0),0),"")="",IFERROR(VLOOKUP($B36,Evening_Shift!$B$4:$BJ$62,MATCH(Both_Shift_Roster!AG$2,Evening_Shift!$B$2:$BJ$2,0),0),""),IFERROR(VLOOKUP($B36,Morning_Shift!$B$4:$BJ$61,MATCH(Both_Shift_Roster!AG$2,Morning_Shift!$B$2:$BJ$2,0),0),""))</f>
        <v>10:00-17:00</v>
      </c>
      <c r="AH36" s="2" t="str">
        <f>IF(IFERROR(VLOOKUP($B36,Morning_Shift!$B$4:$BJ$61,MATCH(Both_Shift_Roster!AH$2,Morning_Shift!$B$2:$BJ$2,0),0),"")="",IFERROR(VLOOKUP($B36,Evening_Shift!$B$4:$BJ$62,MATCH(Both_Shift_Roster!AH$2,Evening_Shift!$B$2:$BJ$2,0),0),""),IFERROR(VLOOKUP($B36,Morning_Shift!$B$4:$BJ$61,MATCH(Both_Shift_Roster!AH$2,Morning_Shift!$B$2:$BJ$2,0),0),""))</f>
        <v>10:00-17:00</v>
      </c>
      <c r="AI36" s="2" t="str">
        <f>IF(IFERROR(VLOOKUP($B36,Morning_Shift!$B$4:$BJ$61,MATCH(Both_Shift_Roster!AI$2,Morning_Shift!$B$2:$BJ$2,0),0),"")="",IFERROR(VLOOKUP($B36,Evening_Shift!$B$4:$BJ$62,MATCH(Both_Shift_Roster!AI$2,Evening_Shift!$B$2:$BJ$2,0),0),""),IFERROR(VLOOKUP($B36,Morning_Shift!$B$4:$BJ$61,MATCH(Both_Shift_Roster!AI$2,Morning_Shift!$B$2:$BJ$2,0),0),""))</f>
        <v>10:00-17:00</v>
      </c>
      <c r="AJ36" s="2" t="str">
        <f>IF(IFERROR(VLOOKUP($B36,Morning_Shift!$B$4:$BJ$61,MATCH(Both_Shift_Roster!AJ$2,Morning_Shift!$B$2:$BJ$2,0),0),"")="",IFERROR(VLOOKUP($B36,Evening_Shift!$B$4:$BJ$62,MATCH(Both_Shift_Roster!AJ$2,Evening_Shift!$B$2:$BJ$2,0),0),""),IFERROR(VLOOKUP($B36,Morning_Shift!$B$4:$BJ$61,MATCH(Both_Shift_Roster!AJ$2,Morning_Shift!$B$2:$BJ$2,0),0),""))</f>
        <v>Agent Choice WO</v>
      </c>
      <c r="AK36" s="2" t="str">
        <f>IF(IFERROR(VLOOKUP($B36,Morning_Shift!$B$4:$BJ$61,MATCH(Both_Shift_Roster!AK$2,Morning_Shift!$B$2:$BJ$2,0),0),"")="",IFERROR(VLOOKUP($B36,Evening_Shift!$B$4:$BJ$62,MATCH(Both_Shift_Roster!AK$2,Evening_Shift!$B$2:$BJ$2,0),0),""),IFERROR(VLOOKUP($B36,Morning_Shift!$B$4:$BJ$61,MATCH(Both_Shift_Roster!AK$2,Morning_Shift!$B$2:$BJ$2,0),0),""))</f>
        <v>10:00-17:00</v>
      </c>
      <c r="AL36" s="2">
        <f t="shared" si="25"/>
        <v>1</v>
      </c>
      <c r="AM36" s="2">
        <f t="shared" si="26"/>
        <v>0</v>
      </c>
      <c r="AN36" s="2">
        <f t="shared" si="27"/>
        <v>0</v>
      </c>
      <c r="AO36" s="2">
        <f t="shared" si="28"/>
        <v>0</v>
      </c>
      <c r="AP36" s="2">
        <f t="shared" si="29"/>
        <v>0</v>
      </c>
      <c r="AQ36" s="2" t="str">
        <f>IF(IFERROR(VLOOKUP($B36,Morning_Shift!$B$4:$BJ$61,MATCH(Both_Shift_Roster!AQ$2,Morning_Shift!$B$2:$BJ$2,0),0),"")="",IFERROR(VLOOKUP($B36,Evening_Shift!$B$4:$BJ$62,MATCH(Both_Shift_Roster!AQ$2,Evening_Shift!$B$2:$BJ$2,0),0),""),IFERROR(VLOOKUP($B36,Morning_Shift!$B$4:$BJ$61,MATCH(Both_Shift_Roster!AQ$2,Morning_Shift!$B$2:$BJ$2,0),0),""))</f>
        <v>10:00-17:00</v>
      </c>
      <c r="AR36" s="2" t="str">
        <f>IF(IFERROR(VLOOKUP($B36,Morning_Shift!$B$4:$BJ$61,MATCH(Both_Shift_Roster!AR$2,Morning_Shift!$B$2:$BJ$2,0),0),"")="",IFERROR(VLOOKUP($B36,Evening_Shift!$B$4:$BJ$62,MATCH(Both_Shift_Roster!AR$2,Evening_Shift!$B$2:$BJ$2,0),0),""),IFERROR(VLOOKUP($B36,Morning_Shift!$B$4:$BJ$61,MATCH(Both_Shift_Roster!AR$2,Morning_Shift!$B$2:$BJ$2,0),0),""))</f>
        <v>10:00-17:00</v>
      </c>
      <c r="AS36" s="2" t="str">
        <f>IF(IFERROR(VLOOKUP($B36,Morning_Shift!$B$4:$BJ$61,MATCH(Both_Shift_Roster!AS$2,Morning_Shift!$B$2:$BJ$2,0),0),"")="",IFERROR(VLOOKUP($B36,Evening_Shift!$B$4:$BJ$62,MATCH(Both_Shift_Roster!AS$2,Evening_Shift!$B$2:$BJ$2,0),0),""),IFERROR(VLOOKUP($B36,Morning_Shift!$B$4:$BJ$61,MATCH(Both_Shift_Roster!AS$2,Morning_Shift!$B$2:$BJ$2,0),0),""))</f>
        <v>10:00-17:00</v>
      </c>
      <c r="AT36" s="2" t="str">
        <f>IF(IFERROR(VLOOKUP($B36,Morning_Shift!$B$4:$BJ$61,MATCH(Both_Shift_Roster!AT$2,Morning_Shift!$B$2:$BJ$2,0),0),"")="",IFERROR(VLOOKUP($B36,Evening_Shift!$B$4:$BJ$62,MATCH(Both_Shift_Roster!AT$2,Evening_Shift!$B$2:$BJ$2,0),0),""),IFERROR(VLOOKUP($B36,Morning_Shift!$B$4:$BJ$61,MATCH(Both_Shift_Roster!AT$2,Morning_Shift!$B$2:$BJ$2,0),0),""))</f>
        <v>10:00-17:00</v>
      </c>
      <c r="AU36" s="2" t="str">
        <f>IF(IFERROR(VLOOKUP($B36,Morning_Shift!$B$4:$BJ$61,MATCH(Both_Shift_Roster!AU$2,Morning_Shift!$B$2:$BJ$2,0),0),"")="",IFERROR(VLOOKUP($B36,Evening_Shift!$B$4:$BJ$62,MATCH(Both_Shift_Roster!AU$2,Evening_Shift!$B$2:$BJ$2,0),0),""),IFERROR(VLOOKUP($B36,Morning_Shift!$B$4:$BJ$61,MATCH(Both_Shift_Roster!AU$2,Morning_Shift!$B$2:$BJ$2,0),0),""))</f>
        <v>10:00-17:00</v>
      </c>
      <c r="AV36" s="2" t="str">
        <f>IF(IFERROR(VLOOKUP($B36,Morning_Shift!$B$4:$BJ$61,MATCH(Both_Shift_Roster!AV$2,Morning_Shift!$B$2:$BJ$2,0),0),"")="",IFERROR(VLOOKUP($B36,Evening_Shift!$B$4:$BJ$62,MATCH(Both_Shift_Roster!AV$2,Evening_Shift!$B$2:$BJ$2,0),0),""),IFERROR(VLOOKUP($B36,Morning_Shift!$B$4:$BJ$61,MATCH(Both_Shift_Roster!AV$2,Morning_Shift!$B$2:$BJ$2,0),0),""))</f>
        <v>Agent Choice WO</v>
      </c>
      <c r="AW36" s="2" t="str">
        <f>IF(IFERROR(VLOOKUP($B36,Morning_Shift!$B$4:$BJ$61,MATCH(Both_Shift_Roster!AW$2,Morning_Shift!$B$2:$BJ$2,0),0),"")="",IFERROR(VLOOKUP($B36,Evening_Shift!$B$4:$BJ$62,MATCH(Both_Shift_Roster!AW$2,Evening_Shift!$B$2:$BJ$2,0),0),""),IFERROR(VLOOKUP($B36,Morning_Shift!$B$4:$BJ$61,MATCH(Both_Shift_Roster!AW$2,Morning_Shift!$B$2:$BJ$2,0),0),""))</f>
        <v>10:00-17:00</v>
      </c>
      <c r="AX36" s="2">
        <f t="shared" si="30"/>
        <v>1</v>
      </c>
      <c r="AY36" s="2">
        <f t="shared" si="31"/>
        <v>0</v>
      </c>
      <c r="AZ36" s="2">
        <f t="shared" si="32"/>
        <v>0</v>
      </c>
      <c r="BA36" s="2">
        <f t="shared" si="33"/>
        <v>0</v>
      </c>
      <c r="BB36" s="2">
        <f t="shared" si="34"/>
        <v>0</v>
      </c>
      <c r="BC36" s="2" t="str">
        <f>IF(IFERROR(VLOOKUP($B36,Morning_Shift!$B$4:$BJ$61,MATCH(Both_Shift_Roster!BC$2,Morning_Shift!$B$2:$BJ$2,0),0),"")="",IFERROR(VLOOKUP($B36,Evening_Shift!$B$4:$BJ$62,MATCH(Both_Shift_Roster!BC$2,Evening_Shift!$B$2:$BJ$2,0),0),""),IFERROR(VLOOKUP($B36,Morning_Shift!$B$4:$BJ$61,MATCH(Both_Shift_Roster!BC$2,Morning_Shift!$B$2:$BJ$2,0),0),""))</f>
        <v>10:00-17:00</v>
      </c>
      <c r="BD36" s="2" t="str">
        <f>IF(IFERROR(VLOOKUP($B36,Morning_Shift!$B$4:$BJ$61,MATCH(Both_Shift_Roster!BD$2,Morning_Shift!$B$2:$BJ$2,0),0),"")="",IFERROR(VLOOKUP($B36,Evening_Shift!$B$4:$BJ$62,MATCH(Both_Shift_Roster!BD$2,Evening_Shift!$B$2:$BJ$2,0),0),""),IFERROR(VLOOKUP($B36,Morning_Shift!$B$4:$BJ$61,MATCH(Both_Shift_Roster!BD$2,Morning_Shift!$B$2:$BJ$2,0),0),""))</f>
        <v>10:00-17:00</v>
      </c>
      <c r="BE36" s="2" t="str">
        <f>IF(IFERROR(VLOOKUP($B36,Morning_Shift!$B$4:$BJ$61,MATCH(Both_Shift_Roster!BE$2,Morning_Shift!$B$2:$BJ$2,0),0),"")="",IFERROR(VLOOKUP($B36,Evening_Shift!$B$4:$BJ$59,MATCH(Both_Shift_Roster!BE$2,Evening_Shift!$B$2:$BJ$2,0),0),""),IFERROR(VLOOKUP($B36,Morning_Shift!$B$4:$BJ$61,MATCH(Both_Shift_Roster!BE$2,Morning_Shift!$B$2:$BJ$2,0),0),""))</f>
        <v>10:00-17:00</v>
      </c>
      <c r="BF36" s="2">
        <f t="shared" si="35"/>
        <v>0</v>
      </c>
      <c r="BG36" s="2">
        <f t="shared" si="36"/>
        <v>0</v>
      </c>
      <c r="BH36" s="2">
        <f t="shared" si="37"/>
        <v>0</v>
      </c>
      <c r="BI36" s="2">
        <f t="shared" si="38"/>
        <v>0</v>
      </c>
      <c r="BJ36" s="2">
        <f t="shared" si="39"/>
        <v>0</v>
      </c>
    </row>
    <row r="37" spans="1:62">
      <c r="A37" s="17">
        <f t="shared" si="40"/>
        <v>34</v>
      </c>
      <c r="B37" s="16" t="str">
        <f>Morning_Shift!$B37</f>
        <v>Dritm98</v>
      </c>
      <c r="C37" s="21" t="str">
        <f>IF(IFERROR(VLOOKUP(B37,Morning_Shift!B:C,2,0),"")="",IFERROR(VLOOKUP(B37,Evening_Shift!B:C,2,0),""),IFERROR(VLOOKUP(B37,Morning_Shift!B:C,2,0),""))</f>
        <v>Priti Thakur</v>
      </c>
      <c r="D37" s="15" t="str">
        <f>IF(IFERROR(VLOOKUP(B37,Morning_Shift!B:D,3,0),"")="",IFERROR(VLOOKUP(B37,Evening_Shift!B:D,3,0),""),IFERROR(VLOOKUP(B37,Morning_Shift!B:D,3,0),""))</f>
        <v>Naina</v>
      </c>
      <c r="E37" s="4" t="str">
        <f>IF(IFERROR(VLOOKUP(B37,Morning_Shift!B:E,4,0),"")="",IFERROR(VLOOKUP(B37,Evening_Shift!B:E,4,0),""),IFERROR(VLOOKUP(B37,Morning_Shift!B:E,4,0),""))</f>
        <v>F</v>
      </c>
      <c r="F37" s="5" t="str">
        <f>IF(IFERROR(VLOOKUP(B37,Morning_Shift!B:F,5,0),"")="",IFERROR(VLOOKUP(B37,Evening_Shift!B:F,5,0),""),IFERROR(VLOOKUP(B37,Morning_Shift!B:F,5,0),""))</f>
        <v>Inbound</v>
      </c>
      <c r="G37" s="2" t="str">
        <f>IF(IFERROR(VLOOKUP($B37,Morning_Shift!$B$4:$BJ$61,MATCH(Both_Shift_Roster!G$2,Morning_Shift!$B$2:$BJ$2,0),0),"")="",IFERROR(VLOOKUP($B37,Evening_Shift!$B$4:$BJ$62,MATCH(Both_Shift_Roster!G$2,Evening_Shift!$B$2:$BJ$2,0),0),""),IFERROR(VLOOKUP($B37,Morning_Shift!$B$4:$BJ$61,MATCH(Both_Shift_Roster!G$2,Morning_Shift!$B$2:$BJ$2,0),0),""))</f>
        <v>7:00-14:30</v>
      </c>
      <c r="H37" s="2" t="str">
        <f>IF(IFERROR(VLOOKUP($B37,Morning_Shift!$B$4:$BJ$61,MATCH(Both_Shift_Roster!H$2,Morning_Shift!$B$2:$BJ$2,0),0),"")="",IFERROR(VLOOKUP($B37,Evening_Shift!$B$4:$BJ$62,MATCH(Both_Shift_Roster!H$2,Evening_Shift!$B$2:$BJ$2,0),0),""),IFERROR(VLOOKUP($B37,Morning_Shift!$B$4:$BJ$61,MATCH(Both_Shift_Roster!H$2,Morning_Shift!$B$2:$BJ$2,0),0),""))</f>
        <v>7:00-14:30</v>
      </c>
      <c r="I37" s="2" t="str">
        <f>IF(IFERROR(VLOOKUP($B37,Morning_Shift!$B$4:$BJ$61,MATCH(Both_Shift_Roster!I$2,Morning_Shift!$B$2:$BJ$2,0),0),"")="",IFERROR(VLOOKUP($B37,Evening_Shift!$B$4:$BJ$62,MATCH(Both_Shift_Roster!I$2,Evening_Shift!$B$2:$BJ$2,0),0),""),IFERROR(VLOOKUP($B37,Morning_Shift!$B$4:$BJ$61,MATCH(Both_Shift_Roster!I$2,Morning_Shift!$B$2:$BJ$2,0),0),""))</f>
        <v>7:00-14:30</v>
      </c>
      <c r="J37" s="2" t="str">
        <f>IF(IFERROR(VLOOKUP($B37,Morning_Shift!$B$4:$BJ$61,MATCH(Both_Shift_Roster!J$2,Morning_Shift!$B$2:$BJ$2,0),0),"")="",IFERROR(VLOOKUP($B37,Evening_Shift!$B$4:$BJ$62,MATCH(Both_Shift_Roster!J$2,Evening_Shift!$B$2:$BJ$2,0),0),""),IFERROR(VLOOKUP($B37,Morning_Shift!$B$4:$BJ$61,MATCH(Both_Shift_Roster!J$2,Morning_Shift!$B$2:$BJ$2,0),0),""))</f>
        <v>7:00-14:30</v>
      </c>
      <c r="K37" s="2" t="str">
        <f>IF(IFERROR(VLOOKUP($B37,Morning_Shift!$B$4:$BJ$61,MATCH(Both_Shift_Roster!K$2,Morning_Shift!$B$2:$BJ$2,0),0),"")="",IFERROR(VLOOKUP($B37,Evening_Shift!$B$4:$BJ$62,MATCH(Both_Shift_Roster!K$2,Evening_Shift!$B$2:$BJ$2,0),0),""),IFERROR(VLOOKUP($B37,Morning_Shift!$B$4:$BJ$61,MATCH(Both_Shift_Roster!K$2,Morning_Shift!$B$2:$BJ$2,0),0),""))</f>
        <v>7:00-14:30</v>
      </c>
      <c r="L37" s="2" t="str">
        <f>IF(IFERROR(VLOOKUP($B37,Morning_Shift!$B$4:$BJ$61,MATCH(Both_Shift_Roster!L$2,Morning_Shift!$B$2:$BJ$2,0),0),"")="",IFERROR(VLOOKUP($B37,Evening_Shift!$B$4:$BJ$62,MATCH(Both_Shift_Roster!L$2,Evening_Shift!$B$2:$BJ$2,0),0),""),IFERROR(VLOOKUP($B37,Morning_Shift!$B$4:$BJ$61,MATCH(Both_Shift_Roster!L$2,Morning_Shift!$B$2:$BJ$2,0),0),""))</f>
        <v>7:00-14:30</v>
      </c>
      <c r="M37" s="2" t="str">
        <f>IF(IFERROR(VLOOKUP($B37,Morning_Shift!$B$4:$BJ$61,MATCH(Both_Shift_Roster!M$2,Morning_Shift!$B$2:$BJ$2,0),0),"")="",IFERROR(VLOOKUP($B37,Evening_Shift!$B$4:$BJ$62,MATCH(Both_Shift_Roster!M$2,Evening_Shift!$B$2:$BJ$2,0),0),""),IFERROR(VLOOKUP($B37,Morning_Shift!$B$4:$BJ$61,MATCH(Both_Shift_Roster!M$2,Morning_Shift!$B$2:$BJ$2,0),0),""))</f>
        <v>7:00-14:30</v>
      </c>
      <c r="N37" s="2">
        <f t="shared" si="15"/>
        <v>0</v>
      </c>
      <c r="O37" s="2">
        <f t="shared" si="16"/>
        <v>0</v>
      </c>
      <c r="P37" s="2">
        <f t="shared" si="17"/>
        <v>0</v>
      </c>
      <c r="Q37" s="2">
        <f t="shared" si="18"/>
        <v>0</v>
      </c>
      <c r="R37" s="2">
        <f t="shared" si="19"/>
        <v>0</v>
      </c>
      <c r="S37" s="2" t="str">
        <f>IF(IFERROR(VLOOKUP($B37,Morning_Shift!$B$4:$BJ$61,MATCH(Both_Shift_Roster!S$2,Morning_Shift!$B$2:$BJ$2,0),0),"")="",IFERROR(VLOOKUP($B37,Evening_Shift!$B$4:$BJ$62,MATCH(Both_Shift_Roster!S$2,Evening_Shift!$B$2:$BJ$2,0),0),""),IFERROR(VLOOKUP($B37,Morning_Shift!$B$4:$BJ$61,MATCH(Both_Shift_Roster!S$2,Morning_Shift!$B$2:$BJ$2,0),0),""))</f>
        <v>Agent Choice WO</v>
      </c>
      <c r="T37" s="2" t="str">
        <f>IF(IFERROR(VLOOKUP($B37,Morning_Shift!$B$4:$BJ$61,MATCH(Both_Shift_Roster!T$2,Morning_Shift!$B$2:$BJ$2,0),0),"")="",IFERROR(VLOOKUP($B37,Evening_Shift!$B$4:$BJ$62,MATCH(Both_Shift_Roster!T$2,Evening_Shift!$B$2:$BJ$2,0),0),""),IFERROR(VLOOKUP($B37,Morning_Shift!$B$4:$BJ$61,MATCH(Both_Shift_Roster!T$2,Morning_Shift!$B$2:$BJ$2,0),0),""))</f>
        <v>Agent Choice WO</v>
      </c>
      <c r="U37" s="2" t="str">
        <f>IF(IFERROR(VLOOKUP($B37,Morning_Shift!$B$4:$BJ$61,MATCH(Both_Shift_Roster!U$2,Morning_Shift!$B$2:$BJ$2,0),0),"")="",IFERROR(VLOOKUP($B37,Evening_Shift!$B$4:$BJ$62,MATCH(Both_Shift_Roster!U$2,Evening_Shift!$B$2:$BJ$2,0),0),""),IFERROR(VLOOKUP($B37,Morning_Shift!$B$4:$BJ$61,MATCH(Both_Shift_Roster!U$2,Morning_Shift!$B$2:$BJ$2,0),0),""))</f>
        <v>Agent Choice WO</v>
      </c>
      <c r="V37" s="2" t="str">
        <f>IF(IFERROR(VLOOKUP($B37,Morning_Shift!$B$4:$BJ$61,MATCH(Both_Shift_Roster!V$2,Morning_Shift!$B$2:$BJ$2,0),0),"")="",IFERROR(VLOOKUP($B37,Evening_Shift!$B$4:$BJ$62,MATCH(Both_Shift_Roster!V$2,Evening_Shift!$B$2:$BJ$2,0),0),""),IFERROR(VLOOKUP($B37,Morning_Shift!$B$4:$BJ$61,MATCH(Both_Shift_Roster!V$2,Morning_Shift!$B$2:$BJ$2,0),0),""))</f>
        <v>Agent Choice WO</v>
      </c>
      <c r="W37" s="2" t="str">
        <f>IF(IFERROR(VLOOKUP($B37,Morning_Shift!$B$4:$BJ$61,MATCH(Both_Shift_Roster!W$2,Morning_Shift!$B$2:$BJ$2,0),0),"")="",IFERROR(VLOOKUP($B37,Evening_Shift!$B$4:$BJ$62,MATCH(Both_Shift_Roster!W$2,Evening_Shift!$B$2:$BJ$2,0),0),""),IFERROR(VLOOKUP($B37,Morning_Shift!$B$4:$BJ$61,MATCH(Both_Shift_Roster!W$2,Morning_Shift!$B$2:$BJ$2,0),0),""))</f>
        <v>7:00-14:30</v>
      </c>
      <c r="X37" s="2" t="str">
        <f>IF(IFERROR(VLOOKUP($B37,Morning_Shift!$B$4:$BJ$61,MATCH(Both_Shift_Roster!X$2,Morning_Shift!$B$2:$BJ$2,0),0),"")="",IFERROR(VLOOKUP($B37,Evening_Shift!$B$4:$BJ$62,MATCH(Both_Shift_Roster!X$2,Evening_Shift!$B$2:$BJ$2,0),0),""),IFERROR(VLOOKUP($B37,Morning_Shift!$B$4:$BJ$61,MATCH(Both_Shift_Roster!X$2,Morning_Shift!$B$2:$BJ$2,0),0),""))</f>
        <v>7:00-14:30</v>
      </c>
      <c r="Y37" s="2" t="str">
        <f>IF(IFERROR(VLOOKUP($B37,Morning_Shift!$B$4:$BJ$61,MATCH(Both_Shift_Roster!Y$2,Morning_Shift!$B$2:$BJ$2,0),0),"")="",IFERROR(VLOOKUP($B37,Evening_Shift!$B$4:$BJ$62,MATCH(Both_Shift_Roster!Y$2,Evening_Shift!$B$2:$BJ$2,0),0),""),IFERROR(VLOOKUP($B37,Morning_Shift!$B$4:$BJ$61,MATCH(Both_Shift_Roster!Y$2,Morning_Shift!$B$2:$BJ$2,0),0),""))</f>
        <v>7:00-14:30</v>
      </c>
      <c r="Z37" s="2">
        <f t="shared" si="20"/>
        <v>4</v>
      </c>
      <c r="AA37" s="2">
        <f t="shared" si="21"/>
        <v>0</v>
      </c>
      <c r="AB37" s="2">
        <f t="shared" si="22"/>
        <v>0</v>
      </c>
      <c r="AC37" s="2">
        <f t="shared" si="23"/>
        <v>0</v>
      </c>
      <c r="AD37" s="2">
        <f t="shared" si="24"/>
        <v>0</v>
      </c>
      <c r="AE37" s="2" t="str">
        <f>IF(IFERROR(VLOOKUP($B37,Morning_Shift!$B$4:$BJ$61,MATCH(Both_Shift_Roster!AE$2,Morning_Shift!$B$2:$BJ$2,0),0),"")="",IFERROR(VLOOKUP($B37,Evening_Shift!$B$4:$BJ$62,MATCH(Both_Shift_Roster!AE$2,Evening_Shift!$B$2:$BJ$2,0),0),""),IFERROR(VLOOKUP($B37,Morning_Shift!$B$4:$BJ$61,MATCH(Both_Shift_Roster!AE$2,Morning_Shift!$B$2:$BJ$2,0),0),""))</f>
        <v>7:00-14:30</v>
      </c>
      <c r="AF37" s="2" t="str">
        <f>IF(IFERROR(VLOOKUP($B37,Morning_Shift!$B$4:$BJ$61,MATCH(Both_Shift_Roster!AF$2,Morning_Shift!$B$2:$BJ$2,0),0),"")="",IFERROR(VLOOKUP($B37,Evening_Shift!$B$4:$BJ$62,MATCH(Both_Shift_Roster!AF$2,Evening_Shift!$B$2:$BJ$2,0),0),""),IFERROR(VLOOKUP($B37,Morning_Shift!$B$4:$BJ$61,MATCH(Both_Shift_Roster!AF$2,Morning_Shift!$B$2:$BJ$2,0),0),""))</f>
        <v>7:00-14:30</v>
      </c>
      <c r="AG37" s="2" t="str">
        <f>IF(IFERROR(VLOOKUP($B37,Morning_Shift!$B$4:$BJ$61,MATCH(Both_Shift_Roster!AG$2,Morning_Shift!$B$2:$BJ$2,0),0),"")="",IFERROR(VLOOKUP($B37,Evening_Shift!$B$4:$BJ$62,MATCH(Both_Shift_Roster!AG$2,Evening_Shift!$B$2:$BJ$2,0),0),""),IFERROR(VLOOKUP($B37,Morning_Shift!$B$4:$BJ$61,MATCH(Both_Shift_Roster!AG$2,Morning_Shift!$B$2:$BJ$2,0),0),""))</f>
        <v>7:00-14:30</v>
      </c>
      <c r="AH37" s="2" t="str">
        <f>IF(IFERROR(VLOOKUP($B37,Morning_Shift!$B$4:$BJ$61,MATCH(Both_Shift_Roster!AH$2,Morning_Shift!$B$2:$BJ$2,0),0),"")="",IFERROR(VLOOKUP($B37,Evening_Shift!$B$4:$BJ$62,MATCH(Both_Shift_Roster!AH$2,Evening_Shift!$B$2:$BJ$2,0),0),""),IFERROR(VLOOKUP($B37,Morning_Shift!$B$4:$BJ$61,MATCH(Both_Shift_Roster!AH$2,Morning_Shift!$B$2:$BJ$2,0),0),""))</f>
        <v>7:00-14:30</v>
      </c>
      <c r="AI37" s="2" t="str">
        <f>IF(IFERROR(VLOOKUP($B37,Morning_Shift!$B$4:$BJ$61,MATCH(Both_Shift_Roster!AI$2,Morning_Shift!$B$2:$BJ$2,0),0),"")="",IFERROR(VLOOKUP($B37,Evening_Shift!$B$4:$BJ$62,MATCH(Both_Shift_Roster!AI$2,Evening_Shift!$B$2:$BJ$2,0),0),""),IFERROR(VLOOKUP($B37,Morning_Shift!$B$4:$BJ$61,MATCH(Both_Shift_Roster!AI$2,Morning_Shift!$B$2:$BJ$2,0),0),""))</f>
        <v>7:00-14:30</v>
      </c>
      <c r="AJ37" s="2" t="str">
        <f>IF(IFERROR(VLOOKUP($B37,Morning_Shift!$B$4:$BJ$61,MATCH(Both_Shift_Roster!AJ$2,Morning_Shift!$B$2:$BJ$2,0),0),"")="",IFERROR(VLOOKUP($B37,Evening_Shift!$B$4:$BJ$62,MATCH(Both_Shift_Roster!AJ$2,Evening_Shift!$B$2:$BJ$2,0),0),""),IFERROR(VLOOKUP($B37,Morning_Shift!$B$4:$BJ$61,MATCH(Both_Shift_Roster!AJ$2,Morning_Shift!$B$2:$BJ$2,0),0),""))</f>
        <v>7:00-14:30</v>
      </c>
      <c r="AK37" s="2" t="str">
        <f>IF(IFERROR(VLOOKUP($B37,Morning_Shift!$B$4:$BJ$61,MATCH(Both_Shift_Roster!AK$2,Morning_Shift!$B$2:$BJ$2,0),0),"")="",IFERROR(VLOOKUP($B37,Evening_Shift!$B$4:$BJ$62,MATCH(Both_Shift_Roster!AK$2,Evening_Shift!$B$2:$BJ$2,0),0),""),IFERROR(VLOOKUP($B37,Morning_Shift!$B$4:$BJ$61,MATCH(Both_Shift_Roster!AK$2,Morning_Shift!$B$2:$BJ$2,0),0),""))</f>
        <v>7:00-14:30</v>
      </c>
      <c r="AL37" s="2">
        <f t="shared" si="25"/>
        <v>0</v>
      </c>
      <c r="AM37" s="2">
        <f t="shared" si="26"/>
        <v>0</v>
      </c>
      <c r="AN37" s="2">
        <f t="shared" si="27"/>
        <v>0</v>
      </c>
      <c r="AO37" s="2">
        <f t="shared" si="28"/>
        <v>0</v>
      </c>
      <c r="AP37" s="2">
        <f t="shared" si="29"/>
        <v>0</v>
      </c>
      <c r="AQ37" s="2" t="str">
        <f>IF(IFERROR(VLOOKUP($B37,Morning_Shift!$B$4:$BJ$61,MATCH(Both_Shift_Roster!AQ$2,Morning_Shift!$B$2:$BJ$2,0),0),"")="",IFERROR(VLOOKUP($B37,Evening_Shift!$B$4:$BJ$62,MATCH(Both_Shift_Roster!AQ$2,Evening_Shift!$B$2:$BJ$2,0),0),""),IFERROR(VLOOKUP($B37,Morning_Shift!$B$4:$BJ$61,MATCH(Both_Shift_Roster!AQ$2,Morning_Shift!$B$2:$BJ$2,0),0),""))</f>
        <v>7:00-14:30</v>
      </c>
      <c r="AR37" s="2" t="str">
        <f>IF(IFERROR(VLOOKUP($B37,Morning_Shift!$B$4:$BJ$61,MATCH(Both_Shift_Roster!AR$2,Morning_Shift!$B$2:$BJ$2,0),0),"")="",IFERROR(VLOOKUP($B37,Evening_Shift!$B$4:$BJ$62,MATCH(Both_Shift_Roster!AR$2,Evening_Shift!$B$2:$BJ$2,0),0),""),IFERROR(VLOOKUP($B37,Morning_Shift!$B$4:$BJ$61,MATCH(Both_Shift_Roster!AR$2,Morning_Shift!$B$2:$BJ$2,0),0),""))</f>
        <v>7:00-14:30</v>
      </c>
      <c r="AS37" s="2" t="str">
        <f>IF(IFERROR(VLOOKUP($B37,Morning_Shift!$B$4:$BJ$61,MATCH(Both_Shift_Roster!AS$2,Morning_Shift!$B$2:$BJ$2,0),0),"")="",IFERROR(VLOOKUP($B37,Evening_Shift!$B$4:$BJ$62,MATCH(Both_Shift_Roster!AS$2,Evening_Shift!$B$2:$BJ$2,0),0),""),IFERROR(VLOOKUP($B37,Morning_Shift!$B$4:$BJ$61,MATCH(Both_Shift_Roster!AS$2,Morning_Shift!$B$2:$BJ$2,0),0),""))</f>
        <v>7:00-14:30</v>
      </c>
      <c r="AT37" s="2" t="str">
        <f>IF(IFERROR(VLOOKUP($B37,Morning_Shift!$B$4:$BJ$61,MATCH(Both_Shift_Roster!AT$2,Morning_Shift!$B$2:$BJ$2,0),0),"")="",IFERROR(VLOOKUP($B37,Evening_Shift!$B$4:$BJ$62,MATCH(Both_Shift_Roster!AT$2,Evening_Shift!$B$2:$BJ$2,0),0),""),IFERROR(VLOOKUP($B37,Morning_Shift!$B$4:$BJ$61,MATCH(Both_Shift_Roster!AT$2,Morning_Shift!$B$2:$BJ$2,0),0),""))</f>
        <v>7:00-14:30</v>
      </c>
      <c r="AU37" s="2" t="str">
        <f>IF(IFERROR(VLOOKUP($B37,Morning_Shift!$B$4:$BJ$61,MATCH(Both_Shift_Roster!AU$2,Morning_Shift!$B$2:$BJ$2,0),0),"")="",IFERROR(VLOOKUP($B37,Evening_Shift!$B$4:$BJ$62,MATCH(Both_Shift_Roster!AU$2,Evening_Shift!$B$2:$BJ$2,0),0),""),IFERROR(VLOOKUP($B37,Morning_Shift!$B$4:$BJ$61,MATCH(Both_Shift_Roster!AU$2,Morning_Shift!$B$2:$BJ$2,0),0),""))</f>
        <v>7:00-14:30</v>
      </c>
      <c r="AV37" s="2" t="str">
        <f>IF(IFERROR(VLOOKUP($B37,Morning_Shift!$B$4:$BJ$61,MATCH(Both_Shift_Roster!AV$2,Morning_Shift!$B$2:$BJ$2,0),0),"")="",IFERROR(VLOOKUP($B37,Evening_Shift!$B$4:$BJ$62,MATCH(Both_Shift_Roster!AV$2,Evening_Shift!$B$2:$BJ$2,0),0),""),IFERROR(VLOOKUP($B37,Morning_Shift!$B$4:$BJ$61,MATCH(Both_Shift_Roster!AV$2,Morning_Shift!$B$2:$BJ$2,0),0),""))</f>
        <v>7:00-14:30</v>
      </c>
      <c r="AW37" s="2" t="str">
        <f>IF(IFERROR(VLOOKUP($B37,Morning_Shift!$B$4:$BJ$61,MATCH(Both_Shift_Roster!AW$2,Morning_Shift!$B$2:$BJ$2,0),0),"")="",IFERROR(VLOOKUP($B37,Evening_Shift!$B$4:$BJ$62,MATCH(Both_Shift_Roster!AW$2,Evening_Shift!$B$2:$BJ$2,0),0),""),IFERROR(VLOOKUP($B37,Morning_Shift!$B$4:$BJ$61,MATCH(Both_Shift_Roster!AW$2,Morning_Shift!$B$2:$BJ$2,0),0),""))</f>
        <v>7:00-14:30</v>
      </c>
      <c r="AX37" s="2">
        <f t="shared" si="30"/>
        <v>0</v>
      </c>
      <c r="AY37" s="2">
        <f t="shared" si="31"/>
        <v>0</v>
      </c>
      <c r="AZ37" s="2">
        <f t="shared" si="32"/>
        <v>0</v>
      </c>
      <c r="BA37" s="2">
        <f t="shared" si="33"/>
        <v>0</v>
      </c>
      <c r="BB37" s="2">
        <f t="shared" si="34"/>
        <v>0</v>
      </c>
      <c r="BC37" s="2" t="str">
        <f>IF(IFERROR(VLOOKUP($B37,Morning_Shift!$B$4:$BJ$61,MATCH(Both_Shift_Roster!BC$2,Morning_Shift!$B$2:$BJ$2,0),0),"")="",IFERROR(VLOOKUP($B37,Evening_Shift!$B$4:$BJ$62,MATCH(Both_Shift_Roster!BC$2,Evening_Shift!$B$2:$BJ$2,0),0),""),IFERROR(VLOOKUP($B37,Morning_Shift!$B$4:$BJ$61,MATCH(Both_Shift_Roster!BC$2,Morning_Shift!$B$2:$BJ$2,0),0),""))</f>
        <v>7:00-14:30</v>
      </c>
      <c r="BD37" s="2" t="str">
        <f>IF(IFERROR(VLOOKUP($B37,Morning_Shift!$B$4:$BJ$61,MATCH(Both_Shift_Roster!BD$2,Morning_Shift!$B$2:$BJ$2,0),0),"")="",IFERROR(VLOOKUP($B37,Evening_Shift!$B$4:$BJ$62,MATCH(Both_Shift_Roster!BD$2,Evening_Shift!$B$2:$BJ$2,0),0),""),IFERROR(VLOOKUP($B37,Morning_Shift!$B$4:$BJ$61,MATCH(Both_Shift_Roster!BD$2,Morning_Shift!$B$2:$BJ$2,0),0),""))</f>
        <v>Agent Choice WO</v>
      </c>
      <c r="BE37" s="2" t="str">
        <f>IF(IFERROR(VLOOKUP($B37,Morning_Shift!$B$4:$BJ$61,MATCH(Both_Shift_Roster!BE$2,Morning_Shift!$B$2:$BJ$2,0),0),"")="",IFERROR(VLOOKUP($B37,Evening_Shift!$B$4:$BJ$59,MATCH(Both_Shift_Roster!BE$2,Evening_Shift!$B$2:$BJ$2,0),0),""),IFERROR(VLOOKUP($B37,Morning_Shift!$B$4:$BJ$61,MATCH(Both_Shift_Roster!BE$2,Morning_Shift!$B$2:$BJ$2,0),0),""))</f>
        <v>7:00-14:30</v>
      </c>
      <c r="BF37" s="2">
        <f t="shared" si="35"/>
        <v>1</v>
      </c>
      <c r="BG37" s="2">
        <f t="shared" si="36"/>
        <v>0</v>
      </c>
      <c r="BH37" s="2">
        <f t="shared" si="37"/>
        <v>0</v>
      </c>
      <c r="BI37" s="2">
        <f t="shared" si="38"/>
        <v>0</v>
      </c>
      <c r="BJ37" s="2">
        <f t="shared" si="39"/>
        <v>0</v>
      </c>
    </row>
    <row r="38" spans="1:62">
      <c r="A38" s="17">
        <f t="shared" si="40"/>
        <v>35</v>
      </c>
      <c r="B38" s="16" t="str">
        <f>Morning_Shift!$B38</f>
        <v>Dritm100</v>
      </c>
      <c r="C38" s="21" t="str">
        <f>IF(IFERROR(VLOOKUP(B38,Morning_Shift!B:C,2,0),"")="",IFERROR(VLOOKUP(B38,Evening_Shift!B:C,2,0),""),IFERROR(VLOOKUP(B38,Morning_Shift!B:C,2,0),""))</f>
        <v>Priya Thakur</v>
      </c>
      <c r="D38" s="15" t="str">
        <f>IF(IFERROR(VLOOKUP(B38,Morning_Shift!B:D,3,0),"")="",IFERROR(VLOOKUP(B38,Evening_Shift!B:D,3,0),""),IFERROR(VLOOKUP(B38,Morning_Shift!B:D,3,0),""))</f>
        <v>Naina</v>
      </c>
      <c r="E38" s="4" t="str">
        <f>IF(IFERROR(VLOOKUP(B38,Morning_Shift!B:E,4,0),"")="",IFERROR(VLOOKUP(B38,Evening_Shift!B:E,4,0),""),IFERROR(VLOOKUP(B38,Morning_Shift!B:E,4,0),""))</f>
        <v>F</v>
      </c>
      <c r="F38" s="5" t="str">
        <f>IF(IFERROR(VLOOKUP(B38,Morning_Shift!B:F,5,0),"")="",IFERROR(VLOOKUP(B38,Evening_Shift!B:F,5,0),""),IFERROR(VLOOKUP(B38,Morning_Shift!B:F,5,0),""))</f>
        <v>Inbound</v>
      </c>
      <c r="G38" s="2" t="str">
        <f>IF(IFERROR(VLOOKUP($B38,Morning_Shift!$B$4:$BJ$61,MATCH(Both_Shift_Roster!G$2,Morning_Shift!$B$2:$BJ$2,0),0),"")="",IFERROR(VLOOKUP($B38,Evening_Shift!$B$4:$BJ$62,MATCH(Both_Shift_Roster!G$2,Evening_Shift!$B$2:$BJ$2,0),0),""),IFERROR(VLOOKUP($B38,Morning_Shift!$B$4:$BJ$61,MATCH(Both_Shift_Roster!G$2,Morning_Shift!$B$2:$BJ$2,0),0),""))</f>
        <v>7:00-14:30</v>
      </c>
      <c r="H38" s="2" t="str">
        <f>IF(IFERROR(VLOOKUP($B38,Morning_Shift!$B$4:$BJ$61,MATCH(Both_Shift_Roster!H$2,Morning_Shift!$B$2:$BJ$2,0),0),"")="",IFERROR(VLOOKUP($B38,Evening_Shift!$B$4:$BJ$62,MATCH(Both_Shift_Roster!H$2,Evening_Shift!$B$2:$BJ$2,0),0),""),IFERROR(VLOOKUP($B38,Morning_Shift!$B$4:$BJ$61,MATCH(Both_Shift_Roster!H$2,Morning_Shift!$B$2:$BJ$2,0),0),""))</f>
        <v>7:00-14:30</v>
      </c>
      <c r="I38" s="2" t="str">
        <f>IF(IFERROR(VLOOKUP($B38,Morning_Shift!$B$4:$BJ$61,MATCH(Both_Shift_Roster!I$2,Morning_Shift!$B$2:$BJ$2,0),0),"")="",IFERROR(VLOOKUP($B38,Evening_Shift!$B$4:$BJ$62,MATCH(Both_Shift_Roster!I$2,Evening_Shift!$B$2:$BJ$2,0),0),""),IFERROR(VLOOKUP($B38,Morning_Shift!$B$4:$BJ$61,MATCH(Both_Shift_Roster!I$2,Morning_Shift!$B$2:$BJ$2,0),0),""))</f>
        <v>7:00-14:30</v>
      </c>
      <c r="J38" s="2" t="str">
        <f>IF(IFERROR(VLOOKUP($B38,Morning_Shift!$B$4:$BJ$61,MATCH(Both_Shift_Roster!J$2,Morning_Shift!$B$2:$BJ$2,0),0),"")="",IFERROR(VLOOKUP($B38,Evening_Shift!$B$4:$BJ$62,MATCH(Both_Shift_Roster!J$2,Evening_Shift!$B$2:$BJ$2,0),0),""),IFERROR(VLOOKUP($B38,Morning_Shift!$B$4:$BJ$61,MATCH(Both_Shift_Roster!J$2,Morning_Shift!$B$2:$BJ$2,0),0),""))</f>
        <v>7:00-14:30</v>
      </c>
      <c r="K38" s="2" t="str">
        <f>IF(IFERROR(VLOOKUP($B38,Morning_Shift!$B$4:$BJ$61,MATCH(Both_Shift_Roster!K$2,Morning_Shift!$B$2:$BJ$2,0),0),"")="",IFERROR(VLOOKUP($B38,Evening_Shift!$B$4:$BJ$62,MATCH(Both_Shift_Roster!K$2,Evening_Shift!$B$2:$BJ$2,0),0),""),IFERROR(VLOOKUP($B38,Morning_Shift!$B$4:$BJ$61,MATCH(Both_Shift_Roster!K$2,Morning_Shift!$B$2:$BJ$2,0),0),""))</f>
        <v>7:00-14:30</v>
      </c>
      <c r="L38" s="2" t="str">
        <f>IF(IFERROR(VLOOKUP($B38,Morning_Shift!$B$4:$BJ$61,MATCH(Both_Shift_Roster!L$2,Morning_Shift!$B$2:$BJ$2,0),0),"")="",IFERROR(VLOOKUP($B38,Evening_Shift!$B$4:$BJ$62,MATCH(Both_Shift_Roster!L$2,Evening_Shift!$B$2:$BJ$2,0),0),""),IFERROR(VLOOKUP($B38,Morning_Shift!$B$4:$BJ$61,MATCH(Both_Shift_Roster!L$2,Morning_Shift!$B$2:$BJ$2,0),0),""))</f>
        <v>7:00-14:30</v>
      </c>
      <c r="M38" s="2" t="str">
        <f>IF(IFERROR(VLOOKUP($B38,Morning_Shift!$B$4:$BJ$61,MATCH(Both_Shift_Roster!M$2,Morning_Shift!$B$2:$BJ$2,0),0),"")="",IFERROR(VLOOKUP($B38,Evening_Shift!$B$4:$BJ$62,MATCH(Both_Shift_Roster!M$2,Evening_Shift!$B$2:$BJ$2,0),0),""),IFERROR(VLOOKUP($B38,Morning_Shift!$B$4:$BJ$61,MATCH(Both_Shift_Roster!M$2,Morning_Shift!$B$2:$BJ$2,0),0),""))</f>
        <v>7:00-14:30</v>
      </c>
      <c r="N38" s="2">
        <f t="shared" si="15"/>
        <v>0</v>
      </c>
      <c r="O38" s="2">
        <f t="shared" si="16"/>
        <v>0</v>
      </c>
      <c r="P38" s="2">
        <f t="shared" si="17"/>
        <v>0</v>
      </c>
      <c r="Q38" s="2">
        <f t="shared" si="18"/>
        <v>0</v>
      </c>
      <c r="R38" s="2">
        <f t="shared" si="19"/>
        <v>0</v>
      </c>
      <c r="S38" s="2" t="str">
        <f>IF(IFERROR(VLOOKUP($B38,Morning_Shift!$B$4:$BJ$61,MATCH(Both_Shift_Roster!S$2,Morning_Shift!$B$2:$BJ$2,0),0),"")="",IFERROR(VLOOKUP($B38,Evening_Shift!$B$4:$BJ$62,MATCH(Both_Shift_Roster!S$2,Evening_Shift!$B$2:$BJ$2,0),0),""),IFERROR(VLOOKUP($B38,Morning_Shift!$B$4:$BJ$61,MATCH(Both_Shift_Roster!S$2,Morning_Shift!$B$2:$BJ$2,0),0),""))</f>
        <v>Agent Choice WO</v>
      </c>
      <c r="T38" s="2" t="str">
        <f>IF(IFERROR(VLOOKUP($B38,Morning_Shift!$B$4:$BJ$61,MATCH(Both_Shift_Roster!T$2,Morning_Shift!$B$2:$BJ$2,0),0),"")="",IFERROR(VLOOKUP($B38,Evening_Shift!$B$4:$BJ$62,MATCH(Both_Shift_Roster!T$2,Evening_Shift!$B$2:$BJ$2,0),0),""),IFERROR(VLOOKUP($B38,Morning_Shift!$B$4:$BJ$61,MATCH(Both_Shift_Roster!T$2,Morning_Shift!$B$2:$BJ$2,0),0),""))</f>
        <v>7:00-14:30</v>
      </c>
      <c r="U38" s="2" t="str">
        <f>IF(IFERROR(VLOOKUP($B38,Morning_Shift!$B$4:$BJ$61,MATCH(Both_Shift_Roster!U$2,Morning_Shift!$B$2:$BJ$2,0),0),"")="",IFERROR(VLOOKUP($B38,Evening_Shift!$B$4:$BJ$62,MATCH(Both_Shift_Roster!U$2,Evening_Shift!$B$2:$BJ$2,0),0),""),IFERROR(VLOOKUP($B38,Morning_Shift!$B$4:$BJ$61,MATCH(Both_Shift_Roster!U$2,Morning_Shift!$B$2:$BJ$2,0),0),""))</f>
        <v>7:00-14:30</v>
      </c>
      <c r="V38" s="2" t="str">
        <f>IF(IFERROR(VLOOKUP($B38,Morning_Shift!$B$4:$BJ$61,MATCH(Both_Shift_Roster!V$2,Morning_Shift!$B$2:$BJ$2,0),0),"")="",IFERROR(VLOOKUP($B38,Evening_Shift!$B$4:$BJ$62,MATCH(Both_Shift_Roster!V$2,Evening_Shift!$B$2:$BJ$2,0),0),""),IFERROR(VLOOKUP($B38,Morning_Shift!$B$4:$BJ$61,MATCH(Both_Shift_Roster!V$2,Morning_Shift!$B$2:$BJ$2,0),0),""))</f>
        <v>7:00-14:30</v>
      </c>
      <c r="W38" s="2" t="str">
        <f>IF(IFERROR(VLOOKUP($B38,Morning_Shift!$B$4:$BJ$61,MATCH(Both_Shift_Roster!W$2,Morning_Shift!$B$2:$BJ$2,0),0),"")="",IFERROR(VLOOKUP($B38,Evening_Shift!$B$4:$BJ$62,MATCH(Both_Shift_Roster!W$2,Evening_Shift!$B$2:$BJ$2,0),0),""),IFERROR(VLOOKUP($B38,Morning_Shift!$B$4:$BJ$61,MATCH(Both_Shift_Roster!W$2,Morning_Shift!$B$2:$BJ$2,0),0),""))</f>
        <v>7:00-14:30</v>
      </c>
      <c r="X38" s="2" t="str">
        <f>IF(IFERROR(VLOOKUP($B38,Morning_Shift!$B$4:$BJ$61,MATCH(Both_Shift_Roster!X$2,Morning_Shift!$B$2:$BJ$2,0),0),"")="",IFERROR(VLOOKUP($B38,Evening_Shift!$B$4:$BJ$62,MATCH(Both_Shift_Roster!X$2,Evening_Shift!$B$2:$BJ$2,0),0),""),IFERROR(VLOOKUP($B38,Morning_Shift!$B$4:$BJ$61,MATCH(Both_Shift_Roster!X$2,Morning_Shift!$B$2:$BJ$2,0),0),""))</f>
        <v>7:00-14:30</v>
      </c>
      <c r="Y38" s="2" t="str">
        <f>IF(IFERROR(VLOOKUP($B38,Morning_Shift!$B$4:$BJ$61,MATCH(Both_Shift_Roster!Y$2,Morning_Shift!$B$2:$BJ$2,0),0),"")="",IFERROR(VLOOKUP($B38,Evening_Shift!$B$4:$BJ$62,MATCH(Both_Shift_Roster!Y$2,Evening_Shift!$B$2:$BJ$2,0),0),""),IFERROR(VLOOKUP($B38,Morning_Shift!$B$4:$BJ$61,MATCH(Both_Shift_Roster!Y$2,Morning_Shift!$B$2:$BJ$2,0),0),""))</f>
        <v>7:00-14:30</v>
      </c>
      <c r="Z38" s="2">
        <f t="shared" si="20"/>
        <v>1</v>
      </c>
      <c r="AA38" s="2">
        <f t="shared" si="21"/>
        <v>0</v>
      </c>
      <c r="AB38" s="2">
        <f t="shared" si="22"/>
        <v>0</v>
      </c>
      <c r="AC38" s="2">
        <f t="shared" si="23"/>
        <v>0</v>
      </c>
      <c r="AD38" s="2">
        <f t="shared" si="24"/>
        <v>0</v>
      </c>
      <c r="AE38" s="2" t="str">
        <f>IF(IFERROR(VLOOKUP($B38,Morning_Shift!$B$4:$BJ$61,MATCH(Both_Shift_Roster!AE$2,Morning_Shift!$B$2:$BJ$2,0),0),"")="",IFERROR(VLOOKUP($B38,Evening_Shift!$B$4:$BJ$62,MATCH(Both_Shift_Roster!AE$2,Evening_Shift!$B$2:$BJ$2,0),0),""),IFERROR(VLOOKUP($B38,Morning_Shift!$B$4:$BJ$61,MATCH(Both_Shift_Roster!AE$2,Morning_Shift!$B$2:$BJ$2,0),0),""))</f>
        <v>7:00-14:30</v>
      </c>
      <c r="AF38" s="2" t="str">
        <f>IF(IFERROR(VLOOKUP($B38,Morning_Shift!$B$4:$BJ$61,MATCH(Both_Shift_Roster!AF$2,Morning_Shift!$B$2:$BJ$2,0),0),"")="",IFERROR(VLOOKUP($B38,Evening_Shift!$B$4:$BJ$62,MATCH(Both_Shift_Roster!AF$2,Evening_Shift!$B$2:$BJ$2,0),0),""),IFERROR(VLOOKUP($B38,Morning_Shift!$B$4:$BJ$61,MATCH(Both_Shift_Roster!AF$2,Morning_Shift!$B$2:$BJ$2,0),0),""))</f>
        <v>Agent Choice WO</v>
      </c>
      <c r="AG38" s="2" t="str">
        <f>IF(IFERROR(VLOOKUP($B38,Morning_Shift!$B$4:$BJ$61,MATCH(Both_Shift_Roster!AG$2,Morning_Shift!$B$2:$BJ$2,0),0),"")="",IFERROR(VLOOKUP($B38,Evening_Shift!$B$4:$BJ$62,MATCH(Both_Shift_Roster!AG$2,Evening_Shift!$B$2:$BJ$2,0),0),""),IFERROR(VLOOKUP($B38,Morning_Shift!$B$4:$BJ$61,MATCH(Both_Shift_Roster!AG$2,Morning_Shift!$B$2:$BJ$2,0),0),""))</f>
        <v>7:00-14:30</v>
      </c>
      <c r="AH38" s="2" t="str">
        <f>IF(IFERROR(VLOOKUP($B38,Morning_Shift!$B$4:$BJ$61,MATCH(Both_Shift_Roster!AH$2,Morning_Shift!$B$2:$BJ$2,0),0),"")="",IFERROR(VLOOKUP($B38,Evening_Shift!$B$4:$BJ$62,MATCH(Both_Shift_Roster!AH$2,Evening_Shift!$B$2:$BJ$2,0),0),""),IFERROR(VLOOKUP($B38,Morning_Shift!$B$4:$BJ$61,MATCH(Both_Shift_Roster!AH$2,Morning_Shift!$B$2:$BJ$2,0),0),""))</f>
        <v>7:00-14:30</v>
      </c>
      <c r="AI38" s="2" t="str">
        <f>IF(IFERROR(VLOOKUP($B38,Morning_Shift!$B$4:$BJ$61,MATCH(Both_Shift_Roster!AI$2,Morning_Shift!$B$2:$BJ$2,0),0),"")="",IFERROR(VLOOKUP($B38,Evening_Shift!$B$4:$BJ$62,MATCH(Both_Shift_Roster!AI$2,Evening_Shift!$B$2:$BJ$2,0),0),""),IFERROR(VLOOKUP($B38,Morning_Shift!$B$4:$BJ$61,MATCH(Both_Shift_Roster!AI$2,Morning_Shift!$B$2:$BJ$2,0),0),""))</f>
        <v>7:00-14:30</v>
      </c>
      <c r="AJ38" s="2" t="str">
        <f>IF(IFERROR(VLOOKUP($B38,Morning_Shift!$B$4:$BJ$61,MATCH(Both_Shift_Roster!AJ$2,Morning_Shift!$B$2:$BJ$2,0),0),"")="",IFERROR(VLOOKUP($B38,Evening_Shift!$B$4:$BJ$62,MATCH(Both_Shift_Roster!AJ$2,Evening_Shift!$B$2:$BJ$2,0),0),""),IFERROR(VLOOKUP($B38,Morning_Shift!$B$4:$BJ$61,MATCH(Both_Shift_Roster!AJ$2,Morning_Shift!$B$2:$BJ$2,0),0),""))</f>
        <v>7:00-14:30</v>
      </c>
      <c r="AK38" s="2" t="str">
        <f>IF(IFERROR(VLOOKUP($B38,Morning_Shift!$B$4:$BJ$61,MATCH(Both_Shift_Roster!AK$2,Morning_Shift!$B$2:$BJ$2,0),0),"")="",IFERROR(VLOOKUP($B38,Evening_Shift!$B$4:$BJ$62,MATCH(Both_Shift_Roster!AK$2,Evening_Shift!$B$2:$BJ$2,0),0),""),IFERROR(VLOOKUP($B38,Morning_Shift!$B$4:$BJ$61,MATCH(Both_Shift_Roster!AK$2,Morning_Shift!$B$2:$BJ$2,0),0),""))</f>
        <v>7:00-14:30</v>
      </c>
      <c r="AL38" s="2">
        <f t="shared" si="25"/>
        <v>1</v>
      </c>
      <c r="AM38" s="2">
        <f t="shared" si="26"/>
        <v>0</v>
      </c>
      <c r="AN38" s="2">
        <f t="shared" si="27"/>
        <v>0</v>
      </c>
      <c r="AO38" s="2">
        <f t="shared" si="28"/>
        <v>0</v>
      </c>
      <c r="AP38" s="2">
        <f t="shared" si="29"/>
        <v>0</v>
      </c>
      <c r="AQ38" s="2" t="str">
        <f>IF(IFERROR(VLOOKUP($B38,Morning_Shift!$B$4:$BJ$61,MATCH(Both_Shift_Roster!AQ$2,Morning_Shift!$B$2:$BJ$2,0),0),"")="",IFERROR(VLOOKUP($B38,Evening_Shift!$B$4:$BJ$62,MATCH(Both_Shift_Roster!AQ$2,Evening_Shift!$B$2:$BJ$2,0),0),""),IFERROR(VLOOKUP($B38,Morning_Shift!$B$4:$BJ$61,MATCH(Both_Shift_Roster!AQ$2,Morning_Shift!$B$2:$BJ$2,0),0),""))</f>
        <v>7:00-14:30</v>
      </c>
      <c r="AR38" s="2" t="str">
        <f>IF(IFERROR(VLOOKUP($B38,Morning_Shift!$B$4:$BJ$61,MATCH(Both_Shift_Roster!AR$2,Morning_Shift!$B$2:$BJ$2,0),0),"")="",IFERROR(VLOOKUP($B38,Evening_Shift!$B$4:$BJ$62,MATCH(Both_Shift_Roster!AR$2,Evening_Shift!$B$2:$BJ$2,0),0),""),IFERROR(VLOOKUP($B38,Morning_Shift!$B$4:$BJ$61,MATCH(Both_Shift_Roster!AR$2,Morning_Shift!$B$2:$BJ$2,0),0),""))</f>
        <v>7:00-14:30</v>
      </c>
      <c r="AS38" s="2" t="str">
        <f>IF(IFERROR(VLOOKUP($B38,Morning_Shift!$B$4:$BJ$61,MATCH(Both_Shift_Roster!AS$2,Morning_Shift!$B$2:$BJ$2,0),0),"")="",IFERROR(VLOOKUP($B38,Evening_Shift!$B$4:$BJ$62,MATCH(Both_Shift_Roster!AS$2,Evening_Shift!$B$2:$BJ$2,0),0),""),IFERROR(VLOOKUP($B38,Morning_Shift!$B$4:$BJ$61,MATCH(Both_Shift_Roster!AS$2,Morning_Shift!$B$2:$BJ$2,0),0),""))</f>
        <v>7:00-14:30</v>
      </c>
      <c r="AT38" s="2" t="str">
        <f>IF(IFERROR(VLOOKUP($B38,Morning_Shift!$B$4:$BJ$61,MATCH(Both_Shift_Roster!AT$2,Morning_Shift!$B$2:$BJ$2,0),0),"")="",IFERROR(VLOOKUP($B38,Evening_Shift!$B$4:$BJ$62,MATCH(Both_Shift_Roster!AT$2,Evening_Shift!$B$2:$BJ$2,0),0),""),IFERROR(VLOOKUP($B38,Morning_Shift!$B$4:$BJ$61,MATCH(Both_Shift_Roster!AT$2,Morning_Shift!$B$2:$BJ$2,0),0),""))</f>
        <v>7:00-14:30</v>
      </c>
      <c r="AU38" s="2" t="str">
        <f>IF(IFERROR(VLOOKUP($B38,Morning_Shift!$B$4:$BJ$61,MATCH(Both_Shift_Roster!AU$2,Morning_Shift!$B$2:$BJ$2,0),0),"")="",IFERROR(VLOOKUP($B38,Evening_Shift!$B$4:$BJ$62,MATCH(Both_Shift_Roster!AU$2,Evening_Shift!$B$2:$BJ$2,0),0),""),IFERROR(VLOOKUP($B38,Morning_Shift!$B$4:$BJ$61,MATCH(Both_Shift_Roster!AU$2,Morning_Shift!$B$2:$BJ$2,0),0),""))</f>
        <v>Agent Choice WO</v>
      </c>
      <c r="AV38" s="2" t="str">
        <f>IF(IFERROR(VLOOKUP($B38,Morning_Shift!$B$4:$BJ$61,MATCH(Both_Shift_Roster!AV$2,Morning_Shift!$B$2:$BJ$2,0),0),"")="",IFERROR(VLOOKUP($B38,Evening_Shift!$B$4:$BJ$62,MATCH(Both_Shift_Roster!AV$2,Evening_Shift!$B$2:$BJ$2,0),0),""),IFERROR(VLOOKUP($B38,Morning_Shift!$B$4:$BJ$61,MATCH(Both_Shift_Roster!AV$2,Morning_Shift!$B$2:$BJ$2,0),0),""))</f>
        <v>7:00-14:30</v>
      </c>
      <c r="AW38" s="2" t="str">
        <f>IF(IFERROR(VLOOKUP($B38,Morning_Shift!$B$4:$BJ$61,MATCH(Both_Shift_Roster!AW$2,Morning_Shift!$B$2:$BJ$2,0),0),"")="",IFERROR(VLOOKUP($B38,Evening_Shift!$B$4:$BJ$62,MATCH(Both_Shift_Roster!AW$2,Evening_Shift!$B$2:$BJ$2,0),0),""),IFERROR(VLOOKUP($B38,Morning_Shift!$B$4:$BJ$61,MATCH(Both_Shift_Roster!AW$2,Morning_Shift!$B$2:$BJ$2,0),0),""))</f>
        <v>7:00-14:30</v>
      </c>
      <c r="AX38" s="2">
        <f t="shared" si="30"/>
        <v>1</v>
      </c>
      <c r="AY38" s="2">
        <f t="shared" si="31"/>
        <v>0</v>
      </c>
      <c r="AZ38" s="2">
        <f t="shared" si="32"/>
        <v>0</v>
      </c>
      <c r="BA38" s="2">
        <f t="shared" si="33"/>
        <v>0</v>
      </c>
      <c r="BB38" s="2">
        <f t="shared" si="34"/>
        <v>0</v>
      </c>
      <c r="BC38" s="2" t="str">
        <f>IF(IFERROR(VLOOKUP($B38,Morning_Shift!$B$4:$BJ$61,MATCH(Both_Shift_Roster!BC$2,Morning_Shift!$B$2:$BJ$2,0),0),"")="",IFERROR(VLOOKUP($B38,Evening_Shift!$B$4:$BJ$62,MATCH(Both_Shift_Roster!BC$2,Evening_Shift!$B$2:$BJ$2,0),0),""),IFERROR(VLOOKUP($B38,Morning_Shift!$B$4:$BJ$61,MATCH(Both_Shift_Roster!BC$2,Morning_Shift!$B$2:$BJ$2,0),0),""))</f>
        <v>Agent Choice WO</v>
      </c>
      <c r="BD38" s="2" t="str">
        <f>IF(IFERROR(VLOOKUP($B38,Morning_Shift!$B$4:$BJ$61,MATCH(Both_Shift_Roster!BD$2,Morning_Shift!$B$2:$BJ$2,0),0),"")="",IFERROR(VLOOKUP($B38,Evening_Shift!$B$4:$BJ$62,MATCH(Both_Shift_Roster!BD$2,Evening_Shift!$B$2:$BJ$2,0),0),""),IFERROR(VLOOKUP($B38,Morning_Shift!$B$4:$BJ$61,MATCH(Both_Shift_Roster!BD$2,Morning_Shift!$B$2:$BJ$2,0),0),""))</f>
        <v>7:00-14:30</v>
      </c>
      <c r="BE38" s="2" t="str">
        <f>IF(IFERROR(VLOOKUP($B38,Morning_Shift!$B$4:$BJ$61,MATCH(Both_Shift_Roster!BE$2,Morning_Shift!$B$2:$BJ$2,0),0),"")="",IFERROR(VLOOKUP($B38,Evening_Shift!$B$4:$BJ$59,MATCH(Both_Shift_Roster!BE$2,Evening_Shift!$B$2:$BJ$2,0),0),""),IFERROR(VLOOKUP($B38,Morning_Shift!$B$4:$BJ$61,MATCH(Both_Shift_Roster!BE$2,Morning_Shift!$B$2:$BJ$2,0),0),""))</f>
        <v>7:00-14:30</v>
      </c>
      <c r="BF38" s="2">
        <f t="shared" si="35"/>
        <v>1</v>
      </c>
      <c r="BG38" s="2">
        <f t="shared" si="36"/>
        <v>0</v>
      </c>
      <c r="BH38" s="2">
        <f t="shared" si="37"/>
        <v>0</v>
      </c>
      <c r="BI38" s="2">
        <f t="shared" si="38"/>
        <v>0</v>
      </c>
      <c r="BJ38" s="2">
        <f t="shared" si="39"/>
        <v>0</v>
      </c>
    </row>
    <row r="39" spans="1:62">
      <c r="A39" s="17">
        <f t="shared" si="40"/>
        <v>36</v>
      </c>
      <c r="B39" s="16" t="str">
        <f>Morning_Shift!$B39</f>
        <v>Dritm137</v>
      </c>
      <c r="C39" s="21" t="str">
        <f>IF(IFERROR(VLOOKUP(B39,Morning_Shift!B:C,2,0),"")="",IFERROR(VLOOKUP(B39,Evening_Shift!B:C,2,0),""),IFERROR(VLOOKUP(B39,Morning_Shift!B:C,2,0),""))</f>
        <v>Priyanka</v>
      </c>
      <c r="D39" s="15" t="str">
        <f>IF(IFERROR(VLOOKUP(B39,Morning_Shift!B:D,3,0),"")="",IFERROR(VLOOKUP(B39,Evening_Shift!B:D,3,0),""),IFERROR(VLOOKUP(B39,Morning_Shift!B:D,3,0),""))</f>
        <v>Naina</v>
      </c>
      <c r="E39" s="4" t="str">
        <f>IF(IFERROR(VLOOKUP(B39,Morning_Shift!B:E,4,0),"")="",IFERROR(VLOOKUP(B39,Evening_Shift!B:E,4,0),""),IFERROR(VLOOKUP(B39,Morning_Shift!B:E,4,0),""))</f>
        <v>F</v>
      </c>
      <c r="F39" s="5" t="str">
        <f>IF(IFERROR(VLOOKUP(B39,Morning_Shift!B:F,5,0),"")="",IFERROR(VLOOKUP(B39,Evening_Shift!B:F,5,0),""),IFERROR(VLOOKUP(B39,Morning_Shift!B:F,5,0),""))</f>
        <v>Inbound</v>
      </c>
      <c r="G39" s="2" t="str">
        <f>IF(IFERROR(VLOOKUP($B39,Morning_Shift!$B$4:$BJ$61,MATCH(Both_Shift_Roster!G$2,Morning_Shift!$B$2:$BJ$2,0),0),"")="",IFERROR(VLOOKUP($B39,Evening_Shift!$B$4:$BJ$62,MATCH(Both_Shift_Roster!G$2,Evening_Shift!$B$2:$BJ$2,0),0),""),IFERROR(VLOOKUP($B39,Morning_Shift!$B$4:$BJ$61,MATCH(Both_Shift_Roster!G$2,Morning_Shift!$B$2:$BJ$2,0),0),""))</f>
        <v>7:00-14:30</v>
      </c>
      <c r="H39" s="2" t="str">
        <f>IF(IFERROR(VLOOKUP($B39,Morning_Shift!$B$4:$BJ$61,MATCH(Both_Shift_Roster!H$2,Morning_Shift!$B$2:$BJ$2,0),0),"")="",IFERROR(VLOOKUP($B39,Evening_Shift!$B$4:$BJ$62,MATCH(Both_Shift_Roster!H$2,Evening_Shift!$B$2:$BJ$2,0),0),""),IFERROR(VLOOKUP($B39,Morning_Shift!$B$4:$BJ$61,MATCH(Both_Shift_Roster!H$2,Morning_Shift!$B$2:$BJ$2,0),0),""))</f>
        <v>7:00-14:30</v>
      </c>
      <c r="I39" s="2" t="str">
        <f>IF(IFERROR(VLOOKUP($B39,Morning_Shift!$B$4:$BJ$61,MATCH(Both_Shift_Roster!I$2,Morning_Shift!$B$2:$BJ$2,0),0),"")="",IFERROR(VLOOKUP($B39,Evening_Shift!$B$4:$BJ$62,MATCH(Both_Shift_Roster!I$2,Evening_Shift!$B$2:$BJ$2,0),0),""),IFERROR(VLOOKUP($B39,Morning_Shift!$B$4:$BJ$61,MATCH(Both_Shift_Roster!I$2,Morning_Shift!$B$2:$BJ$2,0),0),""))</f>
        <v>7:00-14:30</v>
      </c>
      <c r="J39" s="2" t="str">
        <f>IF(IFERROR(VLOOKUP($B39,Morning_Shift!$B$4:$BJ$61,MATCH(Both_Shift_Roster!J$2,Morning_Shift!$B$2:$BJ$2,0),0),"")="",IFERROR(VLOOKUP($B39,Evening_Shift!$B$4:$BJ$62,MATCH(Both_Shift_Roster!J$2,Evening_Shift!$B$2:$BJ$2,0),0),""),IFERROR(VLOOKUP($B39,Morning_Shift!$B$4:$BJ$61,MATCH(Both_Shift_Roster!J$2,Morning_Shift!$B$2:$BJ$2,0),0),""))</f>
        <v>7:00-14:30</v>
      </c>
      <c r="K39" s="2" t="str">
        <f>IF(IFERROR(VLOOKUP($B39,Morning_Shift!$B$4:$BJ$61,MATCH(Both_Shift_Roster!K$2,Morning_Shift!$B$2:$BJ$2,0),0),"")="",IFERROR(VLOOKUP($B39,Evening_Shift!$B$4:$BJ$62,MATCH(Both_Shift_Roster!K$2,Evening_Shift!$B$2:$BJ$2,0),0),""),IFERROR(VLOOKUP($B39,Morning_Shift!$B$4:$BJ$61,MATCH(Both_Shift_Roster!K$2,Morning_Shift!$B$2:$BJ$2,0),0),""))</f>
        <v>7:00-14:30</v>
      </c>
      <c r="L39" s="2" t="str">
        <f>IF(IFERROR(VLOOKUP($B39,Morning_Shift!$B$4:$BJ$61,MATCH(Both_Shift_Roster!L$2,Morning_Shift!$B$2:$BJ$2,0),0),"")="",IFERROR(VLOOKUP($B39,Evening_Shift!$B$4:$BJ$62,MATCH(Both_Shift_Roster!L$2,Evening_Shift!$B$2:$BJ$2,0),0),""),IFERROR(VLOOKUP($B39,Morning_Shift!$B$4:$BJ$61,MATCH(Both_Shift_Roster!L$2,Morning_Shift!$B$2:$BJ$2,0),0),""))</f>
        <v>7:00-14:30</v>
      </c>
      <c r="M39" s="2" t="str">
        <f>IF(IFERROR(VLOOKUP($B39,Morning_Shift!$B$4:$BJ$61,MATCH(Both_Shift_Roster!M$2,Morning_Shift!$B$2:$BJ$2,0),0),"")="",IFERROR(VLOOKUP($B39,Evening_Shift!$B$4:$BJ$62,MATCH(Both_Shift_Roster!M$2,Evening_Shift!$B$2:$BJ$2,0),0),""),IFERROR(VLOOKUP($B39,Morning_Shift!$B$4:$BJ$61,MATCH(Both_Shift_Roster!M$2,Morning_Shift!$B$2:$BJ$2,0),0),""))</f>
        <v>7:00-14:30</v>
      </c>
      <c r="N39" s="2">
        <f t="shared" si="15"/>
        <v>0</v>
      </c>
      <c r="O39" s="2">
        <f t="shared" si="16"/>
        <v>0</v>
      </c>
      <c r="P39" s="2">
        <f t="shared" si="17"/>
        <v>0</v>
      </c>
      <c r="Q39" s="2">
        <f t="shared" si="18"/>
        <v>0</v>
      </c>
      <c r="R39" s="2">
        <f t="shared" si="19"/>
        <v>0</v>
      </c>
      <c r="S39" s="2" t="str">
        <f>IF(IFERROR(VLOOKUP($B39,Morning_Shift!$B$4:$BJ$61,MATCH(Both_Shift_Roster!S$2,Morning_Shift!$B$2:$BJ$2,0),0),"")="",IFERROR(VLOOKUP($B39,Evening_Shift!$B$4:$BJ$62,MATCH(Both_Shift_Roster!S$2,Evening_Shift!$B$2:$BJ$2,0),0),""),IFERROR(VLOOKUP($B39,Morning_Shift!$B$4:$BJ$61,MATCH(Both_Shift_Roster!S$2,Morning_Shift!$B$2:$BJ$2,0),0),""))</f>
        <v>Agent Choice WO</v>
      </c>
      <c r="T39" s="2" t="str">
        <f>IF(IFERROR(VLOOKUP($B39,Morning_Shift!$B$4:$BJ$61,MATCH(Both_Shift_Roster!T$2,Morning_Shift!$B$2:$BJ$2,0),0),"")="",IFERROR(VLOOKUP($B39,Evening_Shift!$B$4:$BJ$62,MATCH(Both_Shift_Roster!T$2,Evening_Shift!$B$2:$BJ$2,0),0),""),IFERROR(VLOOKUP($B39,Morning_Shift!$B$4:$BJ$61,MATCH(Both_Shift_Roster!T$2,Morning_Shift!$B$2:$BJ$2,0),0),""))</f>
        <v>7:00-14:30</v>
      </c>
      <c r="U39" s="2" t="str">
        <f>IF(IFERROR(VLOOKUP($B39,Morning_Shift!$B$4:$BJ$61,MATCH(Both_Shift_Roster!U$2,Morning_Shift!$B$2:$BJ$2,0),0),"")="",IFERROR(VLOOKUP($B39,Evening_Shift!$B$4:$BJ$62,MATCH(Both_Shift_Roster!U$2,Evening_Shift!$B$2:$BJ$2,0),0),""),IFERROR(VLOOKUP($B39,Morning_Shift!$B$4:$BJ$61,MATCH(Both_Shift_Roster!U$2,Morning_Shift!$B$2:$BJ$2,0),0),""))</f>
        <v>7:00-14:30</v>
      </c>
      <c r="V39" s="2" t="str">
        <f>IF(IFERROR(VLOOKUP($B39,Morning_Shift!$B$4:$BJ$61,MATCH(Both_Shift_Roster!V$2,Morning_Shift!$B$2:$BJ$2,0),0),"")="",IFERROR(VLOOKUP($B39,Evening_Shift!$B$4:$BJ$62,MATCH(Both_Shift_Roster!V$2,Evening_Shift!$B$2:$BJ$2,0),0),""),IFERROR(VLOOKUP($B39,Morning_Shift!$B$4:$BJ$61,MATCH(Both_Shift_Roster!V$2,Morning_Shift!$B$2:$BJ$2,0),0),""))</f>
        <v>7:00-14:30</v>
      </c>
      <c r="W39" s="2" t="str">
        <f>IF(IFERROR(VLOOKUP($B39,Morning_Shift!$B$4:$BJ$61,MATCH(Both_Shift_Roster!W$2,Morning_Shift!$B$2:$BJ$2,0),0),"")="",IFERROR(VLOOKUP($B39,Evening_Shift!$B$4:$BJ$62,MATCH(Both_Shift_Roster!W$2,Evening_Shift!$B$2:$BJ$2,0),0),""),IFERROR(VLOOKUP($B39,Morning_Shift!$B$4:$BJ$61,MATCH(Both_Shift_Roster!W$2,Morning_Shift!$B$2:$BJ$2,0),0),""))</f>
        <v>7:00-14:30</v>
      </c>
      <c r="X39" s="2" t="str">
        <f>IF(IFERROR(VLOOKUP($B39,Morning_Shift!$B$4:$BJ$61,MATCH(Both_Shift_Roster!X$2,Morning_Shift!$B$2:$BJ$2,0),0),"")="",IFERROR(VLOOKUP($B39,Evening_Shift!$B$4:$BJ$62,MATCH(Both_Shift_Roster!X$2,Evening_Shift!$B$2:$BJ$2,0),0),""),IFERROR(VLOOKUP($B39,Morning_Shift!$B$4:$BJ$61,MATCH(Both_Shift_Roster!X$2,Morning_Shift!$B$2:$BJ$2,0),0),""))</f>
        <v>7:00-14:30</v>
      </c>
      <c r="Y39" s="2" t="str">
        <f>IF(IFERROR(VLOOKUP($B39,Morning_Shift!$B$4:$BJ$61,MATCH(Both_Shift_Roster!Y$2,Morning_Shift!$B$2:$BJ$2,0),0),"")="",IFERROR(VLOOKUP($B39,Evening_Shift!$B$4:$BJ$62,MATCH(Both_Shift_Roster!Y$2,Evening_Shift!$B$2:$BJ$2,0),0),""),IFERROR(VLOOKUP($B39,Morning_Shift!$B$4:$BJ$61,MATCH(Both_Shift_Roster!Y$2,Morning_Shift!$B$2:$BJ$2,0),0),""))</f>
        <v>7:00-14:30</v>
      </c>
      <c r="Z39" s="2">
        <f t="shared" si="20"/>
        <v>1</v>
      </c>
      <c r="AA39" s="2">
        <f t="shared" si="21"/>
        <v>0</v>
      </c>
      <c r="AB39" s="2">
        <f t="shared" si="22"/>
        <v>0</v>
      </c>
      <c r="AC39" s="2">
        <f t="shared" si="23"/>
        <v>0</v>
      </c>
      <c r="AD39" s="2">
        <f t="shared" si="24"/>
        <v>0</v>
      </c>
      <c r="AE39" s="2" t="str">
        <f>IF(IFERROR(VLOOKUP($B39,Morning_Shift!$B$4:$BJ$61,MATCH(Both_Shift_Roster!AE$2,Morning_Shift!$B$2:$BJ$2,0),0),"")="",IFERROR(VLOOKUP($B39,Evening_Shift!$B$4:$BJ$62,MATCH(Both_Shift_Roster!AE$2,Evening_Shift!$B$2:$BJ$2,0),0),""),IFERROR(VLOOKUP($B39,Morning_Shift!$B$4:$BJ$61,MATCH(Both_Shift_Roster!AE$2,Morning_Shift!$B$2:$BJ$2,0),0),""))</f>
        <v>7:00-14:30</v>
      </c>
      <c r="AF39" s="2" t="str">
        <f>IF(IFERROR(VLOOKUP($B39,Morning_Shift!$B$4:$BJ$61,MATCH(Both_Shift_Roster!AF$2,Morning_Shift!$B$2:$BJ$2,0),0),"")="",IFERROR(VLOOKUP($B39,Evening_Shift!$B$4:$BJ$62,MATCH(Both_Shift_Roster!AF$2,Evening_Shift!$B$2:$BJ$2,0),0),""),IFERROR(VLOOKUP($B39,Morning_Shift!$B$4:$BJ$61,MATCH(Both_Shift_Roster!AF$2,Morning_Shift!$B$2:$BJ$2,0),0),""))</f>
        <v>7:00-14:30</v>
      </c>
      <c r="AG39" s="2" t="str">
        <f>IF(IFERROR(VLOOKUP($B39,Morning_Shift!$B$4:$BJ$61,MATCH(Both_Shift_Roster!AG$2,Morning_Shift!$B$2:$BJ$2,0),0),"")="",IFERROR(VLOOKUP($B39,Evening_Shift!$B$4:$BJ$62,MATCH(Both_Shift_Roster!AG$2,Evening_Shift!$B$2:$BJ$2,0),0),""),IFERROR(VLOOKUP($B39,Morning_Shift!$B$4:$BJ$61,MATCH(Both_Shift_Roster!AG$2,Morning_Shift!$B$2:$BJ$2,0),0),""))</f>
        <v>7:00-14:30</v>
      </c>
      <c r="AH39" s="2" t="str">
        <f>IF(IFERROR(VLOOKUP($B39,Morning_Shift!$B$4:$BJ$61,MATCH(Both_Shift_Roster!AH$2,Morning_Shift!$B$2:$BJ$2,0),0),"")="",IFERROR(VLOOKUP($B39,Evening_Shift!$B$4:$BJ$62,MATCH(Both_Shift_Roster!AH$2,Evening_Shift!$B$2:$BJ$2,0),0),""),IFERROR(VLOOKUP($B39,Morning_Shift!$B$4:$BJ$61,MATCH(Both_Shift_Roster!AH$2,Morning_Shift!$B$2:$BJ$2,0),0),""))</f>
        <v>7:00-14:30</v>
      </c>
      <c r="AI39" s="2" t="str">
        <f>IF(IFERROR(VLOOKUP($B39,Morning_Shift!$B$4:$BJ$61,MATCH(Both_Shift_Roster!AI$2,Morning_Shift!$B$2:$BJ$2,0),0),"")="",IFERROR(VLOOKUP($B39,Evening_Shift!$B$4:$BJ$62,MATCH(Both_Shift_Roster!AI$2,Evening_Shift!$B$2:$BJ$2,0),0),""),IFERROR(VLOOKUP($B39,Morning_Shift!$B$4:$BJ$61,MATCH(Both_Shift_Roster!AI$2,Morning_Shift!$B$2:$BJ$2,0),0),""))</f>
        <v>Agent Choice WO</v>
      </c>
      <c r="AJ39" s="2" t="str">
        <f>IF(IFERROR(VLOOKUP($B39,Morning_Shift!$B$4:$BJ$61,MATCH(Both_Shift_Roster!AJ$2,Morning_Shift!$B$2:$BJ$2,0),0),"")="",IFERROR(VLOOKUP($B39,Evening_Shift!$B$4:$BJ$62,MATCH(Both_Shift_Roster!AJ$2,Evening_Shift!$B$2:$BJ$2,0),0),""),IFERROR(VLOOKUP($B39,Morning_Shift!$B$4:$BJ$61,MATCH(Both_Shift_Roster!AJ$2,Morning_Shift!$B$2:$BJ$2,0),0),""))</f>
        <v>7:00-14:30</v>
      </c>
      <c r="AK39" s="2" t="str">
        <f>IF(IFERROR(VLOOKUP($B39,Morning_Shift!$B$4:$BJ$61,MATCH(Both_Shift_Roster!AK$2,Morning_Shift!$B$2:$BJ$2,0),0),"")="",IFERROR(VLOOKUP($B39,Evening_Shift!$B$4:$BJ$62,MATCH(Both_Shift_Roster!AK$2,Evening_Shift!$B$2:$BJ$2,0),0),""),IFERROR(VLOOKUP($B39,Morning_Shift!$B$4:$BJ$61,MATCH(Both_Shift_Roster!AK$2,Morning_Shift!$B$2:$BJ$2,0),0),""))</f>
        <v>7:00-14:30</v>
      </c>
      <c r="AL39" s="2">
        <f t="shared" si="25"/>
        <v>1</v>
      </c>
      <c r="AM39" s="2">
        <f t="shared" si="26"/>
        <v>0</v>
      </c>
      <c r="AN39" s="2">
        <f t="shared" si="27"/>
        <v>0</v>
      </c>
      <c r="AO39" s="2">
        <f t="shared" si="28"/>
        <v>0</v>
      </c>
      <c r="AP39" s="2">
        <f t="shared" si="29"/>
        <v>0</v>
      </c>
      <c r="AQ39" s="2" t="str">
        <f>IF(IFERROR(VLOOKUP($B39,Morning_Shift!$B$4:$BJ$61,MATCH(Both_Shift_Roster!AQ$2,Morning_Shift!$B$2:$BJ$2,0),0),"")="",IFERROR(VLOOKUP($B39,Evening_Shift!$B$4:$BJ$62,MATCH(Both_Shift_Roster!AQ$2,Evening_Shift!$B$2:$BJ$2,0),0),""),IFERROR(VLOOKUP($B39,Morning_Shift!$B$4:$BJ$61,MATCH(Both_Shift_Roster!AQ$2,Morning_Shift!$B$2:$BJ$2,0),0),""))</f>
        <v>7:00-14:30</v>
      </c>
      <c r="AR39" s="2" t="str">
        <f>IF(IFERROR(VLOOKUP($B39,Morning_Shift!$B$4:$BJ$61,MATCH(Both_Shift_Roster!AR$2,Morning_Shift!$B$2:$BJ$2,0),0),"")="",IFERROR(VLOOKUP($B39,Evening_Shift!$B$4:$BJ$62,MATCH(Both_Shift_Roster!AR$2,Evening_Shift!$B$2:$BJ$2,0),0),""),IFERROR(VLOOKUP($B39,Morning_Shift!$B$4:$BJ$61,MATCH(Both_Shift_Roster!AR$2,Morning_Shift!$B$2:$BJ$2,0),0),""))</f>
        <v>7:00-14:30</v>
      </c>
      <c r="AS39" s="2" t="str">
        <f>IF(IFERROR(VLOOKUP($B39,Morning_Shift!$B$4:$BJ$61,MATCH(Both_Shift_Roster!AS$2,Morning_Shift!$B$2:$BJ$2,0),0),"")="",IFERROR(VLOOKUP($B39,Evening_Shift!$B$4:$BJ$62,MATCH(Both_Shift_Roster!AS$2,Evening_Shift!$B$2:$BJ$2,0),0),""),IFERROR(VLOOKUP($B39,Morning_Shift!$B$4:$BJ$61,MATCH(Both_Shift_Roster!AS$2,Morning_Shift!$B$2:$BJ$2,0),0),""))</f>
        <v>7:00-14:30</v>
      </c>
      <c r="AT39" s="2" t="str">
        <f>IF(IFERROR(VLOOKUP($B39,Morning_Shift!$B$4:$BJ$61,MATCH(Both_Shift_Roster!AT$2,Morning_Shift!$B$2:$BJ$2,0),0),"")="",IFERROR(VLOOKUP($B39,Evening_Shift!$B$4:$BJ$62,MATCH(Both_Shift_Roster!AT$2,Evening_Shift!$B$2:$BJ$2,0),0),""),IFERROR(VLOOKUP($B39,Morning_Shift!$B$4:$BJ$61,MATCH(Both_Shift_Roster!AT$2,Morning_Shift!$B$2:$BJ$2,0),0),""))</f>
        <v>7:00-14:30</v>
      </c>
      <c r="AU39" s="2" t="str">
        <f>IF(IFERROR(VLOOKUP($B39,Morning_Shift!$B$4:$BJ$61,MATCH(Both_Shift_Roster!AU$2,Morning_Shift!$B$2:$BJ$2,0),0),"")="",IFERROR(VLOOKUP($B39,Evening_Shift!$B$4:$BJ$62,MATCH(Both_Shift_Roster!AU$2,Evening_Shift!$B$2:$BJ$2,0),0),""),IFERROR(VLOOKUP($B39,Morning_Shift!$B$4:$BJ$61,MATCH(Both_Shift_Roster!AU$2,Morning_Shift!$B$2:$BJ$2,0),0),""))</f>
        <v>7:00-14:30</v>
      </c>
      <c r="AV39" s="2" t="str">
        <f>IF(IFERROR(VLOOKUP($B39,Morning_Shift!$B$4:$BJ$61,MATCH(Both_Shift_Roster!AV$2,Morning_Shift!$B$2:$BJ$2,0),0),"")="",IFERROR(VLOOKUP($B39,Evening_Shift!$B$4:$BJ$62,MATCH(Both_Shift_Roster!AV$2,Evening_Shift!$B$2:$BJ$2,0),0),""),IFERROR(VLOOKUP($B39,Morning_Shift!$B$4:$BJ$61,MATCH(Both_Shift_Roster!AV$2,Morning_Shift!$B$2:$BJ$2,0),0),""))</f>
        <v>7:00-14:30</v>
      </c>
      <c r="AW39" s="2" t="str">
        <f>IF(IFERROR(VLOOKUP($B39,Morning_Shift!$B$4:$BJ$61,MATCH(Both_Shift_Roster!AW$2,Morning_Shift!$B$2:$BJ$2,0),0),"")="",IFERROR(VLOOKUP($B39,Evening_Shift!$B$4:$BJ$62,MATCH(Both_Shift_Roster!AW$2,Evening_Shift!$B$2:$BJ$2,0),0),""),IFERROR(VLOOKUP($B39,Morning_Shift!$B$4:$BJ$61,MATCH(Both_Shift_Roster!AW$2,Morning_Shift!$B$2:$BJ$2,0),0),""))</f>
        <v>Agent Choice WO</v>
      </c>
      <c r="AX39" s="2">
        <f t="shared" si="30"/>
        <v>1</v>
      </c>
      <c r="AY39" s="2">
        <f t="shared" si="31"/>
        <v>0</v>
      </c>
      <c r="AZ39" s="2">
        <f t="shared" si="32"/>
        <v>0</v>
      </c>
      <c r="BA39" s="2">
        <f t="shared" si="33"/>
        <v>0</v>
      </c>
      <c r="BB39" s="2">
        <f t="shared" si="34"/>
        <v>0</v>
      </c>
      <c r="BC39" s="2" t="str">
        <f>IF(IFERROR(VLOOKUP($B39,Morning_Shift!$B$4:$BJ$61,MATCH(Both_Shift_Roster!BC$2,Morning_Shift!$B$2:$BJ$2,0),0),"")="",IFERROR(VLOOKUP($B39,Evening_Shift!$B$4:$BJ$62,MATCH(Both_Shift_Roster!BC$2,Evening_Shift!$B$2:$BJ$2,0),0),""),IFERROR(VLOOKUP($B39,Morning_Shift!$B$4:$BJ$61,MATCH(Both_Shift_Roster!BC$2,Morning_Shift!$B$2:$BJ$2,0),0),""))</f>
        <v>Agent Choice WO</v>
      </c>
      <c r="BD39" s="2" t="str">
        <f>IF(IFERROR(VLOOKUP($B39,Morning_Shift!$B$4:$BJ$61,MATCH(Both_Shift_Roster!BD$2,Morning_Shift!$B$2:$BJ$2,0),0),"")="",IFERROR(VLOOKUP($B39,Evening_Shift!$B$4:$BJ$62,MATCH(Both_Shift_Roster!BD$2,Evening_Shift!$B$2:$BJ$2,0),0),""),IFERROR(VLOOKUP($B39,Morning_Shift!$B$4:$BJ$61,MATCH(Both_Shift_Roster!BD$2,Morning_Shift!$B$2:$BJ$2,0),0),""))</f>
        <v>CL</v>
      </c>
      <c r="BE39" s="2" t="str">
        <f>IF(IFERROR(VLOOKUP($B39,Morning_Shift!$B$4:$BJ$61,MATCH(Both_Shift_Roster!BE$2,Morning_Shift!$B$2:$BJ$2,0),0),"")="",IFERROR(VLOOKUP($B39,Evening_Shift!$B$4:$BJ$59,MATCH(Both_Shift_Roster!BE$2,Evening_Shift!$B$2:$BJ$2,0),0),""),IFERROR(VLOOKUP($B39,Morning_Shift!$B$4:$BJ$61,MATCH(Both_Shift_Roster!BE$2,Morning_Shift!$B$2:$BJ$2,0),0),""))</f>
        <v>7:00-14:30</v>
      </c>
      <c r="BF39" s="2">
        <f t="shared" si="35"/>
        <v>1</v>
      </c>
      <c r="BG39" s="2">
        <f t="shared" si="36"/>
        <v>0</v>
      </c>
      <c r="BH39" s="2">
        <f t="shared" si="37"/>
        <v>1</v>
      </c>
      <c r="BI39" s="2">
        <f t="shared" si="38"/>
        <v>0</v>
      </c>
      <c r="BJ39" s="2">
        <f t="shared" si="39"/>
        <v>0</v>
      </c>
    </row>
    <row r="40" spans="1:62">
      <c r="A40" s="17">
        <f t="shared" si="40"/>
        <v>37</v>
      </c>
      <c r="B40" s="16" t="str">
        <f>Morning_Shift!$B40</f>
        <v>Dritm151</v>
      </c>
      <c r="C40" s="21" t="str">
        <f>IF(IFERROR(VLOOKUP(B40,Morning_Shift!B:C,2,0),"")="",IFERROR(VLOOKUP(B40,Evening_Shift!B:C,2,0),""),IFERROR(VLOOKUP(B40,Morning_Shift!B:C,2,0),""))</f>
        <v>Priyanshi</v>
      </c>
      <c r="D40" s="15" t="str">
        <f>IF(IFERROR(VLOOKUP(B40,Morning_Shift!B:D,3,0),"")="",IFERROR(VLOOKUP(B40,Evening_Shift!B:D,3,0),""),IFERROR(VLOOKUP(B40,Morning_Shift!B:D,3,0),""))</f>
        <v>Naina</v>
      </c>
      <c r="E40" s="4" t="str">
        <f>IF(IFERROR(VLOOKUP(B40,Morning_Shift!B:E,4,0),"")="",IFERROR(VLOOKUP(B40,Evening_Shift!B:E,4,0),""),IFERROR(VLOOKUP(B40,Morning_Shift!B:E,4,0),""))</f>
        <v>F</v>
      </c>
      <c r="F40" s="5" t="str">
        <f>IF(IFERROR(VLOOKUP(B40,Morning_Shift!B:F,5,0),"")="",IFERROR(VLOOKUP(B40,Evening_Shift!B:F,5,0),""),IFERROR(VLOOKUP(B40,Morning_Shift!B:F,5,0),""))</f>
        <v>Inbound</v>
      </c>
      <c r="G40" s="2" t="str">
        <f>IF(IFERROR(VLOOKUP($B40,Morning_Shift!$B$4:$BJ$61,MATCH(Both_Shift_Roster!G$2,Morning_Shift!$B$2:$BJ$2,0),0),"")="",IFERROR(VLOOKUP($B40,Evening_Shift!$B$4:$BJ$62,MATCH(Both_Shift_Roster!G$2,Evening_Shift!$B$2:$BJ$2,0),0),""),IFERROR(VLOOKUP($B40,Morning_Shift!$B$4:$BJ$61,MATCH(Both_Shift_Roster!G$2,Morning_Shift!$B$2:$BJ$2,0),0),""))</f>
        <v>7:00-14:30</v>
      </c>
      <c r="H40" s="2" t="str">
        <f>IF(IFERROR(VLOOKUP($B40,Morning_Shift!$B$4:$BJ$61,MATCH(Both_Shift_Roster!H$2,Morning_Shift!$B$2:$BJ$2,0),0),"")="",IFERROR(VLOOKUP($B40,Evening_Shift!$B$4:$BJ$62,MATCH(Both_Shift_Roster!H$2,Evening_Shift!$B$2:$BJ$2,0),0),""),IFERROR(VLOOKUP($B40,Morning_Shift!$B$4:$BJ$61,MATCH(Both_Shift_Roster!H$2,Morning_Shift!$B$2:$BJ$2,0),0),""))</f>
        <v>7:00-14:30</v>
      </c>
      <c r="I40" s="2" t="str">
        <f>IF(IFERROR(VLOOKUP($B40,Morning_Shift!$B$4:$BJ$61,MATCH(Both_Shift_Roster!I$2,Morning_Shift!$B$2:$BJ$2,0),0),"")="",IFERROR(VLOOKUP($B40,Evening_Shift!$B$4:$BJ$62,MATCH(Both_Shift_Roster!I$2,Evening_Shift!$B$2:$BJ$2,0),0),""),IFERROR(VLOOKUP($B40,Morning_Shift!$B$4:$BJ$61,MATCH(Both_Shift_Roster!I$2,Morning_Shift!$B$2:$BJ$2,0),0),""))</f>
        <v>7:00-14:30</v>
      </c>
      <c r="J40" s="2" t="str">
        <f>IF(IFERROR(VLOOKUP($B40,Morning_Shift!$B$4:$BJ$61,MATCH(Both_Shift_Roster!J$2,Morning_Shift!$B$2:$BJ$2,0),0),"")="",IFERROR(VLOOKUP($B40,Evening_Shift!$B$4:$BJ$62,MATCH(Both_Shift_Roster!J$2,Evening_Shift!$B$2:$BJ$2,0),0),""),IFERROR(VLOOKUP($B40,Morning_Shift!$B$4:$BJ$61,MATCH(Both_Shift_Roster!J$2,Morning_Shift!$B$2:$BJ$2,0),0),""))</f>
        <v>7:00-14:30</v>
      </c>
      <c r="K40" s="2" t="str">
        <f>IF(IFERROR(VLOOKUP($B40,Morning_Shift!$B$4:$BJ$61,MATCH(Both_Shift_Roster!K$2,Morning_Shift!$B$2:$BJ$2,0),0),"")="",IFERROR(VLOOKUP($B40,Evening_Shift!$B$4:$BJ$62,MATCH(Both_Shift_Roster!K$2,Evening_Shift!$B$2:$BJ$2,0),0),""),IFERROR(VLOOKUP($B40,Morning_Shift!$B$4:$BJ$61,MATCH(Both_Shift_Roster!K$2,Morning_Shift!$B$2:$BJ$2,0),0),""))</f>
        <v>7:00-14:30</v>
      </c>
      <c r="L40" s="2" t="str">
        <f>IF(IFERROR(VLOOKUP($B40,Morning_Shift!$B$4:$BJ$61,MATCH(Both_Shift_Roster!L$2,Morning_Shift!$B$2:$BJ$2,0),0),"")="",IFERROR(VLOOKUP($B40,Evening_Shift!$B$4:$BJ$62,MATCH(Both_Shift_Roster!L$2,Evening_Shift!$B$2:$BJ$2,0),0),""),IFERROR(VLOOKUP($B40,Morning_Shift!$B$4:$BJ$61,MATCH(Both_Shift_Roster!L$2,Morning_Shift!$B$2:$BJ$2,0),0),""))</f>
        <v>Agent Choice WO</v>
      </c>
      <c r="M40" s="2" t="str">
        <f>IF(IFERROR(VLOOKUP($B40,Morning_Shift!$B$4:$BJ$61,MATCH(Both_Shift_Roster!M$2,Morning_Shift!$B$2:$BJ$2,0),0),"")="",IFERROR(VLOOKUP($B40,Evening_Shift!$B$4:$BJ$62,MATCH(Both_Shift_Roster!M$2,Evening_Shift!$B$2:$BJ$2,0),0),""),IFERROR(VLOOKUP($B40,Morning_Shift!$B$4:$BJ$61,MATCH(Both_Shift_Roster!M$2,Morning_Shift!$B$2:$BJ$2,0),0),""))</f>
        <v>7:00-14:30</v>
      </c>
      <c r="N40" s="2">
        <f t="shared" si="15"/>
        <v>1</v>
      </c>
      <c r="O40" s="2">
        <f t="shared" si="16"/>
        <v>0</v>
      </c>
      <c r="P40" s="2">
        <f t="shared" si="17"/>
        <v>0</v>
      </c>
      <c r="Q40" s="2">
        <f t="shared" si="18"/>
        <v>0</v>
      </c>
      <c r="R40" s="2">
        <f t="shared" si="19"/>
        <v>0</v>
      </c>
      <c r="S40" s="2" t="str">
        <f>IF(IFERROR(VLOOKUP($B40,Morning_Shift!$B$4:$BJ$61,MATCH(Both_Shift_Roster!S$2,Morning_Shift!$B$2:$BJ$2,0),0),"")="",IFERROR(VLOOKUP($B40,Evening_Shift!$B$4:$BJ$62,MATCH(Both_Shift_Roster!S$2,Evening_Shift!$B$2:$BJ$2,0),0),""),IFERROR(VLOOKUP($B40,Morning_Shift!$B$4:$BJ$61,MATCH(Both_Shift_Roster!S$2,Morning_Shift!$B$2:$BJ$2,0),0),""))</f>
        <v>7:00-14:30</v>
      </c>
      <c r="T40" s="2" t="str">
        <f>IF(IFERROR(VLOOKUP($B40,Morning_Shift!$B$4:$BJ$61,MATCH(Both_Shift_Roster!T$2,Morning_Shift!$B$2:$BJ$2,0),0),"")="",IFERROR(VLOOKUP($B40,Evening_Shift!$B$4:$BJ$62,MATCH(Both_Shift_Roster!T$2,Evening_Shift!$B$2:$BJ$2,0),0),""),IFERROR(VLOOKUP($B40,Morning_Shift!$B$4:$BJ$61,MATCH(Both_Shift_Roster!T$2,Morning_Shift!$B$2:$BJ$2,0),0),""))</f>
        <v>7:00-14:30</v>
      </c>
      <c r="U40" s="2" t="str">
        <f>IF(IFERROR(VLOOKUP($B40,Morning_Shift!$B$4:$BJ$61,MATCH(Both_Shift_Roster!U$2,Morning_Shift!$B$2:$BJ$2,0),0),"")="",IFERROR(VLOOKUP($B40,Evening_Shift!$B$4:$BJ$62,MATCH(Both_Shift_Roster!U$2,Evening_Shift!$B$2:$BJ$2,0),0),""),IFERROR(VLOOKUP($B40,Morning_Shift!$B$4:$BJ$61,MATCH(Both_Shift_Roster!U$2,Morning_Shift!$B$2:$BJ$2,0),0),""))</f>
        <v>7:00-14:30</v>
      </c>
      <c r="V40" s="2" t="str">
        <f>IF(IFERROR(VLOOKUP($B40,Morning_Shift!$B$4:$BJ$61,MATCH(Both_Shift_Roster!V$2,Morning_Shift!$B$2:$BJ$2,0),0),"")="",IFERROR(VLOOKUP($B40,Evening_Shift!$B$4:$BJ$62,MATCH(Both_Shift_Roster!V$2,Evening_Shift!$B$2:$BJ$2,0),0),""),IFERROR(VLOOKUP($B40,Morning_Shift!$B$4:$BJ$61,MATCH(Both_Shift_Roster!V$2,Morning_Shift!$B$2:$BJ$2,0),0),""))</f>
        <v>7:00-14:30</v>
      </c>
      <c r="W40" s="2" t="str">
        <f>IF(IFERROR(VLOOKUP($B40,Morning_Shift!$B$4:$BJ$61,MATCH(Both_Shift_Roster!W$2,Morning_Shift!$B$2:$BJ$2,0),0),"")="",IFERROR(VLOOKUP($B40,Evening_Shift!$B$4:$BJ$62,MATCH(Both_Shift_Roster!W$2,Evening_Shift!$B$2:$BJ$2,0),0),""),IFERROR(VLOOKUP($B40,Morning_Shift!$B$4:$BJ$61,MATCH(Both_Shift_Roster!W$2,Morning_Shift!$B$2:$BJ$2,0),0),""))</f>
        <v>Agent Choice WO</v>
      </c>
      <c r="X40" s="2" t="str">
        <f>IF(IFERROR(VLOOKUP($B40,Morning_Shift!$B$4:$BJ$61,MATCH(Both_Shift_Roster!X$2,Morning_Shift!$B$2:$BJ$2,0),0),"")="",IFERROR(VLOOKUP($B40,Evening_Shift!$B$4:$BJ$62,MATCH(Both_Shift_Roster!X$2,Evening_Shift!$B$2:$BJ$2,0),0),""),IFERROR(VLOOKUP($B40,Morning_Shift!$B$4:$BJ$61,MATCH(Both_Shift_Roster!X$2,Morning_Shift!$B$2:$BJ$2,0),0),""))</f>
        <v>7:00-14:30</v>
      </c>
      <c r="Y40" s="2" t="str">
        <f>IF(IFERROR(VLOOKUP($B40,Morning_Shift!$B$4:$BJ$61,MATCH(Both_Shift_Roster!Y$2,Morning_Shift!$B$2:$BJ$2,0),0),"")="",IFERROR(VLOOKUP($B40,Evening_Shift!$B$4:$BJ$62,MATCH(Both_Shift_Roster!Y$2,Evening_Shift!$B$2:$BJ$2,0),0),""),IFERROR(VLOOKUP($B40,Morning_Shift!$B$4:$BJ$61,MATCH(Both_Shift_Roster!Y$2,Morning_Shift!$B$2:$BJ$2,0),0),""))</f>
        <v>7:00-14:30</v>
      </c>
      <c r="Z40" s="2">
        <f t="shared" si="20"/>
        <v>1</v>
      </c>
      <c r="AA40" s="2">
        <f t="shared" si="21"/>
        <v>0</v>
      </c>
      <c r="AB40" s="2">
        <f t="shared" si="22"/>
        <v>0</v>
      </c>
      <c r="AC40" s="2">
        <f t="shared" si="23"/>
        <v>0</v>
      </c>
      <c r="AD40" s="2">
        <f t="shared" si="24"/>
        <v>0</v>
      </c>
      <c r="AE40" s="2" t="str">
        <f>IF(IFERROR(VLOOKUP($B40,Morning_Shift!$B$4:$BJ$61,MATCH(Both_Shift_Roster!AE$2,Morning_Shift!$B$2:$BJ$2,0),0),"")="",IFERROR(VLOOKUP($B40,Evening_Shift!$B$4:$BJ$62,MATCH(Both_Shift_Roster!AE$2,Evening_Shift!$B$2:$BJ$2,0),0),""),IFERROR(VLOOKUP($B40,Morning_Shift!$B$4:$BJ$61,MATCH(Both_Shift_Roster!AE$2,Morning_Shift!$B$2:$BJ$2,0),0),""))</f>
        <v>7:00-14:30</v>
      </c>
      <c r="AF40" s="2" t="str">
        <f>IF(IFERROR(VLOOKUP($B40,Morning_Shift!$B$4:$BJ$61,MATCH(Both_Shift_Roster!AF$2,Morning_Shift!$B$2:$BJ$2,0),0),"")="",IFERROR(VLOOKUP($B40,Evening_Shift!$B$4:$BJ$62,MATCH(Both_Shift_Roster!AF$2,Evening_Shift!$B$2:$BJ$2,0),0),""),IFERROR(VLOOKUP($B40,Morning_Shift!$B$4:$BJ$61,MATCH(Both_Shift_Roster!AF$2,Morning_Shift!$B$2:$BJ$2,0),0),""))</f>
        <v>Agent Choice WO</v>
      </c>
      <c r="AG40" s="2" t="str">
        <f>IF(IFERROR(VLOOKUP($B40,Morning_Shift!$B$4:$BJ$61,MATCH(Both_Shift_Roster!AG$2,Morning_Shift!$B$2:$BJ$2,0),0),"")="",IFERROR(VLOOKUP($B40,Evening_Shift!$B$4:$BJ$62,MATCH(Both_Shift_Roster!AG$2,Evening_Shift!$B$2:$BJ$2,0),0),""),IFERROR(VLOOKUP($B40,Morning_Shift!$B$4:$BJ$61,MATCH(Both_Shift_Roster!AG$2,Morning_Shift!$B$2:$BJ$2,0),0),""))</f>
        <v>7:00-14:30</v>
      </c>
      <c r="AH40" s="2" t="str">
        <f>IF(IFERROR(VLOOKUP($B40,Morning_Shift!$B$4:$BJ$61,MATCH(Both_Shift_Roster!AH$2,Morning_Shift!$B$2:$BJ$2,0),0),"")="",IFERROR(VLOOKUP($B40,Evening_Shift!$B$4:$BJ$62,MATCH(Both_Shift_Roster!AH$2,Evening_Shift!$B$2:$BJ$2,0),0),""),IFERROR(VLOOKUP($B40,Morning_Shift!$B$4:$BJ$61,MATCH(Both_Shift_Roster!AH$2,Morning_Shift!$B$2:$BJ$2,0),0),""))</f>
        <v>7:00-14:30</v>
      </c>
      <c r="AI40" s="2" t="str">
        <f>IF(IFERROR(VLOOKUP($B40,Morning_Shift!$B$4:$BJ$61,MATCH(Both_Shift_Roster!AI$2,Morning_Shift!$B$2:$BJ$2,0),0),"")="",IFERROR(VLOOKUP($B40,Evening_Shift!$B$4:$BJ$62,MATCH(Both_Shift_Roster!AI$2,Evening_Shift!$B$2:$BJ$2,0),0),""),IFERROR(VLOOKUP($B40,Morning_Shift!$B$4:$BJ$61,MATCH(Both_Shift_Roster!AI$2,Morning_Shift!$B$2:$BJ$2,0),0),""))</f>
        <v>7:00-14:30</v>
      </c>
      <c r="AJ40" s="2" t="str">
        <f>IF(IFERROR(VLOOKUP($B40,Morning_Shift!$B$4:$BJ$61,MATCH(Both_Shift_Roster!AJ$2,Morning_Shift!$B$2:$BJ$2,0),0),"")="",IFERROR(VLOOKUP($B40,Evening_Shift!$B$4:$BJ$62,MATCH(Both_Shift_Roster!AJ$2,Evening_Shift!$B$2:$BJ$2,0),0),""),IFERROR(VLOOKUP($B40,Morning_Shift!$B$4:$BJ$61,MATCH(Both_Shift_Roster!AJ$2,Morning_Shift!$B$2:$BJ$2,0),0),""))</f>
        <v>7:00-14:30</v>
      </c>
      <c r="AK40" s="2" t="str">
        <f>IF(IFERROR(VLOOKUP($B40,Morning_Shift!$B$4:$BJ$61,MATCH(Both_Shift_Roster!AK$2,Morning_Shift!$B$2:$BJ$2,0),0),"")="",IFERROR(VLOOKUP($B40,Evening_Shift!$B$4:$BJ$62,MATCH(Both_Shift_Roster!AK$2,Evening_Shift!$B$2:$BJ$2,0),0),""),IFERROR(VLOOKUP($B40,Morning_Shift!$B$4:$BJ$61,MATCH(Both_Shift_Roster!AK$2,Morning_Shift!$B$2:$BJ$2,0),0),""))</f>
        <v>7:00-14:30</v>
      </c>
      <c r="AL40" s="2">
        <f t="shared" si="25"/>
        <v>1</v>
      </c>
      <c r="AM40" s="2">
        <f t="shared" si="26"/>
        <v>0</v>
      </c>
      <c r="AN40" s="2">
        <f t="shared" si="27"/>
        <v>0</v>
      </c>
      <c r="AO40" s="2">
        <f t="shared" si="28"/>
        <v>0</v>
      </c>
      <c r="AP40" s="2">
        <f t="shared" si="29"/>
        <v>0</v>
      </c>
      <c r="AQ40" s="2" t="str">
        <f>IF(IFERROR(VLOOKUP($B40,Morning_Shift!$B$4:$BJ$61,MATCH(Both_Shift_Roster!AQ$2,Morning_Shift!$B$2:$BJ$2,0),0),"")="",IFERROR(VLOOKUP($B40,Evening_Shift!$B$4:$BJ$62,MATCH(Both_Shift_Roster!AQ$2,Evening_Shift!$B$2:$BJ$2,0),0),""),IFERROR(VLOOKUP($B40,Morning_Shift!$B$4:$BJ$61,MATCH(Both_Shift_Roster!AQ$2,Morning_Shift!$B$2:$BJ$2,0),0),""))</f>
        <v>7:00-14:30</v>
      </c>
      <c r="AR40" s="2" t="str">
        <f>IF(IFERROR(VLOOKUP($B40,Morning_Shift!$B$4:$BJ$61,MATCH(Both_Shift_Roster!AR$2,Morning_Shift!$B$2:$BJ$2,0),0),"")="",IFERROR(VLOOKUP($B40,Evening_Shift!$B$4:$BJ$62,MATCH(Both_Shift_Roster!AR$2,Evening_Shift!$B$2:$BJ$2,0),0),""),IFERROR(VLOOKUP($B40,Morning_Shift!$B$4:$BJ$61,MATCH(Both_Shift_Roster!AR$2,Morning_Shift!$B$2:$BJ$2,0),0),""))</f>
        <v>7:00-14:30</v>
      </c>
      <c r="AS40" s="2" t="str">
        <f>IF(IFERROR(VLOOKUP($B40,Morning_Shift!$B$4:$BJ$61,MATCH(Both_Shift_Roster!AS$2,Morning_Shift!$B$2:$BJ$2,0),0),"")="",IFERROR(VLOOKUP($B40,Evening_Shift!$B$4:$BJ$62,MATCH(Both_Shift_Roster!AS$2,Evening_Shift!$B$2:$BJ$2,0),0),""),IFERROR(VLOOKUP($B40,Morning_Shift!$B$4:$BJ$61,MATCH(Both_Shift_Roster!AS$2,Morning_Shift!$B$2:$BJ$2,0),0),""))</f>
        <v>7:00-14:30</v>
      </c>
      <c r="AT40" s="2" t="str">
        <f>IF(IFERROR(VLOOKUP($B40,Morning_Shift!$B$4:$BJ$61,MATCH(Both_Shift_Roster!AT$2,Morning_Shift!$B$2:$BJ$2,0),0),"")="",IFERROR(VLOOKUP($B40,Evening_Shift!$B$4:$BJ$62,MATCH(Both_Shift_Roster!AT$2,Evening_Shift!$B$2:$BJ$2,0),0),""),IFERROR(VLOOKUP($B40,Morning_Shift!$B$4:$BJ$61,MATCH(Both_Shift_Roster!AT$2,Morning_Shift!$B$2:$BJ$2,0),0),""))</f>
        <v>Agent Choice WO</v>
      </c>
      <c r="AU40" s="2" t="str">
        <f>IF(IFERROR(VLOOKUP($B40,Morning_Shift!$B$4:$BJ$61,MATCH(Both_Shift_Roster!AU$2,Morning_Shift!$B$2:$BJ$2,0),0),"")="",IFERROR(VLOOKUP($B40,Evening_Shift!$B$4:$BJ$62,MATCH(Both_Shift_Roster!AU$2,Evening_Shift!$B$2:$BJ$2,0),0),""),IFERROR(VLOOKUP($B40,Morning_Shift!$B$4:$BJ$61,MATCH(Both_Shift_Roster!AU$2,Morning_Shift!$B$2:$BJ$2,0),0),""))</f>
        <v>7:00-14:30</v>
      </c>
      <c r="AV40" s="2" t="str">
        <f>IF(IFERROR(VLOOKUP($B40,Morning_Shift!$B$4:$BJ$61,MATCH(Both_Shift_Roster!AV$2,Morning_Shift!$B$2:$BJ$2,0),0),"")="",IFERROR(VLOOKUP($B40,Evening_Shift!$B$4:$BJ$62,MATCH(Both_Shift_Roster!AV$2,Evening_Shift!$B$2:$BJ$2,0),0),""),IFERROR(VLOOKUP($B40,Morning_Shift!$B$4:$BJ$61,MATCH(Both_Shift_Roster!AV$2,Morning_Shift!$B$2:$BJ$2,0),0),""))</f>
        <v>7:00-14:30</v>
      </c>
      <c r="AW40" s="2" t="str">
        <f>IF(IFERROR(VLOOKUP($B40,Morning_Shift!$B$4:$BJ$61,MATCH(Both_Shift_Roster!AW$2,Morning_Shift!$B$2:$BJ$2,0),0),"")="",IFERROR(VLOOKUP($B40,Evening_Shift!$B$4:$BJ$62,MATCH(Both_Shift_Roster!AW$2,Evening_Shift!$B$2:$BJ$2,0),0),""),IFERROR(VLOOKUP($B40,Morning_Shift!$B$4:$BJ$61,MATCH(Both_Shift_Roster!AW$2,Morning_Shift!$B$2:$BJ$2,0),0),""))</f>
        <v>7:00-14:30</v>
      </c>
      <c r="AX40" s="2">
        <f t="shared" si="30"/>
        <v>1</v>
      </c>
      <c r="AY40" s="2">
        <f t="shared" si="31"/>
        <v>0</v>
      </c>
      <c r="AZ40" s="2">
        <f t="shared" si="32"/>
        <v>0</v>
      </c>
      <c r="BA40" s="2">
        <f t="shared" si="33"/>
        <v>0</v>
      </c>
      <c r="BB40" s="2">
        <f t="shared" si="34"/>
        <v>0</v>
      </c>
      <c r="BC40" s="2" t="str">
        <f>IF(IFERROR(VLOOKUP($B40,Morning_Shift!$B$4:$BJ$61,MATCH(Both_Shift_Roster!BC$2,Morning_Shift!$B$2:$BJ$2,0),0),"")="",IFERROR(VLOOKUP($B40,Evening_Shift!$B$4:$BJ$62,MATCH(Both_Shift_Roster!BC$2,Evening_Shift!$B$2:$BJ$2,0),0),""),IFERROR(VLOOKUP($B40,Morning_Shift!$B$4:$BJ$61,MATCH(Both_Shift_Roster!BC$2,Morning_Shift!$B$2:$BJ$2,0),0),""))</f>
        <v>7:00-14:30</v>
      </c>
      <c r="BD40" s="2" t="str">
        <f>IF(IFERROR(VLOOKUP($B40,Morning_Shift!$B$4:$BJ$61,MATCH(Both_Shift_Roster!BD$2,Morning_Shift!$B$2:$BJ$2,0),0),"")="",IFERROR(VLOOKUP($B40,Evening_Shift!$B$4:$BJ$62,MATCH(Both_Shift_Roster!BD$2,Evening_Shift!$B$2:$BJ$2,0),0),""),IFERROR(VLOOKUP($B40,Morning_Shift!$B$4:$BJ$61,MATCH(Both_Shift_Roster!BD$2,Morning_Shift!$B$2:$BJ$2,0),0),""))</f>
        <v>7:00-14:30</v>
      </c>
      <c r="BE40" s="2" t="str">
        <f>IF(IFERROR(VLOOKUP($B40,Morning_Shift!$B$4:$BJ$61,MATCH(Both_Shift_Roster!BE$2,Morning_Shift!$B$2:$BJ$2,0),0),"")="",IFERROR(VLOOKUP($B40,Evening_Shift!$B$4:$BJ$59,MATCH(Both_Shift_Roster!BE$2,Evening_Shift!$B$2:$BJ$2,0),0),""),IFERROR(VLOOKUP($B40,Morning_Shift!$B$4:$BJ$61,MATCH(Both_Shift_Roster!BE$2,Morning_Shift!$B$2:$BJ$2,0),0),""))</f>
        <v>7:00-14:30</v>
      </c>
      <c r="BF40" s="2">
        <f t="shared" si="35"/>
        <v>0</v>
      </c>
      <c r="BG40" s="2">
        <f t="shared" si="36"/>
        <v>0</v>
      </c>
      <c r="BH40" s="2">
        <f t="shared" si="37"/>
        <v>0</v>
      </c>
      <c r="BI40" s="2">
        <f t="shared" si="38"/>
        <v>0</v>
      </c>
      <c r="BJ40" s="2">
        <f t="shared" si="39"/>
        <v>0</v>
      </c>
    </row>
    <row r="41" spans="1:62">
      <c r="A41" s="17">
        <f t="shared" si="40"/>
        <v>38</v>
      </c>
      <c r="B41" s="16" t="str">
        <f>Morning_Shift!$B41</f>
        <v>Dritm141</v>
      </c>
      <c r="C41" s="21" t="str">
        <f>IF(IFERROR(VLOOKUP(B41,Morning_Shift!B:C,2,0),"")="",IFERROR(VLOOKUP(B41,Evening_Shift!B:C,2,0),""),IFERROR(VLOOKUP(B41,Morning_Shift!B:C,2,0),""))</f>
        <v>Puneet Chauhan</v>
      </c>
      <c r="D41" s="15" t="str">
        <f>IF(IFERROR(VLOOKUP(B41,Morning_Shift!B:D,3,0),"")="",IFERROR(VLOOKUP(B41,Evening_Shift!B:D,3,0),""),IFERROR(VLOOKUP(B41,Morning_Shift!B:D,3,0),""))</f>
        <v>Naina</v>
      </c>
      <c r="E41" s="4" t="str">
        <f>IF(IFERROR(VLOOKUP(B41,Morning_Shift!B:E,4,0),"")="",IFERROR(VLOOKUP(B41,Evening_Shift!B:E,4,0),""),IFERROR(VLOOKUP(B41,Morning_Shift!B:E,4,0),""))</f>
        <v>M</v>
      </c>
      <c r="F41" s="5" t="str">
        <f>IF(IFERROR(VLOOKUP(B41,Morning_Shift!B:F,5,0),"")="",IFERROR(VLOOKUP(B41,Evening_Shift!B:F,5,0),""),IFERROR(VLOOKUP(B41,Morning_Shift!B:F,5,0),""))</f>
        <v>Inbound</v>
      </c>
      <c r="G41" s="2" t="str">
        <f>IF(IFERROR(VLOOKUP($B41,Morning_Shift!$B$4:$BJ$61,MATCH(Both_Shift_Roster!G$2,Morning_Shift!$B$2:$BJ$2,0),0),"")="",IFERROR(VLOOKUP($B41,Evening_Shift!$B$4:$BJ$62,MATCH(Both_Shift_Roster!G$2,Evening_Shift!$B$2:$BJ$2,0),0),""),IFERROR(VLOOKUP($B41,Morning_Shift!$B$4:$BJ$61,MATCH(Both_Shift_Roster!G$2,Morning_Shift!$B$2:$BJ$2,0),0),""))</f>
        <v>7:00-14:30</v>
      </c>
      <c r="H41" s="2" t="str">
        <f>IF(IFERROR(VLOOKUP($B41,Morning_Shift!$B$4:$BJ$61,MATCH(Both_Shift_Roster!H$2,Morning_Shift!$B$2:$BJ$2,0),0),"")="",IFERROR(VLOOKUP($B41,Evening_Shift!$B$4:$BJ$62,MATCH(Both_Shift_Roster!H$2,Evening_Shift!$B$2:$BJ$2,0),0),""),IFERROR(VLOOKUP($B41,Morning_Shift!$B$4:$BJ$61,MATCH(Both_Shift_Roster!H$2,Morning_Shift!$B$2:$BJ$2,0),0),""))</f>
        <v>7:00-14:30</v>
      </c>
      <c r="I41" s="2" t="str">
        <f>IF(IFERROR(VLOOKUP($B41,Morning_Shift!$B$4:$BJ$61,MATCH(Both_Shift_Roster!I$2,Morning_Shift!$B$2:$BJ$2,0),0),"")="",IFERROR(VLOOKUP($B41,Evening_Shift!$B$4:$BJ$62,MATCH(Both_Shift_Roster!I$2,Evening_Shift!$B$2:$BJ$2,0),0),""),IFERROR(VLOOKUP($B41,Morning_Shift!$B$4:$BJ$61,MATCH(Both_Shift_Roster!I$2,Morning_Shift!$B$2:$BJ$2,0),0),""))</f>
        <v>7:00-14:30</v>
      </c>
      <c r="J41" s="2" t="str">
        <f>IF(IFERROR(VLOOKUP($B41,Morning_Shift!$B$4:$BJ$61,MATCH(Both_Shift_Roster!J$2,Morning_Shift!$B$2:$BJ$2,0),0),"")="",IFERROR(VLOOKUP($B41,Evening_Shift!$B$4:$BJ$62,MATCH(Both_Shift_Roster!J$2,Evening_Shift!$B$2:$BJ$2,0),0),""),IFERROR(VLOOKUP($B41,Morning_Shift!$B$4:$BJ$61,MATCH(Both_Shift_Roster!J$2,Morning_Shift!$B$2:$BJ$2,0),0),""))</f>
        <v>7:00-14:30</v>
      </c>
      <c r="K41" s="2" t="str">
        <f>IF(IFERROR(VLOOKUP($B41,Morning_Shift!$B$4:$BJ$61,MATCH(Both_Shift_Roster!K$2,Morning_Shift!$B$2:$BJ$2,0),0),"")="",IFERROR(VLOOKUP($B41,Evening_Shift!$B$4:$BJ$62,MATCH(Both_Shift_Roster!K$2,Evening_Shift!$B$2:$BJ$2,0),0),""),IFERROR(VLOOKUP($B41,Morning_Shift!$B$4:$BJ$61,MATCH(Both_Shift_Roster!K$2,Morning_Shift!$B$2:$BJ$2,0),0),""))</f>
        <v>Agent Choice WO</v>
      </c>
      <c r="L41" s="2" t="str">
        <f>IF(IFERROR(VLOOKUP($B41,Morning_Shift!$B$4:$BJ$61,MATCH(Both_Shift_Roster!L$2,Morning_Shift!$B$2:$BJ$2,0),0),"")="",IFERROR(VLOOKUP($B41,Evening_Shift!$B$4:$BJ$62,MATCH(Both_Shift_Roster!L$2,Evening_Shift!$B$2:$BJ$2,0),0),""),IFERROR(VLOOKUP($B41,Morning_Shift!$B$4:$BJ$61,MATCH(Both_Shift_Roster!L$2,Morning_Shift!$B$2:$BJ$2,0),0),""))</f>
        <v>7:00-14:30</v>
      </c>
      <c r="M41" s="2" t="str">
        <f>IF(IFERROR(VLOOKUP($B41,Morning_Shift!$B$4:$BJ$61,MATCH(Both_Shift_Roster!M$2,Morning_Shift!$B$2:$BJ$2,0),0),"")="",IFERROR(VLOOKUP($B41,Evening_Shift!$B$4:$BJ$62,MATCH(Both_Shift_Roster!M$2,Evening_Shift!$B$2:$BJ$2,0),0),""),IFERROR(VLOOKUP($B41,Morning_Shift!$B$4:$BJ$61,MATCH(Both_Shift_Roster!M$2,Morning_Shift!$B$2:$BJ$2,0),0),""))</f>
        <v>7:00-14:30</v>
      </c>
      <c r="N41" s="2">
        <f t="shared" si="15"/>
        <v>1</v>
      </c>
      <c r="O41" s="2">
        <f t="shared" si="16"/>
        <v>0</v>
      </c>
      <c r="P41" s="2">
        <f t="shared" si="17"/>
        <v>0</v>
      </c>
      <c r="Q41" s="2">
        <f t="shared" si="18"/>
        <v>0</v>
      </c>
      <c r="R41" s="2">
        <f t="shared" si="19"/>
        <v>0</v>
      </c>
      <c r="S41" s="2" t="str">
        <f>IF(IFERROR(VLOOKUP($B41,Morning_Shift!$B$4:$BJ$61,MATCH(Both_Shift_Roster!S$2,Morning_Shift!$B$2:$BJ$2,0),0),"")="",IFERROR(VLOOKUP($B41,Evening_Shift!$B$4:$BJ$62,MATCH(Both_Shift_Roster!S$2,Evening_Shift!$B$2:$BJ$2,0),0),""),IFERROR(VLOOKUP($B41,Morning_Shift!$B$4:$BJ$61,MATCH(Both_Shift_Roster!S$2,Morning_Shift!$B$2:$BJ$2,0),0),""))</f>
        <v>7:00-14:30</v>
      </c>
      <c r="T41" s="2" t="str">
        <f>IF(IFERROR(VLOOKUP($B41,Morning_Shift!$B$4:$BJ$61,MATCH(Both_Shift_Roster!T$2,Morning_Shift!$B$2:$BJ$2,0),0),"")="",IFERROR(VLOOKUP($B41,Evening_Shift!$B$4:$BJ$62,MATCH(Both_Shift_Roster!T$2,Evening_Shift!$B$2:$BJ$2,0),0),""),IFERROR(VLOOKUP($B41,Morning_Shift!$B$4:$BJ$61,MATCH(Both_Shift_Roster!T$2,Morning_Shift!$B$2:$BJ$2,0),0),""))</f>
        <v>7:00-14:30</v>
      </c>
      <c r="U41" s="2" t="str">
        <f>IF(IFERROR(VLOOKUP($B41,Morning_Shift!$B$4:$BJ$61,MATCH(Both_Shift_Roster!U$2,Morning_Shift!$B$2:$BJ$2,0),0),"")="",IFERROR(VLOOKUP($B41,Evening_Shift!$B$4:$BJ$62,MATCH(Both_Shift_Roster!U$2,Evening_Shift!$B$2:$BJ$2,0),0),""),IFERROR(VLOOKUP($B41,Morning_Shift!$B$4:$BJ$61,MATCH(Both_Shift_Roster!U$2,Morning_Shift!$B$2:$BJ$2,0),0),""))</f>
        <v>7:00-14:30</v>
      </c>
      <c r="V41" s="2" t="str">
        <f>IF(IFERROR(VLOOKUP($B41,Morning_Shift!$B$4:$BJ$61,MATCH(Both_Shift_Roster!V$2,Morning_Shift!$B$2:$BJ$2,0),0),"")="",IFERROR(VLOOKUP($B41,Evening_Shift!$B$4:$BJ$62,MATCH(Both_Shift_Roster!V$2,Evening_Shift!$B$2:$BJ$2,0),0),""),IFERROR(VLOOKUP($B41,Morning_Shift!$B$4:$BJ$61,MATCH(Both_Shift_Roster!V$2,Morning_Shift!$B$2:$BJ$2,0),0),""))</f>
        <v>7:00-14:30</v>
      </c>
      <c r="W41" s="2" t="str">
        <f>IF(IFERROR(VLOOKUP($B41,Morning_Shift!$B$4:$BJ$61,MATCH(Both_Shift_Roster!W$2,Morning_Shift!$B$2:$BJ$2,0),0),"")="",IFERROR(VLOOKUP($B41,Evening_Shift!$B$4:$BJ$62,MATCH(Both_Shift_Roster!W$2,Evening_Shift!$B$2:$BJ$2,0),0),""),IFERROR(VLOOKUP($B41,Morning_Shift!$B$4:$BJ$61,MATCH(Both_Shift_Roster!W$2,Morning_Shift!$B$2:$BJ$2,0),0),""))</f>
        <v>Agent Choice WO</v>
      </c>
      <c r="X41" s="2" t="str">
        <f>IF(IFERROR(VLOOKUP($B41,Morning_Shift!$B$4:$BJ$61,MATCH(Both_Shift_Roster!X$2,Morning_Shift!$B$2:$BJ$2,0),0),"")="",IFERROR(VLOOKUP($B41,Evening_Shift!$B$4:$BJ$62,MATCH(Both_Shift_Roster!X$2,Evening_Shift!$B$2:$BJ$2,0),0),""),IFERROR(VLOOKUP($B41,Morning_Shift!$B$4:$BJ$61,MATCH(Both_Shift_Roster!X$2,Morning_Shift!$B$2:$BJ$2,0),0),""))</f>
        <v>7:00-14:30</v>
      </c>
      <c r="Y41" s="2" t="str">
        <f>IF(IFERROR(VLOOKUP($B41,Morning_Shift!$B$4:$BJ$61,MATCH(Both_Shift_Roster!Y$2,Morning_Shift!$B$2:$BJ$2,0),0),"")="",IFERROR(VLOOKUP($B41,Evening_Shift!$B$4:$BJ$62,MATCH(Both_Shift_Roster!Y$2,Evening_Shift!$B$2:$BJ$2,0),0),""),IFERROR(VLOOKUP($B41,Morning_Shift!$B$4:$BJ$61,MATCH(Both_Shift_Roster!Y$2,Morning_Shift!$B$2:$BJ$2,0),0),""))</f>
        <v>7:00-14:30</v>
      </c>
      <c r="Z41" s="2">
        <f t="shared" si="20"/>
        <v>1</v>
      </c>
      <c r="AA41" s="2">
        <f t="shared" si="21"/>
        <v>0</v>
      </c>
      <c r="AB41" s="2">
        <f t="shared" si="22"/>
        <v>0</v>
      </c>
      <c r="AC41" s="2">
        <f t="shared" si="23"/>
        <v>0</v>
      </c>
      <c r="AD41" s="2">
        <f t="shared" si="24"/>
        <v>0</v>
      </c>
      <c r="AE41" s="2" t="str">
        <f>IF(IFERROR(VLOOKUP($B41,Morning_Shift!$B$4:$BJ$61,MATCH(Both_Shift_Roster!AE$2,Morning_Shift!$B$2:$BJ$2,0),0),"")="",IFERROR(VLOOKUP($B41,Evening_Shift!$B$4:$BJ$62,MATCH(Both_Shift_Roster!AE$2,Evening_Shift!$B$2:$BJ$2,0),0),""),IFERROR(VLOOKUP($B41,Morning_Shift!$B$4:$BJ$61,MATCH(Both_Shift_Roster!AE$2,Morning_Shift!$B$2:$BJ$2,0),0),""))</f>
        <v>7:00-14:30</v>
      </c>
      <c r="AF41" s="2" t="str">
        <f>IF(IFERROR(VLOOKUP($B41,Morning_Shift!$B$4:$BJ$61,MATCH(Both_Shift_Roster!AF$2,Morning_Shift!$B$2:$BJ$2,0),0),"")="",IFERROR(VLOOKUP($B41,Evening_Shift!$B$4:$BJ$62,MATCH(Both_Shift_Roster!AF$2,Evening_Shift!$B$2:$BJ$2,0),0),""),IFERROR(VLOOKUP($B41,Morning_Shift!$B$4:$BJ$61,MATCH(Both_Shift_Roster!AF$2,Morning_Shift!$B$2:$BJ$2,0),0),""))</f>
        <v>7:00-14:30</v>
      </c>
      <c r="AG41" s="2" t="str">
        <f>IF(IFERROR(VLOOKUP($B41,Morning_Shift!$B$4:$BJ$61,MATCH(Both_Shift_Roster!AG$2,Morning_Shift!$B$2:$BJ$2,0),0),"")="",IFERROR(VLOOKUP($B41,Evening_Shift!$B$4:$BJ$62,MATCH(Both_Shift_Roster!AG$2,Evening_Shift!$B$2:$BJ$2,0),0),""),IFERROR(VLOOKUP($B41,Morning_Shift!$B$4:$BJ$61,MATCH(Both_Shift_Roster!AG$2,Morning_Shift!$B$2:$BJ$2,0),0),""))</f>
        <v>7:00-14:30</v>
      </c>
      <c r="AH41" s="2" t="str">
        <f>IF(IFERROR(VLOOKUP($B41,Morning_Shift!$B$4:$BJ$61,MATCH(Both_Shift_Roster!AH$2,Morning_Shift!$B$2:$BJ$2,0),0),"")="",IFERROR(VLOOKUP($B41,Evening_Shift!$B$4:$BJ$62,MATCH(Both_Shift_Roster!AH$2,Evening_Shift!$B$2:$BJ$2,0),0),""),IFERROR(VLOOKUP($B41,Morning_Shift!$B$4:$BJ$61,MATCH(Both_Shift_Roster!AH$2,Morning_Shift!$B$2:$BJ$2,0),0),""))</f>
        <v>7:00-14:30</v>
      </c>
      <c r="AI41" s="2" t="str">
        <f>IF(IFERROR(VLOOKUP($B41,Morning_Shift!$B$4:$BJ$61,MATCH(Both_Shift_Roster!AI$2,Morning_Shift!$B$2:$BJ$2,0),0),"")="",IFERROR(VLOOKUP($B41,Evening_Shift!$B$4:$BJ$62,MATCH(Both_Shift_Roster!AI$2,Evening_Shift!$B$2:$BJ$2,0),0),""),IFERROR(VLOOKUP($B41,Morning_Shift!$B$4:$BJ$61,MATCH(Both_Shift_Roster!AI$2,Morning_Shift!$B$2:$BJ$2,0),0),""))</f>
        <v>7:00-14:30</v>
      </c>
      <c r="AJ41" s="2" t="str">
        <f>IF(IFERROR(VLOOKUP($B41,Morning_Shift!$B$4:$BJ$61,MATCH(Both_Shift_Roster!AJ$2,Morning_Shift!$B$2:$BJ$2,0),0),"")="",IFERROR(VLOOKUP($B41,Evening_Shift!$B$4:$BJ$62,MATCH(Both_Shift_Roster!AJ$2,Evening_Shift!$B$2:$BJ$2,0),0),""),IFERROR(VLOOKUP($B41,Morning_Shift!$B$4:$BJ$61,MATCH(Both_Shift_Roster!AJ$2,Morning_Shift!$B$2:$BJ$2,0),0),""))</f>
        <v>Agent Choice WO</v>
      </c>
      <c r="AK41" s="2" t="str">
        <f>IF(IFERROR(VLOOKUP($B41,Morning_Shift!$B$4:$BJ$61,MATCH(Both_Shift_Roster!AK$2,Morning_Shift!$B$2:$BJ$2,0),0),"")="",IFERROR(VLOOKUP($B41,Evening_Shift!$B$4:$BJ$62,MATCH(Both_Shift_Roster!AK$2,Evening_Shift!$B$2:$BJ$2,0),0),""),IFERROR(VLOOKUP($B41,Morning_Shift!$B$4:$BJ$61,MATCH(Both_Shift_Roster!AK$2,Morning_Shift!$B$2:$BJ$2,0),0),""))</f>
        <v>7:00-14:30</v>
      </c>
      <c r="AL41" s="2">
        <f t="shared" si="25"/>
        <v>1</v>
      </c>
      <c r="AM41" s="2">
        <f t="shared" si="26"/>
        <v>0</v>
      </c>
      <c r="AN41" s="2">
        <f t="shared" si="27"/>
        <v>0</v>
      </c>
      <c r="AO41" s="2">
        <f t="shared" si="28"/>
        <v>0</v>
      </c>
      <c r="AP41" s="2">
        <f t="shared" si="29"/>
        <v>0</v>
      </c>
      <c r="AQ41" s="2" t="str">
        <f>IF(IFERROR(VLOOKUP($B41,Morning_Shift!$B$4:$BJ$61,MATCH(Both_Shift_Roster!AQ$2,Morning_Shift!$B$2:$BJ$2,0),0),"")="",IFERROR(VLOOKUP($B41,Evening_Shift!$B$4:$BJ$62,MATCH(Both_Shift_Roster!AQ$2,Evening_Shift!$B$2:$BJ$2,0),0),""),IFERROR(VLOOKUP($B41,Morning_Shift!$B$4:$BJ$61,MATCH(Both_Shift_Roster!AQ$2,Morning_Shift!$B$2:$BJ$2,0),0),""))</f>
        <v>7:00-14:30</v>
      </c>
      <c r="AR41" s="2" t="str">
        <f>IF(IFERROR(VLOOKUP($B41,Morning_Shift!$B$4:$BJ$61,MATCH(Both_Shift_Roster!AR$2,Morning_Shift!$B$2:$BJ$2,0),0),"")="",IFERROR(VLOOKUP($B41,Evening_Shift!$B$4:$BJ$62,MATCH(Both_Shift_Roster!AR$2,Evening_Shift!$B$2:$BJ$2,0),0),""),IFERROR(VLOOKUP($B41,Morning_Shift!$B$4:$BJ$61,MATCH(Both_Shift_Roster!AR$2,Morning_Shift!$B$2:$BJ$2,0),0),""))</f>
        <v>7:00-14:30</v>
      </c>
      <c r="AS41" s="2" t="str">
        <f>IF(IFERROR(VLOOKUP($B41,Morning_Shift!$B$4:$BJ$61,MATCH(Both_Shift_Roster!AS$2,Morning_Shift!$B$2:$BJ$2,0),0),"")="",IFERROR(VLOOKUP($B41,Evening_Shift!$B$4:$BJ$62,MATCH(Both_Shift_Roster!AS$2,Evening_Shift!$B$2:$BJ$2,0),0),""),IFERROR(VLOOKUP($B41,Morning_Shift!$B$4:$BJ$61,MATCH(Both_Shift_Roster!AS$2,Morning_Shift!$B$2:$BJ$2,0),0),""))</f>
        <v>7:00-14:30</v>
      </c>
      <c r="AT41" s="2" t="str">
        <f>IF(IFERROR(VLOOKUP($B41,Morning_Shift!$B$4:$BJ$61,MATCH(Both_Shift_Roster!AT$2,Morning_Shift!$B$2:$BJ$2,0),0),"")="",IFERROR(VLOOKUP($B41,Evening_Shift!$B$4:$BJ$62,MATCH(Both_Shift_Roster!AT$2,Evening_Shift!$B$2:$BJ$2,0),0),""),IFERROR(VLOOKUP($B41,Morning_Shift!$B$4:$BJ$61,MATCH(Both_Shift_Roster!AT$2,Morning_Shift!$B$2:$BJ$2,0),0),""))</f>
        <v>7:00-14:30</v>
      </c>
      <c r="AU41" s="2" t="str">
        <f>IF(IFERROR(VLOOKUP($B41,Morning_Shift!$B$4:$BJ$61,MATCH(Both_Shift_Roster!AU$2,Morning_Shift!$B$2:$BJ$2,0),0),"")="",IFERROR(VLOOKUP($B41,Evening_Shift!$B$4:$BJ$62,MATCH(Both_Shift_Roster!AU$2,Evening_Shift!$B$2:$BJ$2,0),0),""),IFERROR(VLOOKUP($B41,Morning_Shift!$B$4:$BJ$61,MATCH(Both_Shift_Roster!AU$2,Morning_Shift!$B$2:$BJ$2,0),0),""))</f>
        <v>7:00-14:30</v>
      </c>
      <c r="AV41" s="2" t="str">
        <f>IF(IFERROR(VLOOKUP($B41,Morning_Shift!$B$4:$BJ$61,MATCH(Both_Shift_Roster!AV$2,Morning_Shift!$B$2:$BJ$2,0),0),"")="",IFERROR(VLOOKUP($B41,Evening_Shift!$B$4:$BJ$62,MATCH(Both_Shift_Roster!AV$2,Evening_Shift!$B$2:$BJ$2,0),0),""),IFERROR(VLOOKUP($B41,Morning_Shift!$B$4:$BJ$61,MATCH(Both_Shift_Roster!AV$2,Morning_Shift!$B$2:$BJ$2,0),0),""))</f>
        <v>Agent Choice WO</v>
      </c>
      <c r="AW41" s="2" t="str">
        <f>IF(IFERROR(VLOOKUP($B41,Morning_Shift!$B$4:$BJ$61,MATCH(Both_Shift_Roster!AW$2,Morning_Shift!$B$2:$BJ$2,0),0),"")="",IFERROR(VLOOKUP($B41,Evening_Shift!$B$4:$BJ$62,MATCH(Both_Shift_Roster!AW$2,Evening_Shift!$B$2:$BJ$2,0),0),""),IFERROR(VLOOKUP($B41,Morning_Shift!$B$4:$BJ$61,MATCH(Both_Shift_Roster!AW$2,Morning_Shift!$B$2:$BJ$2,0),0),""))</f>
        <v>7:00-14:30</v>
      </c>
      <c r="AX41" s="2">
        <f t="shared" si="30"/>
        <v>1</v>
      </c>
      <c r="AY41" s="2">
        <f t="shared" si="31"/>
        <v>0</v>
      </c>
      <c r="AZ41" s="2">
        <f t="shared" si="32"/>
        <v>0</v>
      </c>
      <c r="BA41" s="2">
        <f t="shared" si="33"/>
        <v>0</v>
      </c>
      <c r="BB41" s="2">
        <f t="shared" si="34"/>
        <v>0</v>
      </c>
      <c r="BC41" s="2" t="str">
        <f>IF(IFERROR(VLOOKUP($B41,Morning_Shift!$B$4:$BJ$61,MATCH(Both_Shift_Roster!BC$2,Morning_Shift!$B$2:$BJ$2,0),0),"")="",IFERROR(VLOOKUP($B41,Evening_Shift!$B$4:$BJ$62,MATCH(Both_Shift_Roster!BC$2,Evening_Shift!$B$2:$BJ$2,0),0),""),IFERROR(VLOOKUP($B41,Morning_Shift!$B$4:$BJ$61,MATCH(Both_Shift_Roster!BC$2,Morning_Shift!$B$2:$BJ$2,0),0),""))</f>
        <v>7:00-14:30</v>
      </c>
      <c r="BD41" s="2" t="str">
        <f>IF(IFERROR(VLOOKUP($B41,Morning_Shift!$B$4:$BJ$61,MATCH(Both_Shift_Roster!BD$2,Morning_Shift!$B$2:$BJ$2,0),0),"")="",IFERROR(VLOOKUP($B41,Evening_Shift!$B$4:$BJ$62,MATCH(Both_Shift_Roster!BD$2,Evening_Shift!$B$2:$BJ$2,0),0),""),IFERROR(VLOOKUP($B41,Morning_Shift!$B$4:$BJ$61,MATCH(Both_Shift_Roster!BD$2,Morning_Shift!$B$2:$BJ$2,0),0),""))</f>
        <v>7:00-14:30</v>
      </c>
      <c r="BE41" s="2" t="str">
        <f>IF(IFERROR(VLOOKUP($B41,Morning_Shift!$B$4:$BJ$61,MATCH(Both_Shift_Roster!BE$2,Morning_Shift!$B$2:$BJ$2,0),0),"")="",IFERROR(VLOOKUP($B41,Evening_Shift!$B$4:$BJ$59,MATCH(Both_Shift_Roster!BE$2,Evening_Shift!$B$2:$BJ$2,0),0),""),IFERROR(VLOOKUP($B41,Morning_Shift!$B$4:$BJ$61,MATCH(Both_Shift_Roster!BE$2,Morning_Shift!$B$2:$BJ$2,0),0),""))</f>
        <v>7:00-14:30</v>
      </c>
      <c r="BF41" s="2">
        <f t="shared" si="35"/>
        <v>0</v>
      </c>
      <c r="BG41" s="2">
        <f t="shared" si="36"/>
        <v>0</v>
      </c>
      <c r="BH41" s="2">
        <f t="shared" si="37"/>
        <v>0</v>
      </c>
      <c r="BI41" s="2">
        <f t="shared" si="38"/>
        <v>0</v>
      </c>
      <c r="BJ41" s="2">
        <f t="shared" si="39"/>
        <v>0</v>
      </c>
    </row>
    <row r="42" spans="1:62">
      <c r="A42" s="17">
        <f t="shared" si="40"/>
        <v>39</v>
      </c>
      <c r="B42" s="16" t="str">
        <f>Morning_Shift!$B42</f>
        <v>Dritm37</v>
      </c>
      <c r="C42" s="21" t="str">
        <f>IF(IFERROR(VLOOKUP(B42,Morning_Shift!B:C,2,0),"")="",IFERROR(VLOOKUP(B42,Evening_Shift!B:C,2,0),""),IFERROR(VLOOKUP(B42,Morning_Shift!B:C,2,0),""))</f>
        <v>Pushpa</v>
      </c>
      <c r="D42" s="15" t="str">
        <f>IF(IFERROR(VLOOKUP(B42,Morning_Shift!B:D,3,0),"")="",IFERROR(VLOOKUP(B42,Evening_Shift!B:D,3,0),""),IFERROR(VLOOKUP(B42,Morning_Shift!B:D,3,0),""))</f>
        <v>Naina</v>
      </c>
      <c r="E42" s="4" t="str">
        <f>IF(IFERROR(VLOOKUP(B42,Morning_Shift!B:E,4,0),"")="",IFERROR(VLOOKUP(B42,Evening_Shift!B:E,4,0),""),IFERROR(VLOOKUP(B42,Morning_Shift!B:E,4,0),""))</f>
        <v>F</v>
      </c>
      <c r="F42" s="5" t="str">
        <f>IF(IFERROR(VLOOKUP(B42,Morning_Shift!B:F,5,0),"")="",IFERROR(VLOOKUP(B42,Evening_Shift!B:F,5,0),""),IFERROR(VLOOKUP(B42,Morning_Shift!B:F,5,0),""))</f>
        <v>Inbound</v>
      </c>
      <c r="G42" s="2" t="str">
        <f>IF(IFERROR(VLOOKUP($B42,Morning_Shift!$B$4:$BJ$61,MATCH(Both_Shift_Roster!G$2,Morning_Shift!$B$2:$BJ$2,0),0),"")="",IFERROR(VLOOKUP($B42,Evening_Shift!$B$4:$BJ$62,MATCH(Both_Shift_Roster!G$2,Evening_Shift!$B$2:$BJ$2,0),0),""),IFERROR(VLOOKUP($B42,Morning_Shift!$B$4:$BJ$61,MATCH(Both_Shift_Roster!G$2,Morning_Shift!$B$2:$BJ$2,0),0),""))</f>
        <v>7:00-14:30</v>
      </c>
      <c r="H42" s="2" t="str">
        <f>IF(IFERROR(VLOOKUP($B42,Morning_Shift!$B$4:$BJ$61,MATCH(Both_Shift_Roster!H$2,Morning_Shift!$B$2:$BJ$2,0),0),"")="",IFERROR(VLOOKUP($B42,Evening_Shift!$B$4:$BJ$62,MATCH(Both_Shift_Roster!H$2,Evening_Shift!$B$2:$BJ$2,0),0),""),IFERROR(VLOOKUP($B42,Morning_Shift!$B$4:$BJ$61,MATCH(Both_Shift_Roster!H$2,Morning_Shift!$B$2:$BJ$2,0),0),""))</f>
        <v>7:00-14:30</v>
      </c>
      <c r="I42" s="2" t="str">
        <f>IF(IFERROR(VLOOKUP($B42,Morning_Shift!$B$4:$BJ$61,MATCH(Both_Shift_Roster!I$2,Morning_Shift!$B$2:$BJ$2,0),0),"")="",IFERROR(VLOOKUP($B42,Evening_Shift!$B$4:$BJ$62,MATCH(Both_Shift_Roster!I$2,Evening_Shift!$B$2:$BJ$2,0),0),""),IFERROR(VLOOKUP($B42,Morning_Shift!$B$4:$BJ$61,MATCH(Both_Shift_Roster!I$2,Morning_Shift!$B$2:$BJ$2,0),0),""))</f>
        <v>7:00-14:30</v>
      </c>
      <c r="J42" s="2" t="str">
        <f>IF(IFERROR(VLOOKUP($B42,Morning_Shift!$B$4:$BJ$61,MATCH(Both_Shift_Roster!J$2,Morning_Shift!$B$2:$BJ$2,0),0),"")="",IFERROR(VLOOKUP($B42,Evening_Shift!$B$4:$BJ$62,MATCH(Both_Shift_Roster!J$2,Evening_Shift!$B$2:$BJ$2,0),0),""),IFERROR(VLOOKUP($B42,Morning_Shift!$B$4:$BJ$61,MATCH(Both_Shift_Roster!J$2,Morning_Shift!$B$2:$BJ$2,0),0),""))</f>
        <v>Agent Choice WO</v>
      </c>
      <c r="K42" s="2" t="str">
        <f>IF(IFERROR(VLOOKUP($B42,Morning_Shift!$B$4:$BJ$61,MATCH(Both_Shift_Roster!K$2,Morning_Shift!$B$2:$BJ$2,0),0),"")="",IFERROR(VLOOKUP($B42,Evening_Shift!$B$4:$BJ$62,MATCH(Both_Shift_Roster!K$2,Evening_Shift!$B$2:$BJ$2,0),0),""),IFERROR(VLOOKUP($B42,Morning_Shift!$B$4:$BJ$61,MATCH(Both_Shift_Roster!K$2,Morning_Shift!$B$2:$BJ$2,0),0),""))</f>
        <v>7:00-14:30</v>
      </c>
      <c r="L42" s="2" t="str">
        <f>IF(IFERROR(VLOOKUP($B42,Morning_Shift!$B$4:$BJ$61,MATCH(Both_Shift_Roster!L$2,Morning_Shift!$B$2:$BJ$2,0),0),"")="",IFERROR(VLOOKUP($B42,Evening_Shift!$B$4:$BJ$62,MATCH(Both_Shift_Roster!L$2,Evening_Shift!$B$2:$BJ$2,0),0),""),IFERROR(VLOOKUP($B42,Morning_Shift!$B$4:$BJ$61,MATCH(Both_Shift_Roster!L$2,Morning_Shift!$B$2:$BJ$2,0),0),""))</f>
        <v>7:00-14:30</v>
      </c>
      <c r="M42" s="2" t="str">
        <f>IF(IFERROR(VLOOKUP($B42,Morning_Shift!$B$4:$BJ$61,MATCH(Both_Shift_Roster!M$2,Morning_Shift!$B$2:$BJ$2,0),0),"")="",IFERROR(VLOOKUP($B42,Evening_Shift!$B$4:$BJ$62,MATCH(Both_Shift_Roster!M$2,Evening_Shift!$B$2:$BJ$2,0),0),""),IFERROR(VLOOKUP($B42,Morning_Shift!$B$4:$BJ$61,MATCH(Both_Shift_Roster!M$2,Morning_Shift!$B$2:$BJ$2,0),0),""))</f>
        <v>7:00-14:30</v>
      </c>
      <c r="N42" s="2">
        <f t="shared" si="15"/>
        <v>1</v>
      </c>
      <c r="O42" s="2">
        <f t="shared" si="16"/>
        <v>0</v>
      </c>
      <c r="P42" s="2">
        <f t="shared" si="17"/>
        <v>0</v>
      </c>
      <c r="Q42" s="2">
        <f t="shared" si="18"/>
        <v>0</v>
      </c>
      <c r="R42" s="2">
        <f t="shared" si="19"/>
        <v>0</v>
      </c>
      <c r="S42" s="2" t="str">
        <f>IF(IFERROR(VLOOKUP($B42,Morning_Shift!$B$4:$BJ$61,MATCH(Both_Shift_Roster!S$2,Morning_Shift!$B$2:$BJ$2,0),0),"")="",IFERROR(VLOOKUP($B42,Evening_Shift!$B$4:$BJ$62,MATCH(Both_Shift_Roster!S$2,Evening_Shift!$B$2:$BJ$2,0),0),""),IFERROR(VLOOKUP($B42,Morning_Shift!$B$4:$BJ$61,MATCH(Both_Shift_Roster!S$2,Morning_Shift!$B$2:$BJ$2,0),0),""))</f>
        <v>7:00-14:30</v>
      </c>
      <c r="T42" s="2" t="str">
        <f>IF(IFERROR(VLOOKUP($B42,Morning_Shift!$B$4:$BJ$61,MATCH(Both_Shift_Roster!T$2,Morning_Shift!$B$2:$BJ$2,0),0),"")="",IFERROR(VLOOKUP($B42,Evening_Shift!$B$4:$BJ$62,MATCH(Both_Shift_Roster!T$2,Evening_Shift!$B$2:$BJ$2,0),0),""),IFERROR(VLOOKUP($B42,Morning_Shift!$B$4:$BJ$61,MATCH(Both_Shift_Roster!T$2,Morning_Shift!$B$2:$BJ$2,0),0),""))</f>
        <v>7:00-14:30</v>
      </c>
      <c r="U42" s="2" t="str">
        <f>IF(IFERROR(VLOOKUP($B42,Morning_Shift!$B$4:$BJ$61,MATCH(Both_Shift_Roster!U$2,Morning_Shift!$B$2:$BJ$2,0),0),"")="",IFERROR(VLOOKUP($B42,Evening_Shift!$B$4:$BJ$62,MATCH(Both_Shift_Roster!U$2,Evening_Shift!$B$2:$BJ$2,0),0),""),IFERROR(VLOOKUP($B42,Morning_Shift!$B$4:$BJ$61,MATCH(Both_Shift_Roster!U$2,Morning_Shift!$B$2:$BJ$2,0),0),""))</f>
        <v>7:00-14:30</v>
      </c>
      <c r="V42" s="2" t="str">
        <f>IF(IFERROR(VLOOKUP($B42,Morning_Shift!$B$4:$BJ$61,MATCH(Both_Shift_Roster!V$2,Morning_Shift!$B$2:$BJ$2,0),0),"")="",IFERROR(VLOOKUP($B42,Evening_Shift!$B$4:$BJ$62,MATCH(Both_Shift_Roster!V$2,Evening_Shift!$B$2:$BJ$2,0),0),""),IFERROR(VLOOKUP($B42,Morning_Shift!$B$4:$BJ$61,MATCH(Both_Shift_Roster!V$2,Morning_Shift!$B$2:$BJ$2,0),0),""))</f>
        <v>7:00-14:30</v>
      </c>
      <c r="W42" s="2" t="str">
        <f>IF(IFERROR(VLOOKUP($B42,Morning_Shift!$B$4:$BJ$61,MATCH(Both_Shift_Roster!W$2,Morning_Shift!$B$2:$BJ$2,0),0),"")="",IFERROR(VLOOKUP($B42,Evening_Shift!$B$4:$BJ$62,MATCH(Both_Shift_Roster!W$2,Evening_Shift!$B$2:$BJ$2,0),0),""),IFERROR(VLOOKUP($B42,Morning_Shift!$B$4:$BJ$61,MATCH(Both_Shift_Roster!W$2,Morning_Shift!$B$2:$BJ$2,0),0),""))</f>
        <v>7:00-14:30</v>
      </c>
      <c r="X42" s="2" t="str">
        <f>IF(IFERROR(VLOOKUP($B42,Morning_Shift!$B$4:$BJ$61,MATCH(Both_Shift_Roster!X$2,Morning_Shift!$B$2:$BJ$2,0),0),"")="",IFERROR(VLOOKUP($B42,Evening_Shift!$B$4:$BJ$62,MATCH(Both_Shift_Roster!X$2,Evening_Shift!$B$2:$BJ$2,0),0),""),IFERROR(VLOOKUP($B42,Morning_Shift!$B$4:$BJ$61,MATCH(Both_Shift_Roster!X$2,Morning_Shift!$B$2:$BJ$2,0),0),""))</f>
        <v>7:00-14:30</v>
      </c>
      <c r="Y42" s="2" t="str">
        <f>IF(IFERROR(VLOOKUP($B42,Morning_Shift!$B$4:$BJ$61,MATCH(Both_Shift_Roster!Y$2,Morning_Shift!$B$2:$BJ$2,0),0),"")="",IFERROR(VLOOKUP($B42,Evening_Shift!$B$4:$BJ$62,MATCH(Both_Shift_Roster!Y$2,Evening_Shift!$B$2:$BJ$2,0),0),""),IFERROR(VLOOKUP($B42,Morning_Shift!$B$4:$BJ$61,MATCH(Both_Shift_Roster!Y$2,Morning_Shift!$B$2:$BJ$2,0),0),""))</f>
        <v>Agent Choice WO</v>
      </c>
      <c r="Z42" s="2">
        <f t="shared" si="20"/>
        <v>1</v>
      </c>
      <c r="AA42" s="2">
        <f t="shared" si="21"/>
        <v>0</v>
      </c>
      <c r="AB42" s="2">
        <f t="shared" si="22"/>
        <v>0</v>
      </c>
      <c r="AC42" s="2">
        <f t="shared" si="23"/>
        <v>0</v>
      </c>
      <c r="AD42" s="2">
        <f t="shared" si="24"/>
        <v>0</v>
      </c>
      <c r="AE42" s="2" t="str">
        <f>IF(IFERROR(VLOOKUP($B42,Morning_Shift!$B$4:$BJ$61,MATCH(Both_Shift_Roster!AE$2,Morning_Shift!$B$2:$BJ$2,0),0),"")="",IFERROR(VLOOKUP($B42,Evening_Shift!$B$4:$BJ$62,MATCH(Both_Shift_Roster!AE$2,Evening_Shift!$B$2:$BJ$2,0),0),""),IFERROR(VLOOKUP($B42,Morning_Shift!$B$4:$BJ$61,MATCH(Both_Shift_Roster!AE$2,Morning_Shift!$B$2:$BJ$2,0),0),""))</f>
        <v>7:00-14:30</v>
      </c>
      <c r="AF42" s="2" t="str">
        <f>IF(IFERROR(VLOOKUP($B42,Morning_Shift!$B$4:$BJ$61,MATCH(Both_Shift_Roster!AF$2,Morning_Shift!$B$2:$BJ$2,0),0),"")="",IFERROR(VLOOKUP($B42,Evening_Shift!$B$4:$BJ$62,MATCH(Both_Shift_Roster!AF$2,Evening_Shift!$B$2:$BJ$2,0),0),""),IFERROR(VLOOKUP($B42,Morning_Shift!$B$4:$BJ$61,MATCH(Both_Shift_Roster!AF$2,Morning_Shift!$B$2:$BJ$2,0),0),""))</f>
        <v>7:00-14:30</v>
      </c>
      <c r="AG42" s="2" t="str">
        <f>IF(IFERROR(VLOOKUP($B42,Morning_Shift!$B$4:$BJ$61,MATCH(Both_Shift_Roster!AG$2,Morning_Shift!$B$2:$BJ$2,0),0),"")="",IFERROR(VLOOKUP($B42,Evening_Shift!$B$4:$BJ$62,MATCH(Both_Shift_Roster!AG$2,Evening_Shift!$B$2:$BJ$2,0),0),""),IFERROR(VLOOKUP($B42,Morning_Shift!$B$4:$BJ$61,MATCH(Both_Shift_Roster!AG$2,Morning_Shift!$B$2:$BJ$2,0),0),""))</f>
        <v>7:00-14:30</v>
      </c>
      <c r="AH42" s="2" t="str">
        <f>IF(IFERROR(VLOOKUP($B42,Morning_Shift!$B$4:$BJ$61,MATCH(Both_Shift_Roster!AH$2,Morning_Shift!$B$2:$BJ$2,0),0),"")="",IFERROR(VLOOKUP($B42,Evening_Shift!$B$4:$BJ$62,MATCH(Both_Shift_Roster!AH$2,Evening_Shift!$B$2:$BJ$2,0),0),""),IFERROR(VLOOKUP($B42,Morning_Shift!$B$4:$BJ$61,MATCH(Both_Shift_Roster!AH$2,Morning_Shift!$B$2:$BJ$2,0),0),""))</f>
        <v>7:00-14:30</v>
      </c>
      <c r="AI42" s="2" t="str">
        <f>IF(IFERROR(VLOOKUP($B42,Morning_Shift!$B$4:$BJ$61,MATCH(Both_Shift_Roster!AI$2,Morning_Shift!$B$2:$BJ$2,0),0),"")="",IFERROR(VLOOKUP($B42,Evening_Shift!$B$4:$BJ$62,MATCH(Both_Shift_Roster!AI$2,Evening_Shift!$B$2:$BJ$2,0),0),""),IFERROR(VLOOKUP($B42,Morning_Shift!$B$4:$BJ$61,MATCH(Both_Shift_Roster!AI$2,Morning_Shift!$B$2:$BJ$2,0),0),""))</f>
        <v>Agent Choice WO</v>
      </c>
      <c r="AJ42" s="2" t="str">
        <f>IF(IFERROR(VLOOKUP($B42,Morning_Shift!$B$4:$BJ$61,MATCH(Both_Shift_Roster!AJ$2,Morning_Shift!$B$2:$BJ$2,0),0),"")="",IFERROR(VLOOKUP($B42,Evening_Shift!$B$4:$BJ$62,MATCH(Both_Shift_Roster!AJ$2,Evening_Shift!$B$2:$BJ$2,0),0),""),IFERROR(VLOOKUP($B42,Morning_Shift!$B$4:$BJ$61,MATCH(Both_Shift_Roster!AJ$2,Morning_Shift!$B$2:$BJ$2,0),0),""))</f>
        <v>7:00-14:30</v>
      </c>
      <c r="AK42" s="2" t="str">
        <f>IF(IFERROR(VLOOKUP($B42,Morning_Shift!$B$4:$BJ$61,MATCH(Both_Shift_Roster!AK$2,Morning_Shift!$B$2:$BJ$2,0),0),"")="",IFERROR(VLOOKUP($B42,Evening_Shift!$B$4:$BJ$62,MATCH(Both_Shift_Roster!AK$2,Evening_Shift!$B$2:$BJ$2,0),0),""),IFERROR(VLOOKUP($B42,Morning_Shift!$B$4:$BJ$61,MATCH(Both_Shift_Roster!AK$2,Morning_Shift!$B$2:$BJ$2,0),0),""))</f>
        <v>7:00-14:30</v>
      </c>
      <c r="AL42" s="2">
        <f t="shared" si="25"/>
        <v>1</v>
      </c>
      <c r="AM42" s="2">
        <f t="shared" si="26"/>
        <v>0</v>
      </c>
      <c r="AN42" s="2">
        <f t="shared" si="27"/>
        <v>0</v>
      </c>
      <c r="AO42" s="2">
        <f t="shared" si="28"/>
        <v>0</v>
      </c>
      <c r="AP42" s="2">
        <f t="shared" si="29"/>
        <v>0</v>
      </c>
      <c r="AQ42" s="2" t="str">
        <f>IF(IFERROR(VLOOKUP($B42,Morning_Shift!$B$4:$BJ$61,MATCH(Both_Shift_Roster!AQ$2,Morning_Shift!$B$2:$BJ$2,0),0),"")="",IFERROR(VLOOKUP($B42,Evening_Shift!$B$4:$BJ$62,MATCH(Both_Shift_Roster!AQ$2,Evening_Shift!$B$2:$BJ$2,0),0),""),IFERROR(VLOOKUP($B42,Morning_Shift!$B$4:$BJ$61,MATCH(Both_Shift_Roster!AQ$2,Morning_Shift!$B$2:$BJ$2,0),0),""))</f>
        <v>7:00-14:30</v>
      </c>
      <c r="AR42" s="2" t="str">
        <f>IF(IFERROR(VLOOKUP($B42,Morning_Shift!$B$4:$BJ$61,MATCH(Both_Shift_Roster!AR$2,Morning_Shift!$B$2:$BJ$2,0),0),"")="",IFERROR(VLOOKUP($B42,Evening_Shift!$B$4:$BJ$62,MATCH(Both_Shift_Roster!AR$2,Evening_Shift!$B$2:$BJ$2,0),0),""),IFERROR(VLOOKUP($B42,Morning_Shift!$B$4:$BJ$61,MATCH(Both_Shift_Roster!AR$2,Morning_Shift!$B$2:$BJ$2,0),0),""))</f>
        <v>7:00-14:30</v>
      </c>
      <c r="AS42" s="2" t="str">
        <f>IF(IFERROR(VLOOKUP($B42,Morning_Shift!$B$4:$BJ$61,MATCH(Both_Shift_Roster!AS$2,Morning_Shift!$B$2:$BJ$2,0),0),"")="",IFERROR(VLOOKUP($B42,Evening_Shift!$B$4:$BJ$62,MATCH(Both_Shift_Roster!AS$2,Evening_Shift!$B$2:$BJ$2,0),0),""),IFERROR(VLOOKUP($B42,Morning_Shift!$B$4:$BJ$61,MATCH(Both_Shift_Roster!AS$2,Morning_Shift!$B$2:$BJ$2,0),0),""))</f>
        <v>7:00-14:30</v>
      </c>
      <c r="AT42" s="2" t="str">
        <f>IF(IFERROR(VLOOKUP($B42,Morning_Shift!$B$4:$BJ$61,MATCH(Both_Shift_Roster!AT$2,Morning_Shift!$B$2:$BJ$2,0),0),"")="",IFERROR(VLOOKUP($B42,Evening_Shift!$B$4:$BJ$62,MATCH(Both_Shift_Roster!AT$2,Evening_Shift!$B$2:$BJ$2,0),0),""),IFERROR(VLOOKUP($B42,Morning_Shift!$B$4:$BJ$61,MATCH(Both_Shift_Roster!AT$2,Morning_Shift!$B$2:$BJ$2,0),0),""))</f>
        <v>7:00-14:30</v>
      </c>
      <c r="AU42" s="2" t="str">
        <f>IF(IFERROR(VLOOKUP($B42,Morning_Shift!$B$4:$BJ$61,MATCH(Both_Shift_Roster!AU$2,Morning_Shift!$B$2:$BJ$2,0),0),"")="",IFERROR(VLOOKUP($B42,Evening_Shift!$B$4:$BJ$62,MATCH(Both_Shift_Roster!AU$2,Evening_Shift!$B$2:$BJ$2,0),0),""),IFERROR(VLOOKUP($B42,Morning_Shift!$B$4:$BJ$61,MATCH(Both_Shift_Roster!AU$2,Morning_Shift!$B$2:$BJ$2,0),0),""))</f>
        <v>7:00-14:30</v>
      </c>
      <c r="AV42" s="2" t="str">
        <f>IF(IFERROR(VLOOKUP($B42,Morning_Shift!$B$4:$BJ$61,MATCH(Both_Shift_Roster!AV$2,Morning_Shift!$B$2:$BJ$2,0),0),"")="",IFERROR(VLOOKUP($B42,Evening_Shift!$B$4:$BJ$62,MATCH(Both_Shift_Roster!AV$2,Evening_Shift!$B$2:$BJ$2,0),0),""),IFERROR(VLOOKUP($B42,Morning_Shift!$B$4:$BJ$61,MATCH(Both_Shift_Roster!AV$2,Morning_Shift!$B$2:$BJ$2,0),0),""))</f>
        <v>7:00-14:30</v>
      </c>
      <c r="AW42" s="2" t="str">
        <f>IF(IFERROR(VLOOKUP($B42,Morning_Shift!$B$4:$BJ$61,MATCH(Both_Shift_Roster!AW$2,Morning_Shift!$B$2:$BJ$2,0),0),"")="",IFERROR(VLOOKUP($B42,Evening_Shift!$B$4:$BJ$62,MATCH(Both_Shift_Roster!AW$2,Evening_Shift!$B$2:$BJ$2,0),0),""),IFERROR(VLOOKUP($B42,Morning_Shift!$B$4:$BJ$61,MATCH(Both_Shift_Roster!AW$2,Morning_Shift!$B$2:$BJ$2,0),0),""))</f>
        <v>Agent Choice WO</v>
      </c>
      <c r="AX42" s="2">
        <f t="shared" si="30"/>
        <v>1</v>
      </c>
      <c r="AY42" s="2">
        <f t="shared" si="31"/>
        <v>0</v>
      </c>
      <c r="AZ42" s="2">
        <f t="shared" si="32"/>
        <v>0</v>
      </c>
      <c r="BA42" s="2">
        <f t="shared" si="33"/>
        <v>0</v>
      </c>
      <c r="BB42" s="2">
        <f t="shared" si="34"/>
        <v>0</v>
      </c>
      <c r="BC42" s="2" t="str">
        <f>IF(IFERROR(VLOOKUP($B42,Morning_Shift!$B$4:$BJ$61,MATCH(Both_Shift_Roster!BC$2,Morning_Shift!$B$2:$BJ$2,0),0),"")="",IFERROR(VLOOKUP($B42,Evening_Shift!$B$4:$BJ$62,MATCH(Both_Shift_Roster!BC$2,Evening_Shift!$B$2:$BJ$2,0),0),""),IFERROR(VLOOKUP($B42,Morning_Shift!$B$4:$BJ$61,MATCH(Both_Shift_Roster!BC$2,Morning_Shift!$B$2:$BJ$2,0),0),""))</f>
        <v>7:00-14:30</v>
      </c>
      <c r="BD42" s="2" t="str">
        <f>IF(IFERROR(VLOOKUP($B42,Morning_Shift!$B$4:$BJ$61,MATCH(Both_Shift_Roster!BD$2,Morning_Shift!$B$2:$BJ$2,0),0),"")="",IFERROR(VLOOKUP($B42,Evening_Shift!$B$4:$BJ$62,MATCH(Both_Shift_Roster!BD$2,Evening_Shift!$B$2:$BJ$2,0),0),""),IFERROR(VLOOKUP($B42,Morning_Shift!$B$4:$BJ$61,MATCH(Both_Shift_Roster!BD$2,Morning_Shift!$B$2:$BJ$2,0),0),""))</f>
        <v>7:00-14:30</v>
      </c>
      <c r="BE42" s="2" t="str">
        <f>IF(IFERROR(VLOOKUP($B42,Morning_Shift!$B$4:$BJ$61,MATCH(Both_Shift_Roster!BE$2,Morning_Shift!$B$2:$BJ$2,0),0),"")="",IFERROR(VLOOKUP($B42,Evening_Shift!$B$4:$BJ$59,MATCH(Both_Shift_Roster!BE$2,Evening_Shift!$B$2:$BJ$2,0),0),""),IFERROR(VLOOKUP($B42,Morning_Shift!$B$4:$BJ$61,MATCH(Both_Shift_Roster!BE$2,Morning_Shift!$B$2:$BJ$2,0),0),""))</f>
        <v>7:00-14:30</v>
      </c>
      <c r="BF42" s="2">
        <f t="shared" si="35"/>
        <v>0</v>
      </c>
      <c r="BG42" s="2">
        <f t="shared" si="36"/>
        <v>0</v>
      </c>
      <c r="BH42" s="2">
        <f t="shared" si="37"/>
        <v>0</v>
      </c>
      <c r="BI42" s="2">
        <f t="shared" si="38"/>
        <v>0</v>
      </c>
      <c r="BJ42" s="2">
        <f t="shared" si="39"/>
        <v>0</v>
      </c>
    </row>
    <row r="43" spans="1:62">
      <c r="A43" s="17">
        <f t="shared" si="40"/>
        <v>40</v>
      </c>
      <c r="B43" s="16" t="str">
        <f>Morning_Shift!$B43</f>
        <v>Dritm34</v>
      </c>
      <c r="C43" s="21" t="str">
        <f>IF(IFERROR(VLOOKUP(B43,Morning_Shift!B:C,2,0),"")="",IFERROR(VLOOKUP(B43,Evening_Shift!B:C,2,0),""),IFERROR(VLOOKUP(B43,Morning_Shift!B:C,2,0),""))</f>
        <v>Rama Devi</v>
      </c>
      <c r="D43" s="15" t="str">
        <f>IF(IFERROR(VLOOKUP(B43,Morning_Shift!B:D,3,0),"")="",IFERROR(VLOOKUP(B43,Evening_Shift!B:D,3,0),""),IFERROR(VLOOKUP(B43,Morning_Shift!B:D,3,0),""))</f>
        <v>Naina</v>
      </c>
      <c r="E43" s="4" t="str">
        <f>IF(IFERROR(VLOOKUP(B43,Morning_Shift!B:E,4,0),"")="",IFERROR(VLOOKUP(B43,Evening_Shift!B:E,4,0),""),IFERROR(VLOOKUP(B43,Morning_Shift!B:E,4,0),""))</f>
        <v>F</v>
      </c>
      <c r="F43" s="5" t="str">
        <f>IF(IFERROR(VLOOKUP(B43,Morning_Shift!B:F,5,0),"")="",IFERROR(VLOOKUP(B43,Evening_Shift!B:F,5,0),""),IFERROR(VLOOKUP(B43,Morning_Shift!B:F,5,0),""))</f>
        <v>Himseva manual preview</v>
      </c>
      <c r="G43" s="2" t="str">
        <f>IF(IFERROR(VLOOKUP($B43,Morning_Shift!$B$4:$BJ$61,MATCH(Both_Shift_Roster!G$2,Morning_Shift!$B$2:$BJ$2,0),0),"")="",IFERROR(VLOOKUP($B43,Evening_Shift!$B$4:$BJ$62,MATCH(Both_Shift_Roster!G$2,Evening_Shift!$B$2:$BJ$2,0),0),""),IFERROR(VLOOKUP($B43,Morning_Shift!$B$4:$BJ$61,MATCH(Both_Shift_Roster!G$2,Morning_Shift!$B$2:$BJ$2,0),0),""))</f>
        <v>7:00-14:30</v>
      </c>
      <c r="H43" s="2" t="str">
        <f>IF(IFERROR(VLOOKUP($B43,Morning_Shift!$B$4:$BJ$61,MATCH(Both_Shift_Roster!H$2,Morning_Shift!$B$2:$BJ$2,0),0),"")="",IFERROR(VLOOKUP($B43,Evening_Shift!$B$4:$BJ$62,MATCH(Both_Shift_Roster!H$2,Evening_Shift!$B$2:$BJ$2,0),0),""),IFERROR(VLOOKUP($B43,Morning_Shift!$B$4:$BJ$61,MATCH(Both_Shift_Roster!H$2,Morning_Shift!$B$2:$BJ$2,0),0),""))</f>
        <v>7:00-14:30</v>
      </c>
      <c r="I43" s="2" t="str">
        <f>IF(IFERROR(VLOOKUP($B43,Morning_Shift!$B$4:$BJ$61,MATCH(Both_Shift_Roster!I$2,Morning_Shift!$B$2:$BJ$2,0),0),"")="",IFERROR(VLOOKUP($B43,Evening_Shift!$B$4:$BJ$62,MATCH(Both_Shift_Roster!I$2,Evening_Shift!$B$2:$BJ$2,0),0),""),IFERROR(VLOOKUP($B43,Morning_Shift!$B$4:$BJ$61,MATCH(Both_Shift_Roster!I$2,Morning_Shift!$B$2:$BJ$2,0),0),""))</f>
        <v>Agent Choice WO</v>
      </c>
      <c r="J43" s="2" t="str">
        <f>IF(IFERROR(VLOOKUP($B43,Morning_Shift!$B$4:$BJ$61,MATCH(Both_Shift_Roster!J$2,Morning_Shift!$B$2:$BJ$2,0),0),"")="",IFERROR(VLOOKUP($B43,Evening_Shift!$B$4:$BJ$62,MATCH(Both_Shift_Roster!J$2,Evening_Shift!$B$2:$BJ$2,0),0),""),IFERROR(VLOOKUP($B43,Morning_Shift!$B$4:$BJ$61,MATCH(Both_Shift_Roster!J$2,Morning_Shift!$B$2:$BJ$2,0),0),""))</f>
        <v>7:00-14:30</v>
      </c>
      <c r="K43" s="2" t="str">
        <f>IF(IFERROR(VLOOKUP($B43,Morning_Shift!$B$4:$BJ$61,MATCH(Both_Shift_Roster!K$2,Morning_Shift!$B$2:$BJ$2,0),0),"")="",IFERROR(VLOOKUP($B43,Evening_Shift!$B$4:$BJ$62,MATCH(Both_Shift_Roster!K$2,Evening_Shift!$B$2:$BJ$2,0),0),""),IFERROR(VLOOKUP($B43,Morning_Shift!$B$4:$BJ$61,MATCH(Both_Shift_Roster!K$2,Morning_Shift!$B$2:$BJ$2,0),0),""))</f>
        <v>7:00-14:30</v>
      </c>
      <c r="L43" s="2" t="str">
        <f>IF(IFERROR(VLOOKUP($B43,Morning_Shift!$B$4:$BJ$61,MATCH(Both_Shift_Roster!L$2,Morning_Shift!$B$2:$BJ$2,0),0),"")="",IFERROR(VLOOKUP($B43,Evening_Shift!$B$4:$BJ$62,MATCH(Both_Shift_Roster!L$2,Evening_Shift!$B$2:$BJ$2,0),0),""),IFERROR(VLOOKUP($B43,Morning_Shift!$B$4:$BJ$61,MATCH(Both_Shift_Roster!L$2,Morning_Shift!$B$2:$BJ$2,0),0),""))</f>
        <v>7:00-14:30</v>
      </c>
      <c r="M43" s="2" t="str">
        <f>IF(IFERROR(VLOOKUP($B43,Morning_Shift!$B$4:$BJ$61,MATCH(Both_Shift_Roster!M$2,Morning_Shift!$B$2:$BJ$2,0),0),"")="",IFERROR(VLOOKUP($B43,Evening_Shift!$B$4:$BJ$62,MATCH(Both_Shift_Roster!M$2,Evening_Shift!$B$2:$BJ$2,0),0),""),IFERROR(VLOOKUP($B43,Morning_Shift!$B$4:$BJ$61,MATCH(Both_Shift_Roster!M$2,Morning_Shift!$B$2:$BJ$2,0),0),""))</f>
        <v>7:00-14:30</v>
      </c>
      <c r="N43" s="2">
        <f t="shared" si="15"/>
        <v>1</v>
      </c>
      <c r="O43" s="2">
        <f t="shared" si="16"/>
        <v>0</v>
      </c>
      <c r="P43" s="2">
        <f t="shared" si="17"/>
        <v>0</v>
      </c>
      <c r="Q43" s="2">
        <f t="shared" si="18"/>
        <v>0</v>
      </c>
      <c r="R43" s="2">
        <f t="shared" si="19"/>
        <v>0</v>
      </c>
      <c r="S43" s="2" t="str">
        <f>IF(IFERROR(VLOOKUP($B43,Morning_Shift!$B$4:$BJ$61,MATCH(Both_Shift_Roster!S$2,Morning_Shift!$B$2:$BJ$2,0),0),"")="",IFERROR(VLOOKUP($B43,Evening_Shift!$B$4:$BJ$62,MATCH(Both_Shift_Roster!S$2,Evening_Shift!$B$2:$BJ$2,0),0),""),IFERROR(VLOOKUP($B43,Morning_Shift!$B$4:$BJ$61,MATCH(Both_Shift_Roster!S$2,Morning_Shift!$B$2:$BJ$2,0),0),""))</f>
        <v>7:00-14:30</v>
      </c>
      <c r="T43" s="2" t="str">
        <f>IF(IFERROR(VLOOKUP($B43,Morning_Shift!$B$4:$BJ$61,MATCH(Both_Shift_Roster!T$2,Morning_Shift!$B$2:$BJ$2,0),0),"")="",IFERROR(VLOOKUP($B43,Evening_Shift!$B$4:$BJ$62,MATCH(Both_Shift_Roster!T$2,Evening_Shift!$B$2:$BJ$2,0),0),""),IFERROR(VLOOKUP($B43,Morning_Shift!$B$4:$BJ$61,MATCH(Both_Shift_Roster!T$2,Morning_Shift!$B$2:$BJ$2,0),0),""))</f>
        <v>7:00-14:30</v>
      </c>
      <c r="U43" s="2" t="str">
        <f>IF(IFERROR(VLOOKUP($B43,Morning_Shift!$B$4:$BJ$61,MATCH(Both_Shift_Roster!U$2,Morning_Shift!$B$2:$BJ$2,0),0),"")="",IFERROR(VLOOKUP($B43,Evening_Shift!$B$4:$BJ$62,MATCH(Both_Shift_Roster!U$2,Evening_Shift!$B$2:$BJ$2,0),0),""),IFERROR(VLOOKUP($B43,Morning_Shift!$B$4:$BJ$61,MATCH(Both_Shift_Roster!U$2,Morning_Shift!$B$2:$BJ$2,0),0),""))</f>
        <v>7:00-14:30</v>
      </c>
      <c r="V43" s="2" t="str">
        <f>IF(IFERROR(VLOOKUP($B43,Morning_Shift!$B$4:$BJ$61,MATCH(Both_Shift_Roster!V$2,Morning_Shift!$B$2:$BJ$2,0),0),"")="",IFERROR(VLOOKUP($B43,Evening_Shift!$B$4:$BJ$62,MATCH(Both_Shift_Roster!V$2,Evening_Shift!$B$2:$BJ$2,0),0),""),IFERROR(VLOOKUP($B43,Morning_Shift!$B$4:$BJ$61,MATCH(Both_Shift_Roster!V$2,Morning_Shift!$B$2:$BJ$2,0),0),""))</f>
        <v>7:00-14:30</v>
      </c>
      <c r="W43" s="2" t="str">
        <f>IF(IFERROR(VLOOKUP($B43,Morning_Shift!$B$4:$BJ$61,MATCH(Both_Shift_Roster!W$2,Morning_Shift!$B$2:$BJ$2,0),0),"")="",IFERROR(VLOOKUP($B43,Evening_Shift!$B$4:$BJ$62,MATCH(Both_Shift_Roster!W$2,Evening_Shift!$B$2:$BJ$2,0),0),""),IFERROR(VLOOKUP($B43,Morning_Shift!$B$4:$BJ$61,MATCH(Both_Shift_Roster!W$2,Morning_Shift!$B$2:$BJ$2,0),0),""))</f>
        <v>7:00-14:30</v>
      </c>
      <c r="X43" s="2" t="str">
        <f>IF(IFERROR(VLOOKUP($B43,Morning_Shift!$B$4:$BJ$61,MATCH(Both_Shift_Roster!X$2,Morning_Shift!$B$2:$BJ$2,0),0),"")="",IFERROR(VLOOKUP($B43,Evening_Shift!$B$4:$BJ$62,MATCH(Both_Shift_Roster!X$2,Evening_Shift!$B$2:$BJ$2,0),0),""),IFERROR(VLOOKUP($B43,Morning_Shift!$B$4:$BJ$61,MATCH(Both_Shift_Roster!X$2,Morning_Shift!$B$2:$BJ$2,0),0),""))</f>
        <v>7:00-14:30</v>
      </c>
      <c r="Y43" s="2" t="str">
        <f>IF(IFERROR(VLOOKUP($B43,Morning_Shift!$B$4:$BJ$61,MATCH(Both_Shift_Roster!Y$2,Morning_Shift!$B$2:$BJ$2,0),0),"")="",IFERROR(VLOOKUP($B43,Evening_Shift!$B$4:$BJ$62,MATCH(Both_Shift_Roster!Y$2,Evening_Shift!$B$2:$BJ$2,0),0),""),IFERROR(VLOOKUP($B43,Morning_Shift!$B$4:$BJ$61,MATCH(Both_Shift_Roster!Y$2,Morning_Shift!$B$2:$BJ$2,0),0),""))</f>
        <v>7:00-14:30</v>
      </c>
      <c r="Z43" s="2">
        <f t="shared" si="20"/>
        <v>0</v>
      </c>
      <c r="AA43" s="2">
        <f t="shared" si="21"/>
        <v>0</v>
      </c>
      <c r="AB43" s="2">
        <f t="shared" si="22"/>
        <v>0</v>
      </c>
      <c r="AC43" s="2">
        <f t="shared" si="23"/>
        <v>0</v>
      </c>
      <c r="AD43" s="2">
        <f t="shared" si="24"/>
        <v>0</v>
      </c>
      <c r="AE43" s="2" t="str">
        <f>IF(IFERROR(VLOOKUP($B43,Morning_Shift!$B$4:$BJ$61,MATCH(Both_Shift_Roster!AE$2,Morning_Shift!$B$2:$BJ$2,0),0),"")="",IFERROR(VLOOKUP($B43,Evening_Shift!$B$4:$BJ$62,MATCH(Both_Shift_Roster!AE$2,Evening_Shift!$B$2:$BJ$2,0),0),""),IFERROR(VLOOKUP($B43,Morning_Shift!$B$4:$BJ$61,MATCH(Both_Shift_Roster!AE$2,Morning_Shift!$B$2:$BJ$2,0),0),""))</f>
        <v>7:00-14:30</v>
      </c>
      <c r="AF43" s="2" t="str">
        <f>IF(IFERROR(VLOOKUP($B43,Morning_Shift!$B$4:$BJ$61,MATCH(Both_Shift_Roster!AF$2,Morning_Shift!$B$2:$BJ$2,0),0),"")="",IFERROR(VLOOKUP($B43,Evening_Shift!$B$4:$BJ$62,MATCH(Both_Shift_Roster!AF$2,Evening_Shift!$B$2:$BJ$2,0),0),""),IFERROR(VLOOKUP($B43,Morning_Shift!$B$4:$BJ$61,MATCH(Both_Shift_Roster!AF$2,Morning_Shift!$B$2:$BJ$2,0),0),""))</f>
        <v>7:00-14:30</v>
      </c>
      <c r="AG43" s="2" t="str">
        <f>IF(IFERROR(VLOOKUP($B43,Morning_Shift!$B$4:$BJ$61,MATCH(Both_Shift_Roster!AG$2,Morning_Shift!$B$2:$BJ$2,0),0),"")="",IFERROR(VLOOKUP($B43,Evening_Shift!$B$4:$BJ$62,MATCH(Both_Shift_Roster!AG$2,Evening_Shift!$B$2:$BJ$2,0),0),""),IFERROR(VLOOKUP($B43,Morning_Shift!$B$4:$BJ$61,MATCH(Both_Shift_Roster!AG$2,Morning_Shift!$B$2:$BJ$2,0),0),""))</f>
        <v>7:00-14:30</v>
      </c>
      <c r="AH43" s="2" t="str">
        <f>IF(IFERROR(VLOOKUP($B43,Morning_Shift!$B$4:$BJ$61,MATCH(Both_Shift_Roster!AH$2,Morning_Shift!$B$2:$BJ$2,0),0),"")="",IFERROR(VLOOKUP($B43,Evening_Shift!$B$4:$BJ$62,MATCH(Both_Shift_Roster!AH$2,Evening_Shift!$B$2:$BJ$2,0),0),""),IFERROR(VLOOKUP($B43,Morning_Shift!$B$4:$BJ$61,MATCH(Both_Shift_Roster!AH$2,Morning_Shift!$B$2:$BJ$2,0),0),""))</f>
        <v>7:00-14:30</v>
      </c>
      <c r="AI43" s="2" t="str">
        <f>IF(IFERROR(VLOOKUP($B43,Morning_Shift!$B$4:$BJ$61,MATCH(Both_Shift_Roster!AI$2,Morning_Shift!$B$2:$BJ$2,0),0),"")="",IFERROR(VLOOKUP($B43,Evening_Shift!$B$4:$BJ$62,MATCH(Both_Shift_Roster!AI$2,Evening_Shift!$B$2:$BJ$2,0),0),""),IFERROR(VLOOKUP($B43,Morning_Shift!$B$4:$BJ$61,MATCH(Both_Shift_Roster!AI$2,Morning_Shift!$B$2:$BJ$2,0),0),""))</f>
        <v>7:00-14:30</v>
      </c>
      <c r="AJ43" s="2" t="str">
        <f>IF(IFERROR(VLOOKUP($B43,Morning_Shift!$B$4:$BJ$61,MATCH(Both_Shift_Roster!AJ$2,Morning_Shift!$B$2:$BJ$2,0),0),"")="",IFERROR(VLOOKUP($B43,Evening_Shift!$B$4:$BJ$62,MATCH(Both_Shift_Roster!AJ$2,Evening_Shift!$B$2:$BJ$2,0),0),""),IFERROR(VLOOKUP($B43,Morning_Shift!$B$4:$BJ$61,MATCH(Both_Shift_Roster!AJ$2,Morning_Shift!$B$2:$BJ$2,0),0),""))</f>
        <v>7:00-14:30</v>
      </c>
      <c r="AK43" s="2" t="str">
        <f>IF(IFERROR(VLOOKUP($B43,Morning_Shift!$B$4:$BJ$61,MATCH(Both_Shift_Roster!AK$2,Morning_Shift!$B$2:$BJ$2,0),0),"")="",IFERROR(VLOOKUP($B43,Evening_Shift!$B$4:$BJ$62,MATCH(Both_Shift_Roster!AK$2,Evening_Shift!$B$2:$BJ$2,0),0),""),IFERROR(VLOOKUP($B43,Morning_Shift!$B$4:$BJ$61,MATCH(Both_Shift_Roster!AK$2,Morning_Shift!$B$2:$BJ$2,0),0),""))</f>
        <v>7:00-14:30</v>
      </c>
      <c r="AL43" s="2">
        <f t="shared" si="25"/>
        <v>0</v>
      </c>
      <c r="AM43" s="2">
        <f t="shared" si="26"/>
        <v>0</v>
      </c>
      <c r="AN43" s="2">
        <f t="shared" si="27"/>
        <v>0</v>
      </c>
      <c r="AO43" s="2">
        <f t="shared" si="28"/>
        <v>0</v>
      </c>
      <c r="AP43" s="2">
        <f t="shared" si="29"/>
        <v>0</v>
      </c>
      <c r="AQ43" s="2" t="str">
        <f>IF(IFERROR(VLOOKUP($B43,Morning_Shift!$B$4:$BJ$61,MATCH(Both_Shift_Roster!AQ$2,Morning_Shift!$B$2:$BJ$2,0),0),"")="",IFERROR(VLOOKUP($B43,Evening_Shift!$B$4:$BJ$62,MATCH(Both_Shift_Roster!AQ$2,Evening_Shift!$B$2:$BJ$2,0),0),""),IFERROR(VLOOKUP($B43,Morning_Shift!$B$4:$BJ$61,MATCH(Both_Shift_Roster!AQ$2,Morning_Shift!$B$2:$BJ$2,0),0),""))</f>
        <v>7:00-14:30</v>
      </c>
      <c r="AR43" s="2" t="str">
        <f>IF(IFERROR(VLOOKUP($B43,Morning_Shift!$B$4:$BJ$61,MATCH(Both_Shift_Roster!AR$2,Morning_Shift!$B$2:$BJ$2,0),0),"")="",IFERROR(VLOOKUP($B43,Evening_Shift!$B$4:$BJ$62,MATCH(Both_Shift_Roster!AR$2,Evening_Shift!$B$2:$BJ$2,0),0),""),IFERROR(VLOOKUP($B43,Morning_Shift!$B$4:$BJ$61,MATCH(Both_Shift_Roster!AR$2,Morning_Shift!$B$2:$BJ$2,0),0),""))</f>
        <v>7:00-14:30</v>
      </c>
      <c r="AS43" s="2" t="str">
        <f>IF(IFERROR(VLOOKUP($B43,Morning_Shift!$B$4:$BJ$61,MATCH(Both_Shift_Roster!AS$2,Morning_Shift!$B$2:$BJ$2,0),0),"")="",IFERROR(VLOOKUP($B43,Evening_Shift!$B$4:$BJ$62,MATCH(Both_Shift_Roster!AS$2,Evening_Shift!$B$2:$BJ$2,0),0),""),IFERROR(VLOOKUP($B43,Morning_Shift!$B$4:$BJ$61,MATCH(Both_Shift_Roster!AS$2,Morning_Shift!$B$2:$BJ$2,0),0),""))</f>
        <v>7:00-14:30</v>
      </c>
      <c r="AT43" s="2" t="str">
        <f>IF(IFERROR(VLOOKUP($B43,Morning_Shift!$B$4:$BJ$61,MATCH(Both_Shift_Roster!AT$2,Morning_Shift!$B$2:$BJ$2,0),0),"")="",IFERROR(VLOOKUP($B43,Evening_Shift!$B$4:$BJ$62,MATCH(Both_Shift_Roster!AT$2,Evening_Shift!$B$2:$BJ$2,0),0),""),IFERROR(VLOOKUP($B43,Morning_Shift!$B$4:$BJ$61,MATCH(Both_Shift_Roster!AT$2,Morning_Shift!$B$2:$BJ$2,0),0),""))</f>
        <v>7:00-14:30</v>
      </c>
      <c r="AU43" s="2" t="str">
        <f>IF(IFERROR(VLOOKUP($B43,Morning_Shift!$B$4:$BJ$61,MATCH(Both_Shift_Roster!AU$2,Morning_Shift!$B$2:$BJ$2,0),0),"")="",IFERROR(VLOOKUP($B43,Evening_Shift!$B$4:$BJ$62,MATCH(Both_Shift_Roster!AU$2,Evening_Shift!$B$2:$BJ$2,0),0),""),IFERROR(VLOOKUP($B43,Morning_Shift!$B$4:$BJ$61,MATCH(Both_Shift_Roster!AU$2,Morning_Shift!$B$2:$BJ$2,0),0),""))</f>
        <v>Agent Choice WO</v>
      </c>
      <c r="AV43" s="2" t="str">
        <f>IF(IFERROR(VLOOKUP($B43,Morning_Shift!$B$4:$BJ$61,MATCH(Both_Shift_Roster!AV$2,Morning_Shift!$B$2:$BJ$2,0),0),"")="",IFERROR(VLOOKUP($B43,Evening_Shift!$B$4:$BJ$62,MATCH(Both_Shift_Roster!AV$2,Evening_Shift!$B$2:$BJ$2,0),0),""),IFERROR(VLOOKUP($B43,Morning_Shift!$B$4:$BJ$61,MATCH(Both_Shift_Roster!AV$2,Morning_Shift!$B$2:$BJ$2,0),0),""))</f>
        <v>Agent Choice WO</v>
      </c>
      <c r="AW43" s="2" t="str">
        <f>IF(IFERROR(VLOOKUP($B43,Morning_Shift!$B$4:$BJ$61,MATCH(Both_Shift_Roster!AW$2,Morning_Shift!$B$2:$BJ$2,0),0),"")="",IFERROR(VLOOKUP($B43,Evening_Shift!$B$4:$BJ$62,MATCH(Both_Shift_Roster!AW$2,Evening_Shift!$B$2:$BJ$2,0),0),""),IFERROR(VLOOKUP($B43,Morning_Shift!$B$4:$BJ$61,MATCH(Both_Shift_Roster!AW$2,Morning_Shift!$B$2:$BJ$2,0),0),""))</f>
        <v>Agent Choice WO</v>
      </c>
      <c r="AX43" s="2">
        <f t="shared" si="30"/>
        <v>3</v>
      </c>
      <c r="AY43" s="2">
        <f t="shared" si="31"/>
        <v>0</v>
      </c>
      <c r="AZ43" s="2">
        <f t="shared" si="32"/>
        <v>0</v>
      </c>
      <c r="BA43" s="2">
        <f t="shared" si="33"/>
        <v>0</v>
      </c>
      <c r="BB43" s="2">
        <f t="shared" si="34"/>
        <v>0</v>
      </c>
      <c r="BC43" s="2" t="str">
        <f>IF(IFERROR(VLOOKUP($B43,Morning_Shift!$B$4:$BJ$61,MATCH(Both_Shift_Roster!BC$2,Morning_Shift!$B$2:$BJ$2,0),0),"")="",IFERROR(VLOOKUP($B43,Evening_Shift!$B$4:$BJ$62,MATCH(Both_Shift_Roster!BC$2,Evening_Shift!$B$2:$BJ$2,0),0),""),IFERROR(VLOOKUP($B43,Morning_Shift!$B$4:$BJ$61,MATCH(Both_Shift_Roster!BC$2,Morning_Shift!$B$2:$BJ$2,0),0),""))</f>
        <v>7:00-14:30</v>
      </c>
      <c r="BD43" s="2" t="str">
        <f>IF(IFERROR(VLOOKUP($B43,Morning_Shift!$B$4:$BJ$61,MATCH(Both_Shift_Roster!BD$2,Morning_Shift!$B$2:$BJ$2,0),0),"")="",IFERROR(VLOOKUP($B43,Evening_Shift!$B$4:$BJ$62,MATCH(Both_Shift_Roster!BD$2,Evening_Shift!$B$2:$BJ$2,0),0),""),IFERROR(VLOOKUP($B43,Morning_Shift!$B$4:$BJ$61,MATCH(Both_Shift_Roster!BD$2,Morning_Shift!$B$2:$BJ$2,0),0),""))</f>
        <v>7:00-14:30</v>
      </c>
      <c r="BE43" s="2" t="str">
        <f>IF(IFERROR(VLOOKUP($B43,Morning_Shift!$B$4:$BJ$61,MATCH(Both_Shift_Roster!BE$2,Morning_Shift!$B$2:$BJ$2,0),0),"")="",IFERROR(VLOOKUP($B43,Evening_Shift!$B$4:$BJ$59,MATCH(Both_Shift_Roster!BE$2,Evening_Shift!$B$2:$BJ$2,0),0),""),IFERROR(VLOOKUP($B43,Morning_Shift!$B$4:$BJ$61,MATCH(Both_Shift_Roster!BE$2,Morning_Shift!$B$2:$BJ$2,0),0),""))</f>
        <v>7:00-14:30</v>
      </c>
      <c r="BF43" s="2">
        <f t="shared" si="35"/>
        <v>0</v>
      </c>
      <c r="BG43" s="2">
        <f t="shared" si="36"/>
        <v>0</v>
      </c>
      <c r="BH43" s="2">
        <f t="shared" si="37"/>
        <v>0</v>
      </c>
      <c r="BI43" s="2">
        <f t="shared" si="38"/>
        <v>0</v>
      </c>
      <c r="BJ43" s="2">
        <f t="shared" si="39"/>
        <v>0</v>
      </c>
    </row>
    <row r="44" spans="1:62">
      <c r="A44" s="17">
        <f t="shared" si="40"/>
        <v>41</v>
      </c>
      <c r="B44" s="16" t="str">
        <f>Morning_Shift!$B44</f>
        <v>Dritm121</v>
      </c>
      <c r="C44" s="21" t="str">
        <f>IF(IFERROR(VLOOKUP(B44,Morning_Shift!B:C,2,0),"")="",IFERROR(VLOOKUP(B44,Evening_Shift!B:C,2,0),""),IFERROR(VLOOKUP(B44,Morning_Shift!B:C,2,0),""))</f>
        <v>Ranjana</v>
      </c>
      <c r="D44" s="15" t="str">
        <f>IF(IFERROR(VLOOKUP(B44,Morning_Shift!B:D,3,0),"")="",IFERROR(VLOOKUP(B44,Evening_Shift!B:D,3,0),""),IFERROR(VLOOKUP(B44,Morning_Shift!B:D,3,0),""))</f>
        <v>Naina</v>
      </c>
      <c r="E44" s="4" t="str">
        <f>IF(IFERROR(VLOOKUP(B44,Morning_Shift!B:E,4,0),"")="",IFERROR(VLOOKUP(B44,Evening_Shift!B:E,4,0),""),IFERROR(VLOOKUP(B44,Morning_Shift!B:E,4,0),""))</f>
        <v>F</v>
      </c>
      <c r="F44" s="5" t="str">
        <f>IF(IFERROR(VLOOKUP(B44,Morning_Shift!B:F,5,0),"")="",IFERROR(VLOOKUP(B44,Evening_Shift!B:F,5,0),""),IFERROR(VLOOKUP(B44,Morning_Shift!B:F,5,0),""))</f>
        <v>Inbound</v>
      </c>
      <c r="G44" s="2" t="str">
        <f>IF(IFERROR(VLOOKUP($B44,Morning_Shift!$B$4:$BJ$61,MATCH(Both_Shift_Roster!G$2,Morning_Shift!$B$2:$BJ$2,0),0),"")="",IFERROR(VLOOKUP($B44,Evening_Shift!$B$4:$BJ$62,MATCH(Both_Shift_Roster!G$2,Evening_Shift!$B$2:$BJ$2,0),0),""),IFERROR(VLOOKUP($B44,Morning_Shift!$B$4:$BJ$61,MATCH(Both_Shift_Roster!G$2,Morning_Shift!$B$2:$BJ$2,0),0),""))</f>
        <v>7:00-14:30</v>
      </c>
      <c r="H44" s="2" t="str">
        <f>IF(IFERROR(VLOOKUP($B44,Morning_Shift!$B$4:$BJ$61,MATCH(Both_Shift_Roster!H$2,Morning_Shift!$B$2:$BJ$2,0),0),"")="",IFERROR(VLOOKUP($B44,Evening_Shift!$B$4:$BJ$62,MATCH(Both_Shift_Roster!H$2,Evening_Shift!$B$2:$BJ$2,0),0),""),IFERROR(VLOOKUP($B44,Morning_Shift!$B$4:$BJ$61,MATCH(Both_Shift_Roster!H$2,Morning_Shift!$B$2:$BJ$2,0),0),""))</f>
        <v>Agent Choice WO</v>
      </c>
      <c r="I44" s="2" t="str">
        <f>IF(IFERROR(VLOOKUP($B44,Morning_Shift!$B$4:$BJ$61,MATCH(Both_Shift_Roster!I$2,Morning_Shift!$B$2:$BJ$2,0),0),"")="",IFERROR(VLOOKUP($B44,Evening_Shift!$B$4:$BJ$62,MATCH(Both_Shift_Roster!I$2,Evening_Shift!$B$2:$BJ$2,0),0),""),IFERROR(VLOOKUP($B44,Morning_Shift!$B$4:$BJ$61,MATCH(Both_Shift_Roster!I$2,Morning_Shift!$B$2:$BJ$2,0),0),""))</f>
        <v>Agent Choice WO</v>
      </c>
      <c r="J44" s="2" t="str">
        <f>IF(IFERROR(VLOOKUP($B44,Morning_Shift!$B$4:$BJ$61,MATCH(Both_Shift_Roster!J$2,Morning_Shift!$B$2:$BJ$2,0),0),"")="",IFERROR(VLOOKUP($B44,Evening_Shift!$B$4:$BJ$62,MATCH(Both_Shift_Roster!J$2,Evening_Shift!$B$2:$BJ$2,0),0),""),IFERROR(VLOOKUP($B44,Morning_Shift!$B$4:$BJ$61,MATCH(Both_Shift_Roster!J$2,Morning_Shift!$B$2:$BJ$2,0),0),""))</f>
        <v>Agent Choice WO</v>
      </c>
      <c r="K44" s="2" t="str">
        <f>IF(IFERROR(VLOOKUP($B44,Morning_Shift!$B$4:$BJ$61,MATCH(Both_Shift_Roster!K$2,Morning_Shift!$B$2:$BJ$2,0),0),"")="",IFERROR(VLOOKUP($B44,Evening_Shift!$B$4:$BJ$62,MATCH(Both_Shift_Roster!K$2,Evening_Shift!$B$2:$BJ$2,0),0),""),IFERROR(VLOOKUP($B44,Morning_Shift!$B$4:$BJ$61,MATCH(Both_Shift_Roster!K$2,Morning_Shift!$B$2:$BJ$2,0),0),""))</f>
        <v>7:00-14:30</v>
      </c>
      <c r="L44" s="2" t="str">
        <f>IF(IFERROR(VLOOKUP($B44,Morning_Shift!$B$4:$BJ$61,MATCH(Both_Shift_Roster!L$2,Morning_Shift!$B$2:$BJ$2,0),0),"")="",IFERROR(VLOOKUP($B44,Evening_Shift!$B$4:$BJ$62,MATCH(Both_Shift_Roster!L$2,Evening_Shift!$B$2:$BJ$2,0),0),""),IFERROR(VLOOKUP($B44,Morning_Shift!$B$4:$BJ$61,MATCH(Both_Shift_Roster!L$2,Morning_Shift!$B$2:$BJ$2,0),0),""))</f>
        <v>7:00-14:30</v>
      </c>
      <c r="M44" s="2" t="str">
        <f>IF(IFERROR(VLOOKUP($B44,Morning_Shift!$B$4:$BJ$61,MATCH(Both_Shift_Roster!M$2,Morning_Shift!$B$2:$BJ$2,0),0),"")="",IFERROR(VLOOKUP($B44,Evening_Shift!$B$4:$BJ$62,MATCH(Both_Shift_Roster!M$2,Evening_Shift!$B$2:$BJ$2,0),0),""),IFERROR(VLOOKUP($B44,Morning_Shift!$B$4:$BJ$61,MATCH(Both_Shift_Roster!M$2,Morning_Shift!$B$2:$BJ$2,0),0),""))</f>
        <v>7:00-14:30</v>
      </c>
      <c r="N44" s="2">
        <f t="shared" si="15"/>
        <v>3</v>
      </c>
      <c r="O44" s="2">
        <f t="shared" si="16"/>
        <v>0</v>
      </c>
      <c r="P44" s="2">
        <f t="shared" si="17"/>
        <v>0</v>
      </c>
      <c r="Q44" s="2">
        <f t="shared" si="18"/>
        <v>0</v>
      </c>
      <c r="R44" s="2">
        <f t="shared" si="19"/>
        <v>0</v>
      </c>
      <c r="S44" s="2" t="str">
        <f>IF(IFERROR(VLOOKUP($B44,Morning_Shift!$B$4:$BJ$61,MATCH(Both_Shift_Roster!S$2,Morning_Shift!$B$2:$BJ$2,0),0),"")="",IFERROR(VLOOKUP($B44,Evening_Shift!$B$4:$BJ$62,MATCH(Both_Shift_Roster!S$2,Evening_Shift!$B$2:$BJ$2,0),0),""),IFERROR(VLOOKUP($B44,Morning_Shift!$B$4:$BJ$61,MATCH(Both_Shift_Roster!S$2,Morning_Shift!$B$2:$BJ$2,0),0),""))</f>
        <v>7:00-14:30</v>
      </c>
      <c r="T44" s="2" t="str">
        <f>IF(IFERROR(VLOOKUP($B44,Morning_Shift!$B$4:$BJ$61,MATCH(Both_Shift_Roster!T$2,Morning_Shift!$B$2:$BJ$2,0),0),"")="",IFERROR(VLOOKUP($B44,Evening_Shift!$B$4:$BJ$62,MATCH(Both_Shift_Roster!T$2,Evening_Shift!$B$2:$BJ$2,0),0),""),IFERROR(VLOOKUP($B44,Morning_Shift!$B$4:$BJ$61,MATCH(Both_Shift_Roster!T$2,Morning_Shift!$B$2:$BJ$2,0),0),""))</f>
        <v>7:00-14:30</v>
      </c>
      <c r="U44" s="2" t="str">
        <f>IF(IFERROR(VLOOKUP($B44,Morning_Shift!$B$4:$BJ$61,MATCH(Both_Shift_Roster!U$2,Morning_Shift!$B$2:$BJ$2,0),0),"")="",IFERROR(VLOOKUP($B44,Evening_Shift!$B$4:$BJ$62,MATCH(Both_Shift_Roster!U$2,Evening_Shift!$B$2:$BJ$2,0),0),""),IFERROR(VLOOKUP($B44,Morning_Shift!$B$4:$BJ$61,MATCH(Both_Shift_Roster!U$2,Morning_Shift!$B$2:$BJ$2,0),0),""))</f>
        <v>7:00-14:30</v>
      </c>
      <c r="V44" s="2" t="str">
        <f>IF(IFERROR(VLOOKUP($B44,Morning_Shift!$B$4:$BJ$61,MATCH(Both_Shift_Roster!V$2,Morning_Shift!$B$2:$BJ$2,0),0),"")="",IFERROR(VLOOKUP($B44,Evening_Shift!$B$4:$BJ$62,MATCH(Both_Shift_Roster!V$2,Evening_Shift!$B$2:$BJ$2,0),0),""),IFERROR(VLOOKUP($B44,Morning_Shift!$B$4:$BJ$61,MATCH(Both_Shift_Roster!V$2,Morning_Shift!$B$2:$BJ$2,0),0),""))</f>
        <v>7:00-14:30</v>
      </c>
      <c r="W44" s="2" t="str">
        <f>IF(IFERROR(VLOOKUP($B44,Morning_Shift!$B$4:$BJ$61,MATCH(Both_Shift_Roster!W$2,Morning_Shift!$B$2:$BJ$2,0),0),"")="",IFERROR(VLOOKUP($B44,Evening_Shift!$B$4:$BJ$62,MATCH(Both_Shift_Roster!W$2,Evening_Shift!$B$2:$BJ$2,0),0),""),IFERROR(VLOOKUP($B44,Morning_Shift!$B$4:$BJ$61,MATCH(Both_Shift_Roster!W$2,Morning_Shift!$B$2:$BJ$2,0),0),""))</f>
        <v>7:00-14:30</v>
      </c>
      <c r="X44" s="2" t="str">
        <f>IF(IFERROR(VLOOKUP($B44,Morning_Shift!$B$4:$BJ$61,MATCH(Both_Shift_Roster!X$2,Morning_Shift!$B$2:$BJ$2,0),0),"")="",IFERROR(VLOOKUP($B44,Evening_Shift!$B$4:$BJ$62,MATCH(Both_Shift_Roster!X$2,Evening_Shift!$B$2:$BJ$2,0),0),""),IFERROR(VLOOKUP($B44,Morning_Shift!$B$4:$BJ$61,MATCH(Both_Shift_Roster!X$2,Morning_Shift!$B$2:$BJ$2,0),0),""))</f>
        <v>7:00-14:30</v>
      </c>
      <c r="Y44" s="2" t="str">
        <f>IF(IFERROR(VLOOKUP($B44,Morning_Shift!$B$4:$BJ$61,MATCH(Both_Shift_Roster!Y$2,Morning_Shift!$B$2:$BJ$2,0),0),"")="",IFERROR(VLOOKUP($B44,Evening_Shift!$B$4:$BJ$62,MATCH(Both_Shift_Roster!Y$2,Evening_Shift!$B$2:$BJ$2,0),0),""),IFERROR(VLOOKUP($B44,Morning_Shift!$B$4:$BJ$61,MATCH(Both_Shift_Roster!Y$2,Morning_Shift!$B$2:$BJ$2,0),0),""))</f>
        <v>7:00-14:30</v>
      </c>
      <c r="Z44" s="2">
        <f t="shared" si="20"/>
        <v>0</v>
      </c>
      <c r="AA44" s="2">
        <f t="shared" si="21"/>
        <v>0</v>
      </c>
      <c r="AB44" s="2">
        <f t="shared" si="22"/>
        <v>0</v>
      </c>
      <c r="AC44" s="2">
        <f t="shared" si="23"/>
        <v>0</v>
      </c>
      <c r="AD44" s="2">
        <f t="shared" si="24"/>
        <v>0</v>
      </c>
      <c r="AE44" s="2" t="str">
        <f>IF(IFERROR(VLOOKUP($B44,Morning_Shift!$B$4:$BJ$61,MATCH(Both_Shift_Roster!AE$2,Morning_Shift!$B$2:$BJ$2,0),0),"")="",IFERROR(VLOOKUP($B44,Evening_Shift!$B$4:$BJ$62,MATCH(Both_Shift_Roster!AE$2,Evening_Shift!$B$2:$BJ$2,0),0),""),IFERROR(VLOOKUP($B44,Morning_Shift!$B$4:$BJ$61,MATCH(Both_Shift_Roster!AE$2,Morning_Shift!$B$2:$BJ$2,0),0),""))</f>
        <v>7:00-14:30</v>
      </c>
      <c r="AF44" s="2" t="str">
        <f>IF(IFERROR(VLOOKUP($B44,Morning_Shift!$B$4:$BJ$61,MATCH(Both_Shift_Roster!AF$2,Morning_Shift!$B$2:$BJ$2,0),0),"")="",IFERROR(VLOOKUP($B44,Evening_Shift!$B$4:$BJ$62,MATCH(Both_Shift_Roster!AF$2,Evening_Shift!$B$2:$BJ$2,0),0),""),IFERROR(VLOOKUP($B44,Morning_Shift!$B$4:$BJ$61,MATCH(Both_Shift_Roster!AF$2,Morning_Shift!$B$2:$BJ$2,0),0),""))</f>
        <v>7:00-14:30</v>
      </c>
      <c r="AG44" s="2" t="str">
        <f>IF(IFERROR(VLOOKUP($B44,Morning_Shift!$B$4:$BJ$61,MATCH(Both_Shift_Roster!AG$2,Morning_Shift!$B$2:$BJ$2,0),0),"")="",IFERROR(VLOOKUP($B44,Evening_Shift!$B$4:$BJ$62,MATCH(Both_Shift_Roster!AG$2,Evening_Shift!$B$2:$BJ$2,0),0),""),IFERROR(VLOOKUP($B44,Morning_Shift!$B$4:$BJ$61,MATCH(Both_Shift_Roster!AG$2,Morning_Shift!$B$2:$BJ$2,0),0),""))</f>
        <v>7:00-14:30</v>
      </c>
      <c r="AH44" s="2" t="str">
        <f>IF(IFERROR(VLOOKUP($B44,Morning_Shift!$B$4:$BJ$61,MATCH(Both_Shift_Roster!AH$2,Morning_Shift!$B$2:$BJ$2,0),0),"")="",IFERROR(VLOOKUP($B44,Evening_Shift!$B$4:$BJ$62,MATCH(Both_Shift_Roster!AH$2,Evening_Shift!$B$2:$BJ$2,0),0),""),IFERROR(VLOOKUP($B44,Morning_Shift!$B$4:$BJ$61,MATCH(Both_Shift_Roster!AH$2,Morning_Shift!$B$2:$BJ$2,0),0),""))</f>
        <v>Agent Choice WO</v>
      </c>
      <c r="AI44" s="2" t="str">
        <f>IF(IFERROR(VLOOKUP($B44,Morning_Shift!$B$4:$BJ$61,MATCH(Both_Shift_Roster!AI$2,Morning_Shift!$B$2:$BJ$2,0),0),"")="",IFERROR(VLOOKUP($B44,Evening_Shift!$B$4:$BJ$62,MATCH(Both_Shift_Roster!AI$2,Evening_Shift!$B$2:$BJ$2,0),0),""),IFERROR(VLOOKUP($B44,Morning_Shift!$B$4:$BJ$61,MATCH(Both_Shift_Roster!AI$2,Morning_Shift!$B$2:$BJ$2,0),0),""))</f>
        <v>7:00-14:30</v>
      </c>
      <c r="AJ44" s="2" t="str">
        <f>IF(IFERROR(VLOOKUP($B44,Morning_Shift!$B$4:$BJ$61,MATCH(Both_Shift_Roster!AJ$2,Morning_Shift!$B$2:$BJ$2,0),0),"")="",IFERROR(VLOOKUP($B44,Evening_Shift!$B$4:$BJ$62,MATCH(Both_Shift_Roster!AJ$2,Evening_Shift!$B$2:$BJ$2,0),0),""),IFERROR(VLOOKUP($B44,Morning_Shift!$B$4:$BJ$61,MATCH(Both_Shift_Roster!AJ$2,Morning_Shift!$B$2:$BJ$2,0),0),""))</f>
        <v>7:00-14:30</v>
      </c>
      <c r="AK44" s="2" t="str">
        <f>IF(IFERROR(VLOOKUP($B44,Morning_Shift!$B$4:$BJ$61,MATCH(Both_Shift_Roster!AK$2,Morning_Shift!$B$2:$BJ$2,0),0),"")="",IFERROR(VLOOKUP($B44,Evening_Shift!$B$4:$BJ$62,MATCH(Both_Shift_Roster!AK$2,Evening_Shift!$B$2:$BJ$2,0),0),""),IFERROR(VLOOKUP($B44,Morning_Shift!$B$4:$BJ$61,MATCH(Both_Shift_Roster!AK$2,Morning_Shift!$B$2:$BJ$2,0),0),""))</f>
        <v>7:00-14:30</v>
      </c>
      <c r="AL44" s="2">
        <f t="shared" si="25"/>
        <v>1</v>
      </c>
      <c r="AM44" s="2">
        <f t="shared" si="26"/>
        <v>0</v>
      </c>
      <c r="AN44" s="2">
        <f t="shared" si="27"/>
        <v>0</v>
      </c>
      <c r="AO44" s="2">
        <f t="shared" si="28"/>
        <v>0</v>
      </c>
      <c r="AP44" s="2">
        <f t="shared" si="29"/>
        <v>0</v>
      </c>
      <c r="AQ44" s="2" t="str">
        <f>IF(IFERROR(VLOOKUP($B44,Morning_Shift!$B$4:$BJ$61,MATCH(Both_Shift_Roster!AQ$2,Morning_Shift!$B$2:$BJ$2,0),0),"")="",IFERROR(VLOOKUP($B44,Evening_Shift!$B$4:$BJ$62,MATCH(Both_Shift_Roster!AQ$2,Evening_Shift!$B$2:$BJ$2,0),0),""),IFERROR(VLOOKUP($B44,Morning_Shift!$B$4:$BJ$61,MATCH(Both_Shift_Roster!AQ$2,Morning_Shift!$B$2:$BJ$2,0),0),""))</f>
        <v>7:00-14:30</v>
      </c>
      <c r="AR44" s="2" t="str">
        <f>IF(IFERROR(VLOOKUP($B44,Morning_Shift!$B$4:$BJ$61,MATCH(Both_Shift_Roster!AR$2,Morning_Shift!$B$2:$BJ$2,0),0),"")="",IFERROR(VLOOKUP($B44,Evening_Shift!$B$4:$BJ$62,MATCH(Both_Shift_Roster!AR$2,Evening_Shift!$B$2:$BJ$2,0),0),""),IFERROR(VLOOKUP($B44,Morning_Shift!$B$4:$BJ$61,MATCH(Both_Shift_Roster!AR$2,Morning_Shift!$B$2:$BJ$2,0),0),""))</f>
        <v>7:00-14:30</v>
      </c>
      <c r="AS44" s="2" t="str">
        <f>IF(IFERROR(VLOOKUP($B44,Morning_Shift!$B$4:$BJ$61,MATCH(Both_Shift_Roster!AS$2,Morning_Shift!$B$2:$BJ$2,0),0),"")="",IFERROR(VLOOKUP($B44,Evening_Shift!$B$4:$BJ$62,MATCH(Both_Shift_Roster!AS$2,Evening_Shift!$B$2:$BJ$2,0),0),""),IFERROR(VLOOKUP($B44,Morning_Shift!$B$4:$BJ$61,MATCH(Both_Shift_Roster!AS$2,Morning_Shift!$B$2:$BJ$2,0),0),""))</f>
        <v>7:00-14:30</v>
      </c>
      <c r="AT44" s="2" t="str">
        <f>IF(IFERROR(VLOOKUP($B44,Morning_Shift!$B$4:$BJ$61,MATCH(Both_Shift_Roster!AT$2,Morning_Shift!$B$2:$BJ$2,0),0),"")="",IFERROR(VLOOKUP($B44,Evening_Shift!$B$4:$BJ$62,MATCH(Both_Shift_Roster!AT$2,Evening_Shift!$B$2:$BJ$2,0),0),""),IFERROR(VLOOKUP($B44,Morning_Shift!$B$4:$BJ$61,MATCH(Both_Shift_Roster!AT$2,Morning_Shift!$B$2:$BJ$2,0),0),""))</f>
        <v>7:00-14:30</v>
      </c>
      <c r="AU44" s="2" t="str">
        <f>IF(IFERROR(VLOOKUP($B44,Morning_Shift!$B$4:$BJ$61,MATCH(Both_Shift_Roster!AU$2,Morning_Shift!$B$2:$BJ$2,0),0),"")="",IFERROR(VLOOKUP($B44,Evening_Shift!$B$4:$BJ$62,MATCH(Both_Shift_Roster!AU$2,Evening_Shift!$B$2:$BJ$2,0),0),""),IFERROR(VLOOKUP($B44,Morning_Shift!$B$4:$BJ$61,MATCH(Both_Shift_Roster!AU$2,Morning_Shift!$B$2:$BJ$2,0),0),""))</f>
        <v>7:00-14:30</v>
      </c>
      <c r="AV44" s="2" t="str">
        <f>IF(IFERROR(VLOOKUP($B44,Morning_Shift!$B$4:$BJ$61,MATCH(Both_Shift_Roster!AV$2,Morning_Shift!$B$2:$BJ$2,0),0),"")="",IFERROR(VLOOKUP($B44,Evening_Shift!$B$4:$BJ$62,MATCH(Both_Shift_Roster!AV$2,Evening_Shift!$B$2:$BJ$2,0),0),""),IFERROR(VLOOKUP($B44,Morning_Shift!$B$4:$BJ$61,MATCH(Both_Shift_Roster!AV$2,Morning_Shift!$B$2:$BJ$2,0),0),""))</f>
        <v>7:00-14:30</v>
      </c>
      <c r="AW44" s="2" t="str">
        <f>IF(IFERROR(VLOOKUP($B44,Morning_Shift!$B$4:$BJ$61,MATCH(Both_Shift_Roster!AW$2,Morning_Shift!$B$2:$BJ$2,0),0),"")="",IFERROR(VLOOKUP($B44,Evening_Shift!$B$4:$BJ$62,MATCH(Both_Shift_Roster!AW$2,Evening_Shift!$B$2:$BJ$2,0),0),""),IFERROR(VLOOKUP($B44,Morning_Shift!$B$4:$BJ$61,MATCH(Both_Shift_Roster!AW$2,Morning_Shift!$B$2:$BJ$2,0),0),""))</f>
        <v>7:00-14:30</v>
      </c>
      <c r="AX44" s="2">
        <f t="shared" si="30"/>
        <v>0</v>
      </c>
      <c r="AY44" s="2">
        <f t="shared" si="31"/>
        <v>0</v>
      </c>
      <c r="AZ44" s="2">
        <f t="shared" si="32"/>
        <v>0</v>
      </c>
      <c r="BA44" s="2">
        <f t="shared" si="33"/>
        <v>0</v>
      </c>
      <c r="BB44" s="2">
        <f t="shared" si="34"/>
        <v>0</v>
      </c>
      <c r="BC44" s="2" t="str">
        <f>IF(IFERROR(VLOOKUP($B44,Morning_Shift!$B$4:$BJ$61,MATCH(Both_Shift_Roster!BC$2,Morning_Shift!$B$2:$BJ$2,0),0),"")="",IFERROR(VLOOKUP($B44,Evening_Shift!$B$4:$BJ$62,MATCH(Both_Shift_Roster!BC$2,Evening_Shift!$B$2:$BJ$2,0),0),""),IFERROR(VLOOKUP($B44,Morning_Shift!$B$4:$BJ$61,MATCH(Both_Shift_Roster!BC$2,Morning_Shift!$B$2:$BJ$2,0),0),""))</f>
        <v>7:00-14:30</v>
      </c>
      <c r="BD44" s="2" t="str">
        <f>IF(IFERROR(VLOOKUP($B44,Morning_Shift!$B$4:$BJ$61,MATCH(Both_Shift_Roster!BD$2,Morning_Shift!$B$2:$BJ$2,0),0),"")="",IFERROR(VLOOKUP($B44,Evening_Shift!$B$4:$BJ$62,MATCH(Both_Shift_Roster!BD$2,Evening_Shift!$B$2:$BJ$2,0),0),""),IFERROR(VLOOKUP($B44,Morning_Shift!$B$4:$BJ$61,MATCH(Both_Shift_Roster!BD$2,Morning_Shift!$B$2:$BJ$2,0),0),""))</f>
        <v>7:00-14:30</v>
      </c>
      <c r="BE44" s="2" t="str">
        <f>IF(IFERROR(VLOOKUP($B44,Morning_Shift!$B$4:$BJ$61,MATCH(Both_Shift_Roster!BE$2,Morning_Shift!$B$2:$BJ$2,0),0),"")="",IFERROR(VLOOKUP($B44,Evening_Shift!$B$4:$BJ$59,MATCH(Both_Shift_Roster!BE$2,Evening_Shift!$B$2:$BJ$2,0),0),""),IFERROR(VLOOKUP($B44,Morning_Shift!$B$4:$BJ$61,MATCH(Both_Shift_Roster!BE$2,Morning_Shift!$B$2:$BJ$2,0),0),""))</f>
        <v>7:00-14:30</v>
      </c>
      <c r="BF44" s="2">
        <f t="shared" si="35"/>
        <v>0</v>
      </c>
      <c r="BG44" s="2">
        <f t="shared" si="36"/>
        <v>0</v>
      </c>
      <c r="BH44" s="2">
        <f t="shared" si="37"/>
        <v>0</v>
      </c>
      <c r="BI44" s="2">
        <f t="shared" si="38"/>
        <v>0</v>
      </c>
      <c r="BJ44" s="2">
        <f t="shared" si="39"/>
        <v>0</v>
      </c>
    </row>
    <row r="45" spans="1:62">
      <c r="A45" s="17">
        <f t="shared" si="40"/>
        <v>42</v>
      </c>
      <c r="B45" s="16" t="str">
        <f>Morning_Shift!$B45</f>
        <v>Dritm15</v>
      </c>
      <c r="C45" s="21" t="str">
        <f>IF(IFERROR(VLOOKUP(B45,Morning_Shift!B:C,2,0),"")="",IFERROR(VLOOKUP(B45,Evening_Shift!B:C,2,0),""),IFERROR(VLOOKUP(B45,Morning_Shift!B:C,2,0),""))</f>
        <v>Ravinder</v>
      </c>
      <c r="D45" s="15" t="str">
        <f>IF(IFERROR(VLOOKUP(B45,Morning_Shift!B:D,3,0),"")="",IFERROR(VLOOKUP(B45,Evening_Shift!B:D,3,0),""),IFERROR(VLOOKUP(B45,Morning_Shift!B:D,3,0),""))</f>
        <v>Naina</v>
      </c>
      <c r="E45" s="4" t="str">
        <f>IF(IFERROR(VLOOKUP(B45,Morning_Shift!B:E,4,0),"")="",IFERROR(VLOOKUP(B45,Evening_Shift!B:E,4,0),""),IFERROR(VLOOKUP(B45,Morning_Shift!B:E,4,0),""))</f>
        <v>M</v>
      </c>
      <c r="F45" s="5" t="str">
        <f>IF(IFERROR(VLOOKUP(B45,Morning_Shift!B:F,5,0),"")="",IFERROR(VLOOKUP(B45,Evening_Shift!B:F,5,0),""),IFERROR(VLOOKUP(B45,Morning_Shift!B:F,5,0),""))</f>
        <v>Disaster</v>
      </c>
      <c r="G45" s="2" t="str">
        <f>IF(IFERROR(VLOOKUP($B45,Morning_Shift!$B$4:$BJ$61,MATCH(Both_Shift_Roster!G$2,Morning_Shift!$B$2:$BJ$2,0),0),"")="",IFERROR(VLOOKUP($B45,Evening_Shift!$B$4:$BJ$62,MATCH(Both_Shift_Roster!G$2,Evening_Shift!$B$2:$BJ$2,0),0),""),IFERROR(VLOOKUP($B45,Morning_Shift!$B$4:$BJ$61,MATCH(Both_Shift_Roster!G$2,Morning_Shift!$B$2:$BJ$2,0),0),""))</f>
        <v>22:00-7:00</v>
      </c>
      <c r="H45" s="2" t="str">
        <f>IF(IFERROR(VLOOKUP($B45,Morning_Shift!$B$4:$BJ$61,MATCH(Both_Shift_Roster!H$2,Morning_Shift!$B$2:$BJ$2,0),0),"")="",IFERROR(VLOOKUP($B45,Evening_Shift!$B$4:$BJ$62,MATCH(Both_Shift_Roster!H$2,Evening_Shift!$B$2:$BJ$2,0),0),""),IFERROR(VLOOKUP($B45,Morning_Shift!$B$4:$BJ$61,MATCH(Both_Shift_Roster!H$2,Morning_Shift!$B$2:$BJ$2,0),0),""))</f>
        <v>22:00-7:00</v>
      </c>
      <c r="I45" s="2" t="str">
        <f>IF(IFERROR(VLOOKUP($B45,Morning_Shift!$B$4:$BJ$61,MATCH(Both_Shift_Roster!I$2,Morning_Shift!$B$2:$BJ$2,0),0),"")="",IFERROR(VLOOKUP($B45,Evening_Shift!$B$4:$BJ$62,MATCH(Both_Shift_Roster!I$2,Evening_Shift!$B$2:$BJ$2,0),0),""),IFERROR(VLOOKUP($B45,Morning_Shift!$B$4:$BJ$61,MATCH(Both_Shift_Roster!I$2,Morning_Shift!$B$2:$BJ$2,0),0),""))</f>
        <v>22:00-7:00</v>
      </c>
      <c r="J45" s="2" t="str">
        <f>IF(IFERROR(VLOOKUP($B45,Morning_Shift!$B$4:$BJ$61,MATCH(Both_Shift_Roster!J$2,Morning_Shift!$B$2:$BJ$2,0),0),"")="",IFERROR(VLOOKUP($B45,Evening_Shift!$B$4:$BJ$62,MATCH(Both_Shift_Roster!J$2,Evening_Shift!$B$2:$BJ$2,0),0),""),IFERROR(VLOOKUP($B45,Morning_Shift!$B$4:$BJ$61,MATCH(Both_Shift_Roster!J$2,Morning_Shift!$B$2:$BJ$2,0),0),""))</f>
        <v>22:00-7:00</v>
      </c>
      <c r="K45" s="2" t="str">
        <f>IF(IFERROR(VLOOKUP($B45,Morning_Shift!$B$4:$BJ$61,MATCH(Both_Shift_Roster!K$2,Morning_Shift!$B$2:$BJ$2,0),0),"")="",IFERROR(VLOOKUP($B45,Evening_Shift!$B$4:$BJ$62,MATCH(Both_Shift_Roster!K$2,Evening_Shift!$B$2:$BJ$2,0),0),""),IFERROR(VLOOKUP($B45,Morning_Shift!$B$4:$BJ$61,MATCH(Both_Shift_Roster!K$2,Morning_Shift!$B$2:$BJ$2,0),0),""))</f>
        <v>22:00-7:00</v>
      </c>
      <c r="L45" s="2" t="str">
        <f>IF(IFERROR(VLOOKUP($B45,Morning_Shift!$B$4:$BJ$61,MATCH(Both_Shift_Roster!L$2,Morning_Shift!$B$2:$BJ$2,0),0),"")="",IFERROR(VLOOKUP($B45,Evening_Shift!$B$4:$BJ$62,MATCH(Both_Shift_Roster!L$2,Evening_Shift!$B$2:$BJ$2,0),0),""),IFERROR(VLOOKUP($B45,Morning_Shift!$B$4:$BJ$61,MATCH(Both_Shift_Roster!L$2,Morning_Shift!$B$2:$BJ$2,0),0),""))</f>
        <v>22:00-7:00</v>
      </c>
      <c r="M45" s="2" t="str">
        <f>IF(IFERROR(VLOOKUP($B45,Morning_Shift!$B$4:$BJ$61,MATCH(Both_Shift_Roster!M$2,Morning_Shift!$B$2:$BJ$2,0),0),"")="",IFERROR(VLOOKUP($B45,Evening_Shift!$B$4:$BJ$62,MATCH(Both_Shift_Roster!M$2,Evening_Shift!$B$2:$BJ$2,0),0),""),IFERROR(VLOOKUP($B45,Morning_Shift!$B$4:$BJ$61,MATCH(Both_Shift_Roster!M$2,Morning_Shift!$B$2:$BJ$2,0),0),""))</f>
        <v>22:00-7:00</v>
      </c>
      <c r="N45" s="2">
        <f t="shared" si="15"/>
        <v>0</v>
      </c>
      <c r="O45" s="2">
        <f t="shared" si="16"/>
        <v>0</v>
      </c>
      <c r="P45" s="2">
        <f t="shared" si="17"/>
        <v>0</v>
      </c>
      <c r="Q45" s="2">
        <f t="shared" si="18"/>
        <v>0</v>
      </c>
      <c r="R45" s="2">
        <f t="shared" si="19"/>
        <v>0</v>
      </c>
      <c r="S45" s="2" t="str">
        <f>IF(IFERROR(VLOOKUP($B45,Morning_Shift!$B$4:$BJ$61,MATCH(Both_Shift_Roster!S$2,Morning_Shift!$B$2:$BJ$2,0),0),"")="",IFERROR(VLOOKUP($B45,Evening_Shift!$B$4:$BJ$62,MATCH(Both_Shift_Roster!S$2,Evening_Shift!$B$2:$BJ$2,0),0),""),IFERROR(VLOOKUP($B45,Morning_Shift!$B$4:$BJ$61,MATCH(Both_Shift_Roster!S$2,Morning_Shift!$B$2:$BJ$2,0),0),""))</f>
        <v>22:00-7:00</v>
      </c>
      <c r="T45" s="2" t="str">
        <f>IF(IFERROR(VLOOKUP($B45,Morning_Shift!$B$4:$BJ$61,MATCH(Both_Shift_Roster!T$2,Morning_Shift!$B$2:$BJ$2,0),0),"")="",IFERROR(VLOOKUP($B45,Evening_Shift!$B$4:$BJ$62,MATCH(Both_Shift_Roster!T$2,Evening_Shift!$B$2:$BJ$2,0),0),""),IFERROR(VLOOKUP($B45,Morning_Shift!$B$4:$BJ$61,MATCH(Both_Shift_Roster!T$2,Morning_Shift!$B$2:$BJ$2,0),0),""))</f>
        <v>22:00-7:00</v>
      </c>
      <c r="U45" s="2" t="str">
        <f>IF(IFERROR(VLOOKUP($B45,Morning_Shift!$B$4:$BJ$61,MATCH(Both_Shift_Roster!U$2,Morning_Shift!$B$2:$BJ$2,0),0),"")="",IFERROR(VLOOKUP($B45,Evening_Shift!$B$4:$BJ$62,MATCH(Both_Shift_Roster!U$2,Evening_Shift!$B$2:$BJ$2,0),0),""),IFERROR(VLOOKUP($B45,Morning_Shift!$B$4:$BJ$61,MATCH(Both_Shift_Roster!U$2,Morning_Shift!$B$2:$BJ$2,0),0),""))</f>
        <v>Agent Choice WO</v>
      </c>
      <c r="V45" s="2" t="str">
        <f>IF(IFERROR(VLOOKUP($B45,Morning_Shift!$B$4:$BJ$61,MATCH(Both_Shift_Roster!V$2,Morning_Shift!$B$2:$BJ$2,0),0),"")="",IFERROR(VLOOKUP($B45,Evening_Shift!$B$4:$BJ$62,MATCH(Both_Shift_Roster!V$2,Evening_Shift!$B$2:$BJ$2,0),0),""),IFERROR(VLOOKUP($B45,Morning_Shift!$B$4:$BJ$61,MATCH(Both_Shift_Roster!V$2,Morning_Shift!$B$2:$BJ$2,0),0),""))</f>
        <v>Agent Choice WO</v>
      </c>
      <c r="W45" s="2" t="str">
        <f>IF(IFERROR(VLOOKUP($B45,Morning_Shift!$B$4:$BJ$61,MATCH(Both_Shift_Roster!W$2,Morning_Shift!$B$2:$BJ$2,0),0),"")="",IFERROR(VLOOKUP($B45,Evening_Shift!$B$4:$BJ$62,MATCH(Both_Shift_Roster!W$2,Evening_Shift!$B$2:$BJ$2,0),0),""),IFERROR(VLOOKUP($B45,Morning_Shift!$B$4:$BJ$61,MATCH(Both_Shift_Roster!W$2,Morning_Shift!$B$2:$BJ$2,0),0),""))</f>
        <v>Agent Choice WO</v>
      </c>
      <c r="X45" s="2" t="str">
        <f>IF(IFERROR(VLOOKUP($B45,Morning_Shift!$B$4:$BJ$61,MATCH(Both_Shift_Roster!X$2,Morning_Shift!$B$2:$BJ$2,0),0),"")="",IFERROR(VLOOKUP($B45,Evening_Shift!$B$4:$BJ$62,MATCH(Both_Shift_Roster!X$2,Evening_Shift!$B$2:$BJ$2,0),0),""),IFERROR(VLOOKUP($B45,Morning_Shift!$B$4:$BJ$61,MATCH(Both_Shift_Roster!X$2,Morning_Shift!$B$2:$BJ$2,0),0),""))</f>
        <v>Agent Choice WO</v>
      </c>
      <c r="Y45" s="2" t="str">
        <f>IF(IFERROR(VLOOKUP($B45,Morning_Shift!$B$4:$BJ$61,MATCH(Both_Shift_Roster!Y$2,Morning_Shift!$B$2:$BJ$2,0),0),"")="",IFERROR(VLOOKUP($B45,Evening_Shift!$B$4:$BJ$62,MATCH(Both_Shift_Roster!Y$2,Evening_Shift!$B$2:$BJ$2,0),0),""),IFERROR(VLOOKUP($B45,Morning_Shift!$B$4:$BJ$61,MATCH(Both_Shift_Roster!Y$2,Morning_Shift!$B$2:$BJ$2,0),0),""))</f>
        <v>22:00-7:00</v>
      </c>
      <c r="Z45" s="2">
        <f t="shared" si="20"/>
        <v>4</v>
      </c>
      <c r="AA45" s="2">
        <f t="shared" si="21"/>
        <v>0</v>
      </c>
      <c r="AB45" s="2">
        <f t="shared" si="22"/>
        <v>0</v>
      </c>
      <c r="AC45" s="2">
        <f t="shared" si="23"/>
        <v>0</v>
      </c>
      <c r="AD45" s="2">
        <f t="shared" si="24"/>
        <v>0</v>
      </c>
      <c r="AE45" s="2" t="str">
        <f>IF(IFERROR(VLOOKUP($B45,Morning_Shift!$B$4:$BJ$61,MATCH(Both_Shift_Roster!AE$2,Morning_Shift!$B$2:$BJ$2,0),0),"")="",IFERROR(VLOOKUP($B45,Evening_Shift!$B$4:$BJ$62,MATCH(Both_Shift_Roster!AE$2,Evening_Shift!$B$2:$BJ$2,0),0),""),IFERROR(VLOOKUP($B45,Morning_Shift!$B$4:$BJ$61,MATCH(Both_Shift_Roster!AE$2,Morning_Shift!$B$2:$BJ$2,0),0),""))</f>
        <v>22:00-7:00</v>
      </c>
      <c r="AF45" s="2" t="str">
        <f>IF(IFERROR(VLOOKUP($B45,Morning_Shift!$B$4:$BJ$61,MATCH(Both_Shift_Roster!AF$2,Morning_Shift!$B$2:$BJ$2,0),0),"")="",IFERROR(VLOOKUP($B45,Evening_Shift!$B$4:$BJ$62,MATCH(Both_Shift_Roster!AF$2,Evening_Shift!$B$2:$BJ$2,0),0),""),IFERROR(VLOOKUP($B45,Morning_Shift!$B$4:$BJ$61,MATCH(Both_Shift_Roster!AF$2,Morning_Shift!$B$2:$BJ$2,0),0),""))</f>
        <v>22:00-7:00</v>
      </c>
      <c r="AG45" s="2" t="str">
        <f>IF(IFERROR(VLOOKUP($B45,Morning_Shift!$B$4:$BJ$61,MATCH(Both_Shift_Roster!AG$2,Morning_Shift!$B$2:$BJ$2,0),0),"")="",IFERROR(VLOOKUP($B45,Evening_Shift!$B$4:$BJ$62,MATCH(Both_Shift_Roster!AG$2,Evening_Shift!$B$2:$BJ$2,0),0),""),IFERROR(VLOOKUP($B45,Morning_Shift!$B$4:$BJ$61,MATCH(Both_Shift_Roster!AG$2,Morning_Shift!$B$2:$BJ$2,0),0),""))</f>
        <v>22:00-7:00</v>
      </c>
      <c r="AH45" s="2" t="str">
        <f>IF(IFERROR(VLOOKUP($B45,Morning_Shift!$B$4:$BJ$61,MATCH(Both_Shift_Roster!AH$2,Morning_Shift!$B$2:$BJ$2,0),0),"")="",IFERROR(VLOOKUP($B45,Evening_Shift!$B$4:$BJ$62,MATCH(Both_Shift_Roster!AH$2,Evening_Shift!$B$2:$BJ$2,0),0),""),IFERROR(VLOOKUP($B45,Morning_Shift!$B$4:$BJ$61,MATCH(Both_Shift_Roster!AH$2,Morning_Shift!$B$2:$BJ$2,0),0),""))</f>
        <v>22:00-7:00</v>
      </c>
      <c r="AI45" s="2" t="str">
        <f>IF(IFERROR(VLOOKUP($B45,Morning_Shift!$B$4:$BJ$61,MATCH(Both_Shift_Roster!AI$2,Morning_Shift!$B$2:$BJ$2,0),0),"")="",IFERROR(VLOOKUP($B45,Evening_Shift!$B$4:$BJ$62,MATCH(Both_Shift_Roster!AI$2,Evening_Shift!$B$2:$BJ$2,0),0),""),IFERROR(VLOOKUP($B45,Morning_Shift!$B$4:$BJ$61,MATCH(Both_Shift_Roster!AI$2,Morning_Shift!$B$2:$BJ$2,0),0),""))</f>
        <v>22:00-7:00</v>
      </c>
      <c r="AJ45" s="2" t="str">
        <f>IF(IFERROR(VLOOKUP($B45,Morning_Shift!$B$4:$BJ$61,MATCH(Both_Shift_Roster!AJ$2,Morning_Shift!$B$2:$BJ$2,0),0),"")="",IFERROR(VLOOKUP($B45,Evening_Shift!$B$4:$BJ$62,MATCH(Both_Shift_Roster!AJ$2,Evening_Shift!$B$2:$BJ$2,0),0),""),IFERROR(VLOOKUP($B45,Morning_Shift!$B$4:$BJ$61,MATCH(Both_Shift_Roster!AJ$2,Morning_Shift!$B$2:$BJ$2,0),0),""))</f>
        <v>22:00-7:00</v>
      </c>
      <c r="AK45" s="2" t="str">
        <f>IF(IFERROR(VLOOKUP($B45,Morning_Shift!$B$4:$BJ$61,MATCH(Both_Shift_Roster!AK$2,Morning_Shift!$B$2:$BJ$2,0),0),"")="",IFERROR(VLOOKUP($B45,Evening_Shift!$B$4:$BJ$62,MATCH(Both_Shift_Roster!AK$2,Evening_Shift!$B$2:$BJ$2,0),0),""),IFERROR(VLOOKUP($B45,Morning_Shift!$B$4:$BJ$61,MATCH(Both_Shift_Roster!AK$2,Morning_Shift!$B$2:$BJ$2,0),0),""))</f>
        <v>22:00-7:00</v>
      </c>
      <c r="AL45" s="2">
        <f t="shared" si="25"/>
        <v>0</v>
      </c>
      <c r="AM45" s="2">
        <f t="shared" si="26"/>
        <v>0</v>
      </c>
      <c r="AN45" s="2">
        <f t="shared" si="27"/>
        <v>0</v>
      </c>
      <c r="AO45" s="2">
        <f t="shared" si="28"/>
        <v>0</v>
      </c>
      <c r="AP45" s="2">
        <f t="shared" si="29"/>
        <v>0</v>
      </c>
      <c r="AQ45" s="2" t="str">
        <f>IF(IFERROR(VLOOKUP($B45,Morning_Shift!$B$4:$BJ$61,MATCH(Both_Shift_Roster!AQ$2,Morning_Shift!$B$2:$BJ$2,0),0),"")="",IFERROR(VLOOKUP($B45,Evening_Shift!$B$4:$BJ$62,MATCH(Both_Shift_Roster!AQ$2,Evening_Shift!$B$2:$BJ$2,0),0),""),IFERROR(VLOOKUP($B45,Morning_Shift!$B$4:$BJ$61,MATCH(Both_Shift_Roster!AQ$2,Morning_Shift!$B$2:$BJ$2,0),0),""))</f>
        <v>22:00-7:00</v>
      </c>
      <c r="AR45" s="2" t="str">
        <f>IF(IFERROR(VLOOKUP($B45,Morning_Shift!$B$4:$BJ$61,MATCH(Both_Shift_Roster!AR$2,Morning_Shift!$B$2:$BJ$2,0),0),"")="",IFERROR(VLOOKUP($B45,Evening_Shift!$B$4:$BJ$62,MATCH(Both_Shift_Roster!AR$2,Evening_Shift!$B$2:$BJ$2,0),0),""),IFERROR(VLOOKUP($B45,Morning_Shift!$B$4:$BJ$61,MATCH(Both_Shift_Roster!AR$2,Morning_Shift!$B$2:$BJ$2,0),0),""))</f>
        <v>22:00-7:00</v>
      </c>
      <c r="AS45" s="2" t="str">
        <f>IF(IFERROR(VLOOKUP($B45,Morning_Shift!$B$4:$BJ$61,MATCH(Both_Shift_Roster!AS$2,Morning_Shift!$B$2:$BJ$2,0),0),"")="",IFERROR(VLOOKUP($B45,Evening_Shift!$B$4:$BJ$62,MATCH(Both_Shift_Roster!AS$2,Evening_Shift!$B$2:$BJ$2,0),0),""),IFERROR(VLOOKUP($B45,Morning_Shift!$B$4:$BJ$61,MATCH(Both_Shift_Roster!AS$2,Morning_Shift!$B$2:$BJ$2,0),0),""))</f>
        <v>22:00-7:00</v>
      </c>
      <c r="AT45" s="2" t="str">
        <f>IF(IFERROR(VLOOKUP($B45,Morning_Shift!$B$4:$BJ$61,MATCH(Both_Shift_Roster!AT$2,Morning_Shift!$B$2:$BJ$2,0),0),"")="",IFERROR(VLOOKUP($B45,Evening_Shift!$B$4:$BJ$62,MATCH(Both_Shift_Roster!AT$2,Evening_Shift!$B$2:$BJ$2,0),0),""),IFERROR(VLOOKUP($B45,Morning_Shift!$B$4:$BJ$61,MATCH(Both_Shift_Roster!AT$2,Morning_Shift!$B$2:$BJ$2,0),0),""))</f>
        <v>22:00-7:00</v>
      </c>
      <c r="AU45" s="2" t="str">
        <f>IF(IFERROR(VLOOKUP($B45,Morning_Shift!$B$4:$BJ$61,MATCH(Both_Shift_Roster!AU$2,Morning_Shift!$B$2:$BJ$2,0),0),"")="",IFERROR(VLOOKUP($B45,Evening_Shift!$B$4:$BJ$62,MATCH(Both_Shift_Roster!AU$2,Evening_Shift!$B$2:$BJ$2,0),0),""),IFERROR(VLOOKUP($B45,Morning_Shift!$B$4:$BJ$61,MATCH(Both_Shift_Roster!AU$2,Morning_Shift!$B$2:$BJ$2,0),0),""))</f>
        <v>CL</v>
      </c>
      <c r="AV45" s="2" t="str">
        <f>IF(IFERROR(VLOOKUP($B45,Morning_Shift!$B$4:$BJ$61,MATCH(Both_Shift_Roster!AV$2,Morning_Shift!$B$2:$BJ$2,0),0),"")="",IFERROR(VLOOKUP($B45,Evening_Shift!$B$4:$BJ$62,MATCH(Both_Shift_Roster!AV$2,Evening_Shift!$B$2:$BJ$2,0),0),""),IFERROR(VLOOKUP($B45,Morning_Shift!$B$4:$BJ$61,MATCH(Both_Shift_Roster!AV$2,Morning_Shift!$B$2:$BJ$2,0),0),""))</f>
        <v>CL</v>
      </c>
      <c r="AW45" s="2" t="str">
        <f>IF(IFERROR(VLOOKUP($B45,Morning_Shift!$B$4:$BJ$61,MATCH(Both_Shift_Roster!AW$2,Morning_Shift!$B$2:$BJ$2,0),0),"")="",IFERROR(VLOOKUP($B45,Evening_Shift!$B$4:$BJ$62,MATCH(Both_Shift_Roster!AW$2,Evening_Shift!$B$2:$BJ$2,0),0),""),IFERROR(VLOOKUP($B45,Morning_Shift!$B$4:$BJ$61,MATCH(Both_Shift_Roster!AW$2,Morning_Shift!$B$2:$BJ$2,0),0),""))</f>
        <v>22:00-7:00</v>
      </c>
      <c r="AX45" s="2">
        <f t="shared" si="30"/>
        <v>0</v>
      </c>
      <c r="AY45" s="2">
        <f t="shared" si="31"/>
        <v>0</v>
      </c>
      <c r="AZ45" s="2">
        <f t="shared" si="32"/>
        <v>2</v>
      </c>
      <c r="BA45" s="2">
        <f t="shared" si="33"/>
        <v>0</v>
      </c>
      <c r="BB45" s="2">
        <f t="shared" si="34"/>
        <v>0</v>
      </c>
      <c r="BC45" s="2" t="str">
        <f>IF(IFERROR(VLOOKUP($B45,Morning_Shift!$B$4:$BJ$61,MATCH(Both_Shift_Roster!BC$2,Morning_Shift!$B$2:$BJ$2,0),0),"")="",IFERROR(VLOOKUP($B45,Evening_Shift!$B$4:$BJ$62,MATCH(Both_Shift_Roster!BC$2,Evening_Shift!$B$2:$BJ$2,0),0),""),IFERROR(VLOOKUP($B45,Morning_Shift!$B$4:$BJ$61,MATCH(Both_Shift_Roster!BC$2,Morning_Shift!$B$2:$BJ$2,0),0),""))</f>
        <v>22:00-7:00</v>
      </c>
      <c r="BD45" s="2" t="str">
        <f>IF(IFERROR(VLOOKUP($B45,Morning_Shift!$B$4:$BJ$61,MATCH(Both_Shift_Roster!BD$2,Morning_Shift!$B$2:$BJ$2,0),0),"")="",IFERROR(VLOOKUP($B45,Evening_Shift!$B$4:$BJ$62,MATCH(Both_Shift_Roster!BD$2,Evening_Shift!$B$2:$BJ$2,0),0),""),IFERROR(VLOOKUP($B45,Morning_Shift!$B$4:$BJ$61,MATCH(Both_Shift_Roster!BD$2,Morning_Shift!$B$2:$BJ$2,0),0),""))</f>
        <v>22:00-7:00</v>
      </c>
      <c r="BE45" s="2" t="str">
        <f>IF(IFERROR(VLOOKUP($B45,Morning_Shift!$B$4:$BJ$61,MATCH(Both_Shift_Roster!BE$2,Morning_Shift!$B$2:$BJ$2,0),0),"")="",IFERROR(VLOOKUP($B45,Evening_Shift!$B$4:$BJ$59,MATCH(Both_Shift_Roster!BE$2,Evening_Shift!$B$2:$BJ$2,0),0),""),IFERROR(VLOOKUP($B45,Morning_Shift!$B$4:$BJ$61,MATCH(Both_Shift_Roster!BE$2,Morning_Shift!$B$2:$BJ$2,0),0),""))</f>
        <v>22:00-7:00</v>
      </c>
      <c r="BF45" s="2">
        <f t="shared" si="35"/>
        <v>0</v>
      </c>
      <c r="BG45" s="2">
        <f t="shared" si="36"/>
        <v>0</v>
      </c>
      <c r="BH45" s="2">
        <f t="shared" si="37"/>
        <v>0</v>
      </c>
      <c r="BI45" s="2">
        <f t="shared" si="38"/>
        <v>0</v>
      </c>
      <c r="BJ45" s="2">
        <f t="shared" si="39"/>
        <v>0</v>
      </c>
    </row>
    <row r="46" spans="1:62">
      <c r="A46" s="17">
        <f t="shared" si="40"/>
        <v>43</v>
      </c>
      <c r="B46" s="16" t="str">
        <f>Morning_Shift!$B46</f>
        <v>Dritm143</v>
      </c>
      <c r="C46" s="21" t="str">
        <f>IF(IFERROR(VLOOKUP(B46,Morning_Shift!B:C,2,0),"")="",IFERROR(VLOOKUP(B46,Evening_Shift!B:C,2,0),""),IFERROR(VLOOKUP(B46,Morning_Shift!B:C,2,0),""))</f>
        <v>Renu Daniel</v>
      </c>
      <c r="D46" s="15" t="str">
        <f>IF(IFERROR(VLOOKUP(B46,Morning_Shift!B:D,3,0),"")="",IFERROR(VLOOKUP(B46,Evening_Shift!B:D,3,0),""),IFERROR(VLOOKUP(B46,Morning_Shift!B:D,3,0),""))</f>
        <v>Naina</v>
      </c>
      <c r="E46" s="4" t="str">
        <f>IF(IFERROR(VLOOKUP(B46,Morning_Shift!B:E,4,0),"")="",IFERROR(VLOOKUP(B46,Evening_Shift!B:E,4,0),""),IFERROR(VLOOKUP(B46,Morning_Shift!B:E,4,0),""))</f>
        <v>F</v>
      </c>
      <c r="F46" s="5" t="str">
        <f>IF(IFERROR(VLOOKUP(B46,Morning_Shift!B:F,5,0),"")="",IFERROR(VLOOKUP(B46,Evening_Shift!B:F,5,0),""),IFERROR(VLOOKUP(B46,Morning_Shift!B:F,5,0),""))</f>
        <v>Inbound</v>
      </c>
      <c r="G46" s="2" t="str">
        <f>IF(IFERROR(VLOOKUP($B46,Morning_Shift!$B$4:$BJ$61,MATCH(Both_Shift_Roster!G$2,Morning_Shift!$B$2:$BJ$2,0),0),"")="",IFERROR(VLOOKUP($B46,Evening_Shift!$B$4:$BJ$62,MATCH(Both_Shift_Roster!G$2,Evening_Shift!$B$2:$BJ$2,0),0),""),IFERROR(VLOOKUP($B46,Morning_Shift!$B$4:$BJ$61,MATCH(Both_Shift_Roster!G$2,Morning_Shift!$B$2:$BJ$2,0),0),""))</f>
        <v>Agent Choice WO</v>
      </c>
      <c r="H46" s="2" t="str">
        <f>IF(IFERROR(VLOOKUP($B46,Morning_Shift!$B$4:$BJ$61,MATCH(Both_Shift_Roster!H$2,Morning_Shift!$B$2:$BJ$2,0),0),"")="",IFERROR(VLOOKUP($B46,Evening_Shift!$B$4:$BJ$62,MATCH(Both_Shift_Roster!H$2,Evening_Shift!$B$2:$BJ$2,0),0),""),IFERROR(VLOOKUP($B46,Morning_Shift!$B$4:$BJ$61,MATCH(Both_Shift_Roster!H$2,Morning_Shift!$B$2:$BJ$2,0),0),""))</f>
        <v>Agent Choice WO</v>
      </c>
      <c r="I46" s="2" t="str">
        <f>IF(IFERROR(VLOOKUP($B46,Morning_Shift!$B$4:$BJ$61,MATCH(Both_Shift_Roster!I$2,Morning_Shift!$B$2:$BJ$2,0),0),"")="",IFERROR(VLOOKUP($B46,Evening_Shift!$B$4:$BJ$62,MATCH(Both_Shift_Roster!I$2,Evening_Shift!$B$2:$BJ$2,0),0),""),IFERROR(VLOOKUP($B46,Morning_Shift!$B$4:$BJ$61,MATCH(Both_Shift_Roster!I$2,Morning_Shift!$B$2:$BJ$2,0),0),""))</f>
        <v>7:00-14:30</v>
      </c>
      <c r="J46" s="2" t="str">
        <f>IF(IFERROR(VLOOKUP($B46,Morning_Shift!$B$4:$BJ$61,MATCH(Both_Shift_Roster!J$2,Morning_Shift!$B$2:$BJ$2,0),0),"")="",IFERROR(VLOOKUP($B46,Evening_Shift!$B$4:$BJ$62,MATCH(Both_Shift_Roster!J$2,Evening_Shift!$B$2:$BJ$2,0),0),""),IFERROR(VLOOKUP($B46,Morning_Shift!$B$4:$BJ$61,MATCH(Both_Shift_Roster!J$2,Morning_Shift!$B$2:$BJ$2,0),0),""))</f>
        <v>7:00-14:30</v>
      </c>
      <c r="K46" s="2" t="str">
        <f>IF(IFERROR(VLOOKUP($B46,Morning_Shift!$B$4:$BJ$61,MATCH(Both_Shift_Roster!K$2,Morning_Shift!$B$2:$BJ$2,0),0),"")="",IFERROR(VLOOKUP($B46,Evening_Shift!$B$4:$BJ$62,MATCH(Both_Shift_Roster!K$2,Evening_Shift!$B$2:$BJ$2,0),0),""),IFERROR(VLOOKUP($B46,Morning_Shift!$B$4:$BJ$61,MATCH(Both_Shift_Roster!K$2,Morning_Shift!$B$2:$BJ$2,0),0),""))</f>
        <v>7:00-14:30</v>
      </c>
      <c r="L46" s="2" t="str">
        <f>IF(IFERROR(VLOOKUP($B46,Morning_Shift!$B$4:$BJ$61,MATCH(Both_Shift_Roster!L$2,Morning_Shift!$B$2:$BJ$2,0),0),"")="",IFERROR(VLOOKUP($B46,Evening_Shift!$B$4:$BJ$62,MATCH(Both_Shift_Roster!L$2,Evening_Shift!$B$2:$BJ$2,0),0),""),IFERROR(VLOOKUP($B46,Morning_Shift!$B$4:$BJ$61,MATCH(Both_Shift_Roster!L$2,Morning_Shift!$B$2:$BJ$2,0),0),""))</f>
        <v>7:00-14:30</v>
      </c>
      <c r="M46" s="2" t="str">
        <f>IF(IFERROR(VLOOKUP($B46,Morning_Shift!$B$4:$BJ$61,MATCH(Both_Shift_Roster!M$2,Morning_Shift!$B$2:$BJ$2,0),0),"")="",IFERROR(VLOOKUP($B46,Evening_Shift!$B$4:$BJ$62,MATCH(Both_Shift_Roster!M$2,Evening_Shift!$B$2:$BJ$2,0),0),""),IFERROR(VLOOKUP($B46,Morning_Shift!$B$4:$BJ$61,MATCH(Both_Shift_Roster!M$2,Morning_Shift!$B$2:$BJ$2,0),0),""))</f>
        <v>7:00-14:30</v>
      </c>
      <c r="N46" s="2">
        <f t="shared" si="15"/>
        <v>2</v>
      </c>
      <c r="O46" s="2">
        <f t="shared" si="16"/>
        <v>0</v>
      </c>
      <c r="P46" s="2">
        <f t="shared" si="17"/>
        <v>0</v>
      </c>
      <c r="Q46" s="2">
        <f t="shared" si="18"/>
        <v>0</v>
      </c>
      <c r="R46" s="2">
        <f t="shared" si="19"/>
        <v>0</v>
      </c>
      <c r="S46" s="2" t="str">
        <f>IF(IFERROR(VLOOKUP($B46,Morning_Shift!$B$4:$BJ$61,MATCH(Both_Shift_Roster!S$2,Morning_Shift!$B$2:$BJ$2,0),0),"")="",IFERROR(VLOOKUP($B46,Evening_Shift!$B$4:$BJ$62,MATCH(Both_Shift_Roster!S$2,Evening_Shift!$B$2:$BJ$2,0),0),""),IFERROR(VLOOKUP($B46,Morning_Shift!$B$4:$BJ$61,MATCH(Both_Shift_Roster!S$2,Morning_Shift!$B$2:$BJ$2,0),0),""))</f>
        <v>7:00-14:30</v>
      </c>
      <c r="T46" s="2" t="str">
        <f>IF(IFERROR(VLOOKUP($B46,Morning_Shift!$B$4:$BJ$61,MATCH(Both_Shift_Roster!T$2,Morning_Shift!$B$2:$BJ$2,0),0),"")="",IFERROR(VLOOKUP($B46,Evening_Shift!$B$4:$BJ$62,MATCH(Both_Shift_Roster!T$2,Evening_Shift!$B$2:$BJ$2,0),0),""),IFERROR(VLOOKUP($B46,Morning_Shift!$B$4:$BJ$61,MATCH(Both_Shift_Roster!T$2,Morning_Shift!$B$2:$BJ$2,0),0),""))</f>
        <v>7:00-14:30</v>
      </c>
      <c r="U46" s="2" t="str">
        <f>IF(IFERROR(VLOOKUP($B46,Morning_Shift!$B$4:$BJ$61,MATCH(Both_Shift_Roster!U$2,Morning_Shift!$B$2:$BJ$2,0),0),"")="",IFERROR(VLOOKUP($B46,Evening_Shift!$B$4:$BJ$62,MATCH(Both_Shift_Roster!U$2,Evening_Shift!$B$2:$BJ$2,0),0),""),IFERROR(VLOOKUP($B46,Morning_Shift!$B$4:$BJ$61,MATCH(Both_Shift_Roster!U$2,Morning_Shift!$B$2:$BJ$2,0),0),""))</f>
        <v>7:00-14:30</v>
      </c>
      <c r="V46" s="2" t="str">
        <f>IF(IFERROR(VLOOKUP($B46,Morning_Shift!$B$4:$BJ$61,MATCH(Both_Shift_Roster!V$2,Morning_Shift!$B$2:$BJ$2,0),0),"")="",IFERROR(VLOOKUP($B46,Evening_Shift!$B$4:$BJ$62,MATCH(Both_Shift_Roster!V$2,Evening_Shift!$B$2:$BJ$2,0),0),""),IFERROR(VLOOKUP($B46,Morning_Shift!$B$4:$BJ$61,MATCH(Both_Shift_Roster!V$2,Morning_Shift!$B$2:$BJ$2,0),0),""))</f>
        <v>7:00-14:30</v>
      </c>
      <c r="W46" s="2" t="str">
        <f>IF(IFERROR(VLOOKUP($B46,Morning_Shift!$B$4:$BJ$61,MATCH(Both_Shift_Roster!W$2,Morning_Shift!$B$2:$BJ$2,0),0),"")="",IFERROR(VLOOKUP($B46,Evening_Shift!$B$4:$BJ$62,MATCH(Both_Shift_Roster!W$2,Evening_Shift!$B$2:$BJ$2,0),0),""),IFERROR(VLOOKUP($B46,Morning_Shift!$B$4:$BJ$61,MATCH(Both_Shift_Roster!W$2,Morning_Shift!$B$2:$BJ$2,0),0),""))</f>
        <v>Agent Choice WO</v>
      </c>
      <c r="X46" s="2" t="str">
        <f>IF(IFERROR(VLOOKUP($B46,Morning_Shift!$B$4:$BJ$61,MATCH(Both_Shift_Roster!X$2,Morning_Shift!$B$2:$BJ$2,0),0),"")="",IFERROR(VLOOKUP($B46,Evening_Shift!$B$4:$BJ$62,MATCH(Both_Shift_Roster!X$2,Evening_Shift!$B$2:$BJ$2,0),0),""),IFERROR(VLOOKUP($B46,Morning_Shift!$B$4:$BJ$61,MATCH(Both_Shift_Roster!X$2,Morning_Shift!$B$2:$BJ$2,0),0),""))</f>
        <v>7:00-14:30</v>
      </c>
      <c r="Y46" s="2" t="str">
        <f>IF(IFERROR(VLOOKUP($B46,Morning_Shift!$B$4:$BJ$61,MATCH(Both_Shift_Roster!Y$2,Morning_Shift!$B$2:$BJ$2,0),0),"")="",IFERROR(VLOOKUP($B46,Evening_Shift!$B$4:$BJ$62,MATCH(Both_Shift_Roster!Y$2,Evening_Shift!$B$2:$BJ$2,0),0),""),IFERROR(VLOOKUP($B46,Morning_Shift!$B$4:$BJ$61,MATCH(Both_Shift_Roster!Y$2,Morning_Shift!$B$2:$BJ$2,0),0),""))</f>
        <v>7:00-14:30</v>
      </c>
      <c r="Z46" s="2">
        <f t="shared" si="20"/>
        <v>1</v>
      </c>
      <c r="AA46" s="2">
        <f t="shared" si="21"/>
        <v>0</v>
      </c>
      <c r="AB46" s="2">
        <f t="shared" si="22"/>
        <v>0</v>
      </c>
      <c r="AC46" s="2">
        <f t="shared" si="23"/>
        <v>0</v>
      </c>
      <c r="AD46" s="2">
        <f t="shared" si="24"/>
        <v>0</v>
      </c>
      <c r="AE46" s="2" t="str">
        <f>IF(IFERROR(VLOOKUP($B46,Morning_Shift!$B$4:$BJ$61,MATCH(Both_Shift_Roster!AE$2,Morning_Shift!$B$2:$BJ$2,0),0),"")="",IFERROR(VLOOKUP($B46,Evening_Shift!$B$4:$BJ$62,MATCH(Both_Shift_Roster!AE$2,Evening_Shift!$B$2:$BJ$2,0),0),""),IFERROR(VLOOKUP($B46,Morning_Shift!$B$4:$BJ$61,MATCH(Both_Shift_Roster!AE$2,Morning_Shift!$B$2:$BJ$2,0),0),""))</f>
        <v>7:00-14:30</v>
      </c>
      <c r="AF46" s="2" t="str">
        <f>IF(IFERROR(VLOOKUP($B46,Morning_Shift!$B$4:$BJ$61,MATCH(Both_Shift_Roster!AF$2,Morning_Shift!$B$2:$BJ$2,0),0),"")="",IFERROR(VLOOKUP($B46,Evening_Shift!$B$4:$BJ$62,MATCH(Both_Shift_Roster!AF$2,Evening_Shift!$B$2:$BJ$2,0),0),""),IFERROR(VLOOKUP($B46,Morning_Shift!$B$4:$BJ$61,MATCH(Both_Shift_Roster!AF$2,Morning_Shift!$B$2:$BJ$2,0),0),""))</f>
        <v>7:00-14:30</v>
      </c>
      <c r="AG46" s="2" t="str">
        <f>IF(IFERROR(VLOOKUP($B46,Morning_Shift!$B$4:$BJ$61,MATCH(Both_Shift_Roster!AG$2,Morning_Shift!$B$2:$BJ$2,0),0),"")="",IFERROR(VLOOKUP($B46,Evening_Shift!$B$4:$BJ$62,MATCH(Both_Shift_Roster!AG$2,Evening_Shift!$B$2:$BJ$2,0),0),""),IFERROR(VLOOKUP($B46,Morning_Shift!$B$4:$BJ$61,MATCH(Both_Shift_Roster!AG$2,Morning_Shift!$B$2:$BJ$2,0),0),""))</f>
        <v>7:00-14:30</v>
      </c>
      <c r="AH46" s="2" t="str">
        <f>IF(IFERROR(VLOOKUP($B46,Morning_Shift!$B$4:$BJ$61,MATCH(Both_Shift_Roster!AH$2,Morning_Shift!$B$2:$BJ$2,0),0),"")="",IFERROR(VLOOKUP($B46,Evening_Shift!$B$4:$BJ$62,MATCH(Both_Shift_Roster!AH$2,Evening_Shift!$B$2:$BJ$2,0),0),""),IFERROR(VLOOKUP($B46,Morning_Shift!$B$4:$BJ$61,MATCH(Both_Shift_Roster!AH$2,Morning_Shift!$B$2:$BJ$2,0),0),""))</f>
        <v>7:00-14:30</v>
      </c>
      <c r="AI46" s="2" t="str">
        <f>IF(IFERROR(VLOOKUP($B46,Morning_Shift!$B$4:$BJ$61,MATCH(Both_Shift_Roster!AI$2,Morning_Shift!$B$2:$BJ$2,0),0),"")="",IFERROR(VLOOKUP($B46,Evening_Shift!$B$4:$BJ$62,MATCH(Both_Shift_Roster!AI$2,Evening_Shift!$B$2:$BJ$2,0),0),""),IFERROR(VLOOKUP($B46,Morning_Shift!$B$4:$BJ$61,MATCH(Both_Shift_Roster!AI$2,Morning_Shift!$B$2:$BJ$2,0),0),""))</f>
        <v>7:00-14:30</v>
      </c>
      <c r="AJ46" s="2" t="str">
        <f>IF(IFERROR(VLOOKUP($B46,Morning_Shift!$B$4:$BJ$61,MATCH(Both_Shift_Roster!AJ$2,Morning_Shift!$B$2:$BJ$2,0),0),"")="",IFERROR(VLOOKUP($B46,Evening_Shift!$B$4:$BJ$62,MATCH(Both_Shift_Roster!AJ$2,Evening_Shift!$B$2:$BJ$2,0),0),""),IFERROR(VLOOKUP($B46,Morning_Shift!$B$4:$BJ$61,MATCH(Both_Shift_Roster!AJ$2,Morning_Shift!$B$2:$BJ$2,0),0),""))</f>
        <v>7:00-14:30</v>
      </c>
      <c r="AK46" s="2" t="str">
        <f>IF(IFERROR(VLOOKUP($B46,Morning_Shift!$B$4:$BJ$61,MATCH(Both_Shift_Roster!AK$2,Morning_Shift!$B$2:$BJ$2,0),0),"")="",IFERROR(VLOOKUP($B46,Evening_Shift!$B$4:$BJ$62,MATCH(Both_Shift_Roster!AK$2,Evening_Shift!$B$2:$BJ$2,0),0),""),IFERROR(VLOOKUP($B46,Morning_Shift!$B$4:$BJ$61,MATCH(Both_Shift_Roster!AK$2,Morning_Shift!$B$2:$BJ$2,0),0),""))</f>
        <v>7:00-14:30</v>
      </c>
      <c r="AL46" s="2">
        <f t="shared" si="25"/>
        <v>0</v>
      </c>
      <c r="AM46" s="2">
        <f t="shared" si="26"/>
        <v>0</v>
      </c>
      <c r="AN46" s="2">
        <f t="shared" si="27"/>
        <v>0</v>
      </c>
      <c r="AO46" s="2">
        <f t="shared" si="28"/>
        <v>0</v>
      </c>
      <c r="AP46" s="2">
        <f t="shared" si="29"/>
        <v>0</v>
      </c>
      <c r="AQ46" s="2" t="str">
        <f>IF(IFERROR(VLOOKUP($B46,Morning_Shift!$B$4:$BJ$61,MATCH(Both_Shift_Roster!AQ$2,Morning_Shift!$B$2:$BJ$2,0),0),"")="",IFERROR(VLOOKUP($B46,Evening_Shift!$B$4:$BJ$62,MATCH(Both_Shift_Roster!AQ$2,Evening_Shift!$B$2:$BJ$2,0),0),""),IFERROR(VLOOKUP($B46,Morning_Shift!$B$4:$BJ$61,MATCH(Both_Shift_Roster!AQ$2,Morning_Shift!$B$2:$BJ$2,0),0),""))</f>
        <v>7:00-14:30</v>
      </c>
      <c r="AR46" s="2" t="str">
        <f>IF(IFERROR(VLOOKUP($B46,Morning_Shift!$B$4:$BJ$61,MATCH(Both_Shift_Roster!AR$2,Morning_Shift!$B$2:$BJ$2,0),0),"")="",IFERROR(VLOOKUP($B46,Evening_Shift!$B$4:$BJ$62,MATCH(Both_Shift_Roster!AR$2,Evening_Shift!$B$2:$BJ$2,0),0),""),IFERROR(VLOOKUP($B46,Morning_Shift!$B$4:$BJ$61,MATCH(Both_Shift_Roster!AR$2,Morning_Shift!$B$2:$BJ$2,0),0),""))</f>
        <v>7:00-14:30</v>
      </c>
      <c r="AS46" s="2" t="str">
        <f>IF(IFERROR(VLOOKUP($B46,Morning_Shift!$B$4:$BJ$61,MATCH(Both_Shift_Roster!AS$2,Morning_Shift!$B$2:$BJ$2,0),0),"")="",IFERROR(VLOOKUP($B46,Evening_Shift!$B$4:$BJ$62,MATCH(Both_Shift_Roster!AS$2,Evening_Shift!$B$2:$BJ$2,0),0),""),IFERROR(VLOOKUP($B46,Morning_Shift!$B$4:$BJ$61,MATCH(Both_Shift_Roster!AS$2,Morning_Shift!$B$2:$BJ$2,0),0),""))</f>
        <v>7:00-14:30</v>
      </c>
      <c r="AT46" s="2" t="str">
        <f>IF(IFERROR(VLOOKUP($B46,Morning_Shift!$B$4:$BJ$61,MATCH(Both_Shift_Roster!AT$2,Morning_Shift!$B$2:$BJ$2,0),0),"")="",IFERROR(VLOOKUP($B46,Evening_Shift!$B$4:$BJ$62,MATCH(Both_Shift_Roster!AT$2,Evening_Shift!$B$2:$BJ$2,0),0),""),IFERROR(VLOOKUP($B46,Morning_Shift!$B$4:$BJ$61,MATCH(Both_Shift_Roster!AT$2,Morning_Shift!$B$2:$BJ$2,0),0),""))</f>
        <v>Agent Choice WO</v>
      </c>
      <c r="AU46" s="2" t="str">
        <f>IF(IFERROR(VLOOKUP($B46,Morning_Shift!$B$4:$BJ$61,MATCH(Both_Shift_Roster!AU$2,Morning_Shift!$B$2:$BJ$2,0),0),"")="",IFERROR(VLOOKUP($B46,Evening_Shift!$B$4:$BJ$62,MATCH(Both_Shift_Roster!AU$2,Evening_Shift!$B$2:$BJ$2,0),0),""),IFERROR(VLOOKUP($B46,Morning_Shift!$B$4:$BJ$61,MATCH(Both_Shift_Roster!AU$2,Morning_Shift!$B$2:$BJ$2,0),0),""))</f>
        <v>7:00-14:30</v>
      </c>
      <c r="AV46" s="2" t="str">
        <f>IF(IFERROR(VLOOKUP($B46,Morning_Shift!$B$4:$BJ$61,MATCH(Both_Shift_Roster!AV$2,Morning_Shift!$B$2:$BJ$2,0),0),"")="",IFERROR(VLOOKUP($B46,Evening_Shift!$B$4:$BJ$62,MATCH(Both_Shift_Roster!AV$2,Evening_Shift!$B$2:$BJ$2,0),0),""),IFERROR(VLOOKUP($B46,Morning_Shift!$B$4:$BJ$61,MATCH(Both_Shift_Roster!AV$2,Morning_Shift!$B$2:$BJ$2,0),0),""))</f>
        <v>7:00-14:30</v>
      </c>
      <c r="AW46" s="2" t="str">
        <f>IF(IFERROR(VLOOKUP($B46,Morning_Shift!$B$4:$BJ$61,MATCH(Both_Shift_Roster!AW$2,Morning_Shift!$B$2:$BJ$2,0),0),"")="",IFERROR(VLOOKUP($B46,Evening_Shift!$B$4:$BJ$62,MATCH(Both_Shift_Roster!AW$2,Evening_Shift!$B$2:$BJ$2,0),0),""),IFERROR(VLOOKUP($B46,Morning_Shift!$B$4:$BJ$61,MATCH(Both_Shift_Roster!AW$2,Morning_Shift!$B$2:$BJ$2,0),0),""))</f>
        <v>7:00-14:30</v>
      </c>
      <c r="AX46" s="2">
        <f t="shared" si="30"/>
        <v>1</v>
      </c>
      <c r="AY46" s="2">
        <f t="shared" si="31"/>
        <v>0</v>
      </c>
      <c r="AZ46" s="2">
        <f t="shared" si="32"/>
        <v>0</v>
      </c>
      <c r="BA46" s="2">
        <f t="shared" si="33"/>
        <v>0</v>
      </c>
      <c r="BB46" s="2">
        <f t="shared" si="34"/>
        <v>0</v>
      </c>
      <c r="BC46" s="2" t="str">
        <f>IF(IFERROR(VLOOKUP($B46,Morning_Shift!$B$4:$BJ$61,MATCH(Both_Shift_Roster!BC$2,Morning_Shift!$B$2:$BJ$2,0),0),"")="",IFERROR(VLOOKUP($B46,Evening_Shift!$B$4:$BJ$62,MATCH(Both_Shift_Roster!BC$2,Evening_Shift!$B$2:$BJ$2,0),0),""),IFERROR(VLOOKUP($B46,Morning_Shift!$B$4:$BJ$61,MATCH(Both_Shift_Roster!BC$2,Morning_Shift!$B$2:$BJ$2,0),0),""))</f>
        <v>7:00-14:30</v>
      </c>
      <c r="BD46" s="2" t="str">
        <f>IF(IFERROR(VLOOKUP($B46,Morning_Shift!$B$4:$BJ$61,MATCH(Both_Shift_Roster!BD$2,Morning_Shift!$B$2:$BJ$2,0),0),"")="",IFERROR(VLOOKUP($B46,Evening_Shift!$B$4:$BJ$62,MATCH(Both_Shift_Roster!BD$2,Evening_Shift!$B$2:$BJ$2,0),0),""),IFERROR(VLOOKUP($B46,Morning_Shift!$B$4:$BJ$61,MATCH(Both_Shift_Roster!BD$2,Morning_Shift!$B$2:$BJ$2,0),0),""))</f>
        <v>7:00-14:30</v>
      </c>
      <c r="BE46" s="2" t="str">
        <f>IF(IFERROR(VLOOKUP($B46,Morning_Shift!$B$4:$BJ$61,MATCH(Both_Shift_Roster!BE$2,Morning_Shift!$B$2:$BJ$2,0),0),"")="",IFERROR(VLOOKUP($B46,Evening_Shift!$B$4:$BJ$59,MATCH(Both_Shift_Roster!BE$2,Evening_Shift!$B$2:$BJ$2,0),0),""),IFERROR(VLOOKUP($B46,Morning_Shift!$B$4:$BJ$61,MATCH(Both_Shift_Roster!BE$2,Morning_Shift!$B$2:$BJ$2,0),0),""))</f>
        <v>7:00-14:30</v>
      </c>
      <c r="BF46" s="2">
        <f t="shared" si="35"/>
        <v>0</v>
      </c>
      <c r="BG46" s="2">
        <f t="shared" si="36"/>
        <v>0</v>
      </c>
      <c r="BH46" s="2">
        <f t="shared" si="37"/>
        <v>0</v>
      </c>
      <c r="BI46" s="2">
        <f t="shared" si="38"/>
        <v>0</v>
      </c>
      <c r="BJ46" s="2">
        <f t="shared" si="39"/>
        <v>0</v>
      </c>
    </row>
    <row r="47" spans="1:62">
      <c r="A47" s="17">
        <f t="shared" si="40"/>
        <v>44</v>
      </c>
      <c r="B47" s="16" t="str">
        <f>Morning_Shift!$B47</f>
        <v>Dritm07</v>
      </c>
      <c r="C47" s="21" t="str">
        <f>IF(IFERROR(VLOOKUP(B47,Morning_Shift!B:C,2,0),"")="",IFERROR(VLOOKUP(B47,Evening_Shift!B:C,2,0),""),IFERROR(VLOOKUP(B47,Morning_Shift!B:C,2,0),""))</f>
        <v>Renu Ghai</v>
      </c>
      <c r="D47" s="15" t="str">
        <f>IF(IFERROR(VLOOKUP(B47,Morning_Shift!B:D,3,0),"")="",IFERROR(VLOOKUP(B47,Evening_Shift!B:D,3,0),""),IFERROR(VLOOKUP(B47,Morning_Shift!B:D,3,0),""))</f>
        <v>Naina</v>
      </c>
      <c r="E47" s="4" t="str">
        <f>IF(IFERROR(VLOOKUP(B47,Morning_Shift!B:E,4,0),"")="",IFERROR(VLOOKUP(B47,Evening_Shift!B:E,4,0),""),IFERROR(VLOOKUP(B47,Morning_Shift!B:E,4,0),""))</f>
        <v>F</v>
      </c>
      <c r="F47" s="5" t="str">
        <f>IF(IFERROR(VLOOKUP(B47,Morning_Shift!B:F,5,0),"")="",IFERROR(VLOOKUP(B47,Evening_Shift!B:F,5,0),""),IFERROR(VLOOKUP(B47,Morning_Shift!B:F,5,0),""))</f>
        <v>Officer Helpdesk</v>
      </c>
      <c r="G47" s="2" t="str">
        <f>IF(IFERROR(VLOOKUP($B47,Morning_Shift!$B$4:$BJ$61,MATCH(Both_Shift_Roster!G$2,Morning_Shift!$B$2:$BJ$2,0),0),"")="",IFERROR(VLOOKUP($B47,Evening_Shift!$B$4:$BJ$62,MATCH(Both_Shift_Roster!G$2,Evening_Shift!$B$2:$BJ$2,0),0),""),IFERROR(VLOOKUP($B47,Morning_Shift!$B$4:$BJ$61,MATCH(Both_Shift_Roster!G$2,Morning_Shift!$B$2:$BJ$2,0),0),""))</f>
        <v>10:00-17:30</v>
      </c>
      <c r="H47" s="2" t="str">
        <f>IF(IFERROR(VLOOKUP($B47,Morning_Shift!$B$4:$BJ$61,MATCH(Both_Shift_Roster!H$2,Morning_Shift!$B$2:$BJ$2,0),0),"")="",IFERROR(VLOOKUP($B47,Evening_Shift!$B$4:$BJ$62,MATCH(Both_Shift_Roster!H$2,Evening_Shift!$B$2:$BJ$2,0),0),""),IFERROR(VLOOKUP($B47,Morning_Shift!$B$4:$BJ$61,MATCH(Both_Shift_Roster!H$2,Morning_Shift!$B$2:$BJ$2,0),0),""))</f>
        <v>10:00-17:30</v>
      </c>
      <c r="I47" s="2" t="str">
        <f>IF(IFERROR(VLOOKUP($B47,Morning_Shift!$B$4:$BJ$61,MATCH(Both_Shift_Roster!I$2,Morning_Shift!$B$2:$BJ$2,0),0),"")="",IFERROR(VLOOKUP($B47,Evening_Shift!$B$4:$BJ$62,MATCH(Both_Shift_Roster!I$2,Evening_Shift!$B$2:$BJ$2,0),0),""),IFERROR(VLOOKUP($B47,Morning_Shift!$B$4:$BJ$61,MATCH(Both_Shift_Roster!I$2,Morning_Shift!$B$2:$BJ$2,0),0),""))</f>
        <v>10:00-17:30</v>
      </c>
      <c r="J47" s="2" t="str">
        <f>IF(IFERROR(VLOOKUP($B47,Morning_Shift!$B$4:$BJ$61,MATCH(Both_Shift_Roster!J$2,Morning_Shift!$B$2:$BJ$2,0),0),"")="",IFERROR(VLOOKUP($B47,Evening_Shift!$B$4:$BJ$62,MATCH(Both_Shift_Roster!J$2,Evening_Shift!$B$2:$BJ$2,0),0),""),IFERROR(VLOOKUP($B47,Morning_Shift!$B$4:$BJ$61,MATCH(Both_Shift_Roster!J$2,Morning_Shift!$B$2:$BJ$2,0),0),""))</f>
        <v>10:00-17:30</v>
      </c>
      <c r="K47" s="2" t="str">
        <f>IF(IFERROR(VLOOKUP($B47,Morning_Shift!$B$4:$BJ$61,MATCH(Both_Shift_Roster!K$2,Morning_Shift!$B$2:$BJ$2,0),0),"")="",IFERROR(VLOOKUP($B47,Evening_Shift!$B$4:$BJ$62,MATCH(Both_Shift_Roster!K$2,Evening_Shift!$B$2:$BJ$2,0),0),""),IFERROR(VLOOKUP($B47,Morning_Shift!$B$4:$BJ$61,MATCH(Both_Shift_Roster!K$2,Morning_Shift!$B$2:$BJ$2,0),0),""))</f>
        <v>10:00-17:30</v>
      </c>
      <c r="L47" s="2" t="str">
        <f>IF(IFERROR(VLOOKUP($B47,Morning_Shift!$B$4:$BJ$61,MATCH(Both_Shift_Roster!L$2,Morning_Shift!$B$2:$BJ$2,0),0),"")="",IFERROR(VLOOKUP($B47,Evening_Shift!$B$4:$BJ$62,MATCH(Both_Shift_Roster!L$2,Evening_Shift!$B$2:$BJ$2,0),0),""),IFERROR(VLOOKUP($B47,Morning_Shift!$B$4:$BJ$61,MATCH(Both_Shift_Roster!L$2,Morning_Shift!$B$2:$BJ$2,0),0),""))</f>
        <v>Agent Choice WO</v>
      </c>
      <c r="M47" s="2" t="str">
        <f>IF(IFERROR(VLOOKUP($B47,Morning_Shift!$B$4:$BJ$61,MATCH(Both_Shift_Roster!M$2,Morning_Shift!$B$2:$BJ$2,0),0),"")="",IFERROR(VLOOKUP($B47,Evening_Shift!$B$4:$BJ$62,MATCH(Both_Shift_Roster!M$2,Evening_Shift!$B$2:$BJ$2,0),0),""),IFERROR(VLOOKUP($B47,Morning_Shift!$B$4:$BJ$61,MATCH(Both_Shift_Roster!M$2,Morning_Shift!$B$2:$BJ$2,0),0),""))</f>
        <v>10:00-17:30</v>
      </c>
      <c r="N47" s="2">
        <f t="shared" si="15"/>
        <v>1</v>
      </c>
      <c r="O47" s="2">
        <f t="shared" si="16"/>
        <v>0</v>
      </c>
      <c r="P47" s="2">
        <f t="shared" si="17"/>
        <v>0</v>
      </c>
      <c r="Q47" s="2">
        <f t="shared" si="18"/>
        <v>0</v>
      </c>
      <c r="R47" s="2">
        <f t="shared" si="19"/>
        <v>0</v>
      </c>
      <c r="S47" s="2" t="str">
        <f>IF(IFERROR(VLOOKUP($B47,Morning_Shift!$B$4:$BJ$61,MATCH(Both_Shift_Roster!S$2,Morning_Shift!$B$2:$BJ$2,0),0),"")="",IFERROR(VLOOKUP($B47,Evening_Shift!$B$4:$BJ$62,MATCH(Both_Shift_Roster!S$2,Evening_Shift!$B$2:$BJ$2,0),0),""),IFERROR(VLOOKUP($B47,Morning_Shift!$B$4:$BJ$61,MATCH(Both_Shift_Roster!S$2,Morning_Shift!$B$2:$BJ$2,0),0),""))</f>
        <v>10:00-17:30</v>
      </c>
      <c r="T47" s="2" t="str">
        <f>IF(IFERROR(VLOOKUP($B47,Morning_Shift!$B$4:$BJ$61,MATCH(Both_Shift_Roster!T$2,Morning_Shift!$B$2:$BJ$2,0),0),"")="",IFERROR(VLOOKUP($B47,Evening_Shift!$B$4:$BJ$62,MATCH(Both_Shift_Roster!T$2,Evening_Shift!$B$2:$BJ$2,0),0),""),IFERROR(VLOOKUP($B47,Morning_Shift!$B$4:$BJ$61,MATCH(Both_Shift_Roster!T$2,Morning_Shift!$B$2:$BJ$2,0),0),""))</f>
        <v>10:00-17:30</v>
      </c>
      <c r="U47" s="2" t="str">
        <f>IF(IFERROR(VLOOKUP($B47,Morning_Shift!$B$4:$BJ$61,MATCH(Both_Shift_Roster!U$2,Morning_Shift!$B$2:$BJ$2,0),0),"")="",IFERROR(VLOOKUP($B47,Evening_Shift!$B$4:$BJ$62,MATCH(Both_Shift_Roster!U$2,Evening_Shift!$B$2:$BJ$2,0),0),""),IFERROR(VLOOKUP($B47,Morning_Shift!$B$4:$BJ$61,MATCH(Both_Shift_Roster!U$2,Morning_Shift!$B$2:$BJ$2,0),0),""))</f>
        <v>10:00-17:30</v>
      </c>
      <c r="V47" s="2" t="str">
        <f>IF(IFERROR(VLOOKUP($B47,Morning_Shift!$B$4:$BJ$61,MATCH(Both_Shift_Roster!V$2,Morning_Shift!$B$2:$BJ$2,0),0),"")="",IFERROR(VLOOKUP($B47,Evening_Shift!$B$4:$BJ$62,MATCH(Both_Shift_Roster!V$2,Evening_Shift!$B$2:$BJ$2,0),0),""),IFERROR(VLOOKUP($B47,Morning_Shift!$B$4:$BJ$61,MATCH(Both_Shift_Roster!V$2,Morning_Shift!$B$2:$BJ$2,0),0),""))</f>
        <v>10:00-17:30</v>
      </c>
      <c r="W47" s="2" t="str">
        <f>IF(IFERROR(VLOOKUP($B47,Morning_Shift!$B$4:$BJ$61,MATCH(Both_Shift_Roster!W$2,Morning_Shift!$B$2:$BJ$2,0),0),"")="",IFERROR(VLOOKUP($B47,Evening_Shift!$B$4:$BJ$62,MATCH(Both_Shift_Roster!W$2,Evening_Shift!$B$2:$BJ$2,0),0),""),IFERROR(VLOOKUP($B47,Morning_Shift!$B$4:$BJ$61,MATCH(Both_Shift_Roster!W$2,Morning_Shift!$B$2:$BJ$2,0),0),""))</f>
        <v>10:00-17:30</v>
      </c>
      <c r="X47" s="2" t="str">
        <f>IF(IFERROR(VLOOKUP($B47,Morning_Shift!$B$4:$BJ$61,MATCH(Both_Shift_Roster!X$2,Morning_Shift!$B$2:$BJ$2,0),0),"")="",IFERROR(VLOOKUP($B47,Evening_Shift!$B$4:$BJ$62,MATCH(Both_Shift_Roster!X$2,Evening_Shift!$B$2:$BJ$2,0),0),""),IFERROR(VLOOKUP($B47,Morning_Shift!$B$4:$BJ$61,MATCH(Both_Shift_Roster!X$2,Morning_Shift!$B$2:$BJ$2,0),0),""))</f>
        <v>Agent Choice WO</v>
      </c>
      <c r="Y47" s="2" t="str">
        <f>IF(IFERROR(VLOOKUP($B47,Morning_Shift!$B$4:$BJ$61,MATCH(Both_Shift_Roster!Y$2,Morning_Shift!$B$2:$BJ$2,0),0),"")="",IFERROR(VLOOKUP($B47,Evening_Shift!$B$4:$BJ$62,MATCH(Both_Shift_Roster!Y$2,Evening_Shift!$B$2:$BJ$2,0),0),""),IFERROR(VLOOKUP($B47,Morning_Shift!$B$4:$BJ$61,MATCH(Both_Shift_Roster!Y$2,Morning_Shift!$B$2:$BJ$2,0),0),""))</f>
        <v>10:00-17:30</v>
      </c>
      <c r="Z47" s="2">
        <f t="shared" si="20"/>
        <v>1</v>
      </c>
      <c r="AA47" s="2">
        <f t="shared" si="21"/>
        <v>0</v>
      </c>
      <c r="AB47" s="2">
        <f t="shared" si="22"/>
        <v>0</v>
      </c>
      <c r="AC47" s="2">
        <f t="shared" si="23"/>
        <v>0</v>
      </c>
      <c r="AD47" s="2">
        <f t="shared" si="24"/>
        <v>0</v>
      </c>
      <c r="AE47" s="2" t="str">
        <f>IF(IFERROR(VLOOKUP($B47,Morning_Shift!$B$4:$BJ$61,MATCH(Both_Shift_Roster!AE$2,Morning_Shift!$B$2:$BJ$2,0),0),"")="",IFERROR(VLOOKUP($B47,Evening_Shift!$B$4:$BJ$62,MATCH(Both_Shift_Roster!AE$2,Evening_Shift!$B$2:$BJ$2,0),0),""),IFERROR(VLOOKUP($B47,Morning_Shift!$B$4:$BJ$61,MATCH(Both_Shift_Roster!AE$2,Morning_Shift!$B$2:$BJ$2,0),0),""))</f>
        <v>10:00-17:30</v>
      </c>
      <c r="AF47" s="2" t="str">
        <f>IF(IFERROR(VLOOKUP($B47,Morning_Shift!$B$4:$BJ$61,MATCH(Both_Shift_Roster!AF$2,Morning_Shift!$B$2:$BJ$2,0),0),"")="",IFERROR(VLOOKUP($B47,Evening_Shift!$B$4:$BJ$62,MATCH(Both_Shift_Roster!AF$2,Evening_Shift!$B$2:$BJ$2,0),0),""),IFERROR(VLOOKUP($B47,Morning_Shift!$B$4:$BJ$61,MATCH(Both_Shift_Roster!AF$2,Morning_Shift!$B$2:$BJ$2,0),0),""))</f>
        <v>10:00-17:30</v>
      </c>
      <c r="AG47" s="2" t="str">
        <f>IF(IFERROR(VLOOKUP($B47,Morning_Shift!$B$4:$BJ$61,MATCH(Both_Shift_Roster!AG$2,Morning_Shift!$B$2:$BJ$2,0),0),"")="",IFERROR(VLOOKUP($B47,Evening_Shift!$B$4:$BJ$62,MATCH(Both_Shift_Roster!AG$2,Evening_Shift!$B$2:$BJ$2,0),0),""),IFERROR(VLOOKUP($B47,Morning_Shift!$B$4:$BJ$61,MATCH(Both_Shift_Roster!AG$2,Morning_Shift!$B$2:$BJ$2,0),0),""))</f>
        <v>Agent Choice WO</v>
      </c>
      <c r="AH47" s="2" t="str">
        <f>IF(IFERROR(VLOOKUP($B47,Morning_Shift!$B$4:$BJ$61,MATCH(Both_Shift_Roster!AH$2,Morning_Shift!$B$2:$BJ$2,0),0),"")="",IFERROR(VLOOKUP($B47,Evening_Shift!$B$4:$BJ$62,MATCH(Both_Shift_Roster!AH$2,Evening_Shift!$B$2:$BJ$2,0),0),""),IFERROR(VLOOKUP($B47,Morning_Shift!$B$4:$BJ$61,MATCH(Both_Shift_Roster!AH$2,Morning_Shift!$B$2:$BJ$2,0),0),""))</f>
        <v>10:00-17:30</v>
      </c>
      <c r="AI47" s="2" t="str">
        <f>IF(IFERROR(VLOOKUP($B47,Morning_Shift!$B$4:$BJ$61,MATCH(Both_Shift_Roster!AI$2,Morning_Shift!$B$2:$BJ$2,0),0),"")="",IFERROR(VLOOKUP($B47,Evening_Shift!$B$4:$BJ$62,MATCH(Both_Shift_Roster!AI$2,Evening_Shift!$B$2:$BJ$2,0),0),""),IFERROR(VLOOKUP($B47,Morning_Shift!$B$4:$BJ$61,MATCH(Both_Shift_Roster!AI$2,Morning_Shift!$B$2:$BJ$2,0),0),""))</f>
        <v>10:00-17:30</v>
      </c>
      <c r="AJ47" s="2" t="str">
        <f>IF(IFERROR(VLOOKUP($B47,Morning_Shift!$B$4:$BJ$61,MATCH(Both_Shift_Roster!AJ$2,Morning_Shift!$B$2:$BJ$2,0),0),"")="",IFERROR(VLOOKUP($B47,Evening_Shift!$B$4:$BJ$62,MATCH(Both_Shift_Roster!AJ$2,Evening_Shift!$B$2:$BJ$2,0),0),""),IFERROR(VLOOKUP($B47,Morning_Shift!$B$4:$BJ$61,MATCH(Both_Shift_Roster!AJ$2,Morning_Shift!$B$2:$BJ$2,0),0),""))</f>
        <v>10:00-17:30</v>
      </c>
      <c r="AK47" s="2" t="str">
        <f>IF(IFERROR(VLOOKUP($B47,Morning_Shift!$B$4:$BJ$61,MATCH(Both_Shift_Roster!AK$2,Morning_Shift!$B$2:$BJ$2,0),0),"")="",IFERROR(VLOOKUP($B47,Evening_Shift!$B$4:$BJ$62,MATCH(Both_Shift_Roster!AK$2,Evening_Shift!$B$2:$BJ$2,0),0),""),IFERROR(VLOOKUP($B47,Morning_Shift!$B$4:$BJ$61,MATCH(Both_Shift_Roster!AK$2,Morning_Shift!$B$2:$BJ$2,0),0),""))</f>
        <v>10:00-17:30</v>
      </c>
      <c r="AL47" s="2">
        <f t="shared" si="25"/>
        <v>1</v>
      </c>
      <c r="AM47" s="2">
        <f t="shared" si="26"/>
        <v>0</v>
      </c>
      <c r="AN47" s="2">
        <f t="shared" si="27"/>
        <v>0</v>
      </c>
      <c r="AO47" s="2">
        <f t="shared" si="28"/>
        <v>0</v>
      </c>
      <c r="AP47" s="2">
        <f t="shared" si="29"/>
        <v>0</v>
      </c>
      <c r="AQ47" s="2" t="str">
        <f>IF(IFERROR(VLOOKUP($B47,Morning_Shift!$B$4:$BJ$61,MATCH(Both_Shift_Roster!AQ$2,Morning_Shift!$B$2:$BJ$2,0),0),"")="",IFERROR(VLOOKUP($B47,Evening_Shift!$B$4:$BJ$62,MATCH(Both_Shift_Roster!AQ$2,Evening_Shift!$B$2:$BJ$2,0),0),""),IFERROR(VLOOKUP($B47,Morning_Shift!$B$4:$BJ$61,MATCH(Both_Shift_Roster!AQ$2,Morning_Shift!$B$2:$BJ$2,0),0),""))</f>
        <v>10:00-17:30</v>
      </c>
      <c r="AR47" s="2" t="str">
        <f>IF(IFERROR(VLOOKUP($B47,Morning_Shift!$B$4:$BJ$61,MATCH(Both_Shift_Roster!AR$2,Morning_Shift!$B$2:$BJ$2,0),0),"")="",IFERROR(VLOOKUP($B47,Evening_Shift!$B$4:$BJ$62,MATCH(Both_Shift_Roster!AR$2,Evening_Shift!$B$2:$BJ$2,0),0),""),IFERROR(VLOOKUP($B47,Morning_Shift!$B$4:$BJ$61,MATCH(Both_Shift_Roster!AR$2,Morning_Shift!$B$2:$BJ$2,0),0),""))</f>
        <v>10:00-17:30</v>
      </c>
      <c r="AS47" s="2" t="str">
        <f>IF(IFERROR(VLOOKUP($B47,Morning_Shift!$B$4:$BJ$61,MATCH(Both_Shift_Roster!AS$2,Morning_Shift!$B$2:$BJ$2,0),0),"")="",IFERROR(VLOOKUP($B47,Evening_Shift!$B$4:$BJ$62,MATCH(Both_Shift_Roster!AS$2,Evening_Shift!$B$2:$BJ$2,0),0),""),IFERROR(VLOOKUP($B47,Morning_Shift!$B$4:$BJ$61,MATCH(Both_Shift_Roster!AS$2,Morning_Shift!$B$2:$BJ$2,0),0),""))</f>
        <v>10:00-17:30</v>
      </c>
      <c r="AT47" s="2" t="str">
        <f>IF(IFERROR(VLOOKUP($B47,Morning_Shift!$B$4:$BJ$61,MATCH(Both_Shift_Roster!AT$2,Morning_Shift!$B$2:$BJ$2,0),0),"")="",IFERROR(VLOOKUP($B47,Evening_Shift!$B$4:$BJ$62,MATCH(Both_Shift_Roster!AT$2,Evening_Shift!$B$2:$BJ$2,0),0),""),IFERROR(VLOOKUP($B47,Morning_Shift!$B$4:$BJ$61,MATCH(Both_Shift_Roster!AT$2,Morning_Shift!$B$2:$BJ$2,0),0),""))</f>
        <v>10:00-17:30</v>
      </c>
      <c r="AU47" s="2" t="str">
        <f>IF(IFERROR(VLOOKUP($B47,Morning_Shift!$B$4:$BJ$61,MATCH(Both_Shift_Roster!AU$2,Morning_Shift!$B$2:$BJ$2,0),0),"")="",IFERROR(VLOOKUP($B47,Evening_Shift!$B$4:$BJ$62,MATCH(Both_Shift_Roster!AU$2,Evening_Shift!$B$2:$BJ$2,0),0),""),IFERROR(VLOOKUP($B47,Morning_Shift!$B$4:$BJ$61,MATCH(Both_Shift_Roster!AU$2,Morning_Shift!$B$2:$BJ$2,0),0),""))</f>
        <v>10:00-17:30</v>
      </c>
      <c r="AV47" s="2" t="str">
        <f>IF(IFERROR(VLOOKUP($B47,Morning_Shift!$B$4:$BJ$61,MATCH(Both_Shift_Roster!AV$2,Morning_Shift!$B$2:$BJ$2,0),0),"")="",IFERROR(VLOOKUP($B47,Evening_Shift!$B$4:$BJ$62,MATCH(Both_Shift_Roster!AV$2,Evening_Shift!$B$2:$BJ$2,0),0),""),IFERROR(VLOOKUP($B47,Morning_Shift!$B$4:$BJ$61,MATCH(Both_Shift_Roster!AV$2,Morning_Shift!$B$2:$BJ$2,0),0),""))</f>
        <v>Agent Choice WO</v>
      </c>
      <c r="AW47" s="2" t="str">
        <f>IF(IFERROR(VLOOKUP($B47,Morning_Shift!$B$4:$BJ$61,MATCH(Both_Shift_Roster!AW$2,Morning_Shift!$B$2:$BJ$2,0),0),"")="",IFERROR(VLOOKUP($B47,Evening_Shift!$B$4:$BJ$62,MATCH(Both_Shift_Roster!AW$2,Evening_Shift!$B$2:$BJ$2,0),0),""),IFERROR(VLOOKUP($B47,Morning_Shift!$B$4:$BJ$61,MATCH(Both_Shift_Roster!AW$2,Morning_Shift!$B$2:$BJ$2,0),0),""))</f>
        <v>10:00-17:30</v>
      </c>
      <c r="AX47" s="2">
        <f t="shared" si="30"/>
        <v>1</v>
      </c>
      <c r="AY47" s="2">
        <f t="shared" si="31"/>
        <v>0</v>
      </c>
      <c r="AZ47" s="2">
        <f t="shared" si="32"/>
        <v>0</v>
      </c>
      <c r="BA47" s="2">
        <f t="shared" si="33"/>
        <v>0</v>
      </c>
      <c r="BB47" s="2">
        <f t="shared" si="34"/>
        <v>0</v>
      </c>
      <c r="BC47" s="2" t="str">
        <f>IF(IFERROR(VLOOKUP($B47,Morning_Shift!$B$4:$BJ$61,MATCH(Both_Shift_Roster!BC$2,Morning_Shift!$B$2:$BJ$2,0),0),"")="",IFERROR(VLOOKUP($B47,Evening_Shift!$B$4:$BJ$62,MATCH(Both_Shift_Roster!BC$2,Evening_Shift!$B$2:$BJ$2,0),0),""),IFERROR(VLOOKUP($B47,Morning_Shift!$B$4:$BJ$61,MATCH(Both_Shift_Roster!BC$2,Morning_Shift!$B$2:$BJ$2,0),0),""))</f>
        <v>10:00-17:30</v>
      </c>
      <c r="BD47" s="2" t="str">
        <f>IF(IFERROR(VLOOKUP($B47,Morning_Shift!$B$4:$BJ$61,MATCH(Both_Shift_Roster!BD$2,Morning_Shift!$B$2:$BJ$2,0),0),"")="",IFERROR(VLOOKUP($B47,Evening_Shift!$B$4:$BJ$62,MATCH(Both_Shift_Roster!BD$2,Evening_Shift!$B$2:$BJ$2,0),0),""),IFERROR(VLOOKUP($B47,Morning_Shift!$B$4:$BJ$61,MATCH(Both_Shift_Roster!BD$2,Morning_Shift!$B$2:$BJ$2,0),0),""))</f>
        <v>Agent Choice WO</v>
      </c>
      <c r="BE47" s="2" t="str">
        <f>IF(IFERROR(VLOOKUP($B47,Morning_Shift!$B$4:$BJ$61,MATCH(Both_Shift_Roster!BE$2,Morning_Shift!$B$2:$BJ$2,0),0),"")="",IFERROR(VLOOKUP($B47,Evening_Shift!$B$4:$BJ$59,MATCH(Both_Shift_Roster!BE$2,Evening_Shift!$B$2:$BJ$2,0),0),""),IFERROR(VLOOKUP($B47,Morning_Shift!$B$4:$BJ$61,MATCH(Both_Shift_Roster!BE$2,Morning_Shift!$B$2:$BJ$2,0),0),""))</f>
        <v>10:00-17:30</v>
      </c>
      <c r="BF47" s="2">
        <f t="shared" si="35"/>
        <v>1</v>
      </c>
      <c r="BG47" s="2">
        <f t="shared" si="36"/>
        <v>0</v>
      </c>
      <c r="BH47" s="2">
        <f t="shared" si="37"/>
        <v>0</v>
      </c>
      <c r="BI47" s="2">
        <f t="shared" si="38"/>
        <v>0</v>
      </c>
      <c r="BJ47" s="2">
        <f t="shared" si="39"/>
        <v>0</v>
      </c>
    </row>
    <row r="48" spans="1:62">
      <c r="A48" s="17">
        <f t="shared" si="40"/>
        <v>45</v>
      </c>
      <c r="B48" s="16" t="str">
        <f>Morning_Shift!$B48</f>
        <v>Dritm125</v>
      </c>
      <c r="C48" s="21" t="str">
        <f>IF(IFERROR(VLOOKUP(B48,Morning_Shift!B:C,2,0),"")="",IFERROR(VLOOKUP(B48,Evening_Shift!B:C,2,0),""),IFERROR(VLOOKUP(B48,Morning_Shift!B:C,2,0),""))</f>
        <v>Rita</v>
      </c>
      <c r="D48" s="15" t="str">
        <f>IF(IFERROR(VLOOKUP(B48,Morning_Shift!B:D,3,0),"")="",IFERROR(VLOOKUP(B48,Evening_Shift!B:D,3,0),""),IFERROR(VLOOKUP(B48,Morning_Shift!B:D,3,0),""))</f>
        <v>Naina</v>
      </c>
      <c r="E48" s="4" t="str">
        <f>IF(IFERROR(VLOOKUP(B48,Morning_Shift!B:E,4,0),"")="",IFERROR(VLOOKUP(B48,Evening_Shift!B:E,4,0),""),IFERROR(VLOOKUP(B48,Morning_Shift!B:E,4,0),""))</f>
        <v>F</v>
      </c>
      <c r="F48" s="5" t="str">
        <f>IF(IFERROR(VLOOKUP(B48,Morning_Shift!B:F,5,0),"")="",IFERROR(VLOOKUP(B48,Evening_Shift!B:F,5,0),""),IFERROR(VLOOKUP(B48,Morning_Shift!B:F,5,0),""))</f>
        <v>Inbound</v>
      </c>
      <c r="G48" s="2" t="str">
        <f>IF(IFERROR(VLOOKUP($B48,Morning_Shift!$B$4:$BJ$61,MATCH(Both_Shift_Roster!G$2,Morning_Shift!$B$2:$BJ$2,0),0),"")="",IFERROR(VLOOKUP($B48,Evening_Shift!$B$4:$BJ$62,MATCH(Both_Shift_Roster!G$2,Evening_Shift!$B$2:$BJ$2,0),0),""),IFERROR(VLOOKUP($B48,Morning_Shift!$B$4:$BJ$61,MATCH(Both_Shift_Roster!G$2,Morning_Shift!$B$2:$BJ$2,0),0),""))</f>
        <v>7:00-14:30</v>
      </c>
      <c r="H48" s="2" t="str">
        <f>IF(IFERROR(VLOOKUP($B48,Morning_Shift!$B$4:$BJ$61,MATCH(Both_Shift_Roster!H$2,Morning_Shift!$B$2:$BJ$2,0),0),"")="",IFERROR(VLOOKUP($B48,Evening_Shift!$B$4:$BJ$62,MATCH(Both_Shift_Roster!H$2,Evening_Shift!$B$2:$BJ$2,0),0),""),IFERROR(VLOOKUP($B48,Morning_Shift!$B$4:$BJ$61,MATCH(Both_Shift_Roster!H$2,Morning_Shift!$B$2:$BJ$2,0),0),""))</f>
        <v>Agent Choice WO</v>
      </c>
      <c r="I48" s="2" t="str">
        <f>IF(IFERROR(VLOOKUP($B48,Morning_Shift!$B$4:$BJ$61,MATCH(Both_Shift_Roster!I$2,Morning_Shift!$B$2:$BJ$2,0),0),"")="",IFERROR(VLOOKUP($B48,Evening_Shift!$B$4:$BJ$62,MATCH(Both_Shift_Roster!I$2,Evening_Shift!$B$2:$BJ$2,0),0),""),IFERROR(VLOOKUP($B48,Morning_Shift!$B$4:$BJ$61,MATCH(Both_Shift_Roster!I$2,Morning_Shift!$B$2:$BJ$2,0),0),""))</f>
        <v>Agent Choice WO</v>
      </c>
      <c r="J48" s="2" t="str">
        <f>IF(IFERROR(VLOOKUP($B48,Morning_Shift!$B$4:$BJ$61,MATCH(Both_Shift_Roster!J$2,Morning_Shift!$B$2:$BJ$2,0),0),"")="",IFERROR(VLOOKUP($B48,Evening_Shift!$B$4:$BJ$62,MATCH(Both_Shift_Roster!J$2,Evening_Shift!$B$2:$BJ$2,0),0),""),IFERROR(VLOOKUP($B48,Morning_Shift!$B$4:$BJ$61,MATCH(Both_Shift_Roster!J$2,Morning_Shift!$B$2:$BJ$2,0),0),""))</f>
        <v>Agent Choice WO</v>
      </c>
      <c r="K48" s="2" t="str">
        <f>IF(IFERROR(VLOOKUP($B48,Morning_Shift!$B$4:$BJ$61,MATCH(Both_Shift_Roster!K$2,Morning_Shift!$B$2:$BJ$2,0),0),"")="",IFERROR(VLOOKUP($B48,Evening_Shift!$B$4:$BJ$62,MATCH(Both_Shift_Roster!K$2,Evening_Shift!$B$2:$BJ$2,0),0),""),IFERROR(VLOOKUP($B48,Morning_Shift!$B$4:$BJ$61,MATCH(Both_Shift_Roster!K$2,Morning_Shift!$B$2:$BJ$2,0),0),""))</f>
        <v>7:00-14:30</v>
      </c>
      <c r="L48" s="2" t="str">
        <f>IF(IFERROR(VLOOKUP($B48,Morning_Shift!$B$4:$BJ$61,MATCH(Both_Shift_Roster!L$2,Morning_Shift!$B$2:$BJ$2,0),0),"")="",IFERROR(VLOOKUP($B48,Evening_Shift!$B$4:$BJ$62,MATCH(Both_Shift_Roster!L$2,Evening_Shift!$B$2:$BJ$2,0),0),""),IFERROR(VLOOKUP($B48,Morning_Shift!$B$4:$BJ$61,MATCH(Both_Shift_Roster!L$2,Morning_Shift!$B$2:$BJ$2,0),0),""))</f>
        <v>7:00-14:30</v>
      </c>
      <c r="M48" s="2" t="str">
        <f>IF(IFERROR(VLOOKUP($B48,Morning_Shift!$B$4:$BJ$61,MATCH(Both_Shift_Roster!M$2,Morning_Shift!$B$2:$BJ$2,0),0),"")="",IFERROR(VLOOKUP($B48,Evening_Shift!$B$4:$BJ$62,MATCH(Both_Shift_Roster!M$2,Evening_Shift!$B$2:$BJ$2,0),0),""),IFERROR(VLOOKUP($B48,Morning_Shift!$B$4:$BJ$61,MATCH(Both_Shift_Roster!M$2,Morning_Shift!$B$2:$BJ$2,0),0),""))</f>
        <v>7:00-14:30</v>
      </c>
      <c r="N48" s="2">
        <f t="shared" si="15"/>
        <v>3</v>
      </c>
      <c r="O48" s="2">
        <f t="shared" si="16"/>
        <v>0</v>
      </c>
      <c r="P48" s="2">
        <f t="shared" si="17"/>
        <v>0</v>
      </c>
      <c r="Q48" s="2">
        <f t="shared" si="18"/>
        <v>0</v>
      </c>
      <c r="R48" s="2">
        <f t="shared" si="19"/>
        <v>0</v>
      </c>
      <c r="S48" s="2" t="str">
        <f>IF(IFERROR(VLOOKUP($B48,Morning_Shift!$B$4:$BJ$61,MATCH(Both_Shift_Roster!S$2,Morning_Shift!$B$2:$BJ$2,0),0),"")="",IFERROR(VLOOKUP($B48,Evening_Shift!$B$4:$BJ$62,MATCH(Both_Shift_Roster!S$2,Evening_Shift!$B$2:$BJ$2,0),0),""),IFERROR(VLOOKUP($B48,Morning_Shift!$B$4:$BJ$61,MATCH(Both_Shift_Roster!S$2,Morning_Shift!$B$2:$BJ$2,0),0),""))</f>
        <v>7:00-14:30</v>
      </c>
      <c r="T48" s="2" t="str">
        <f>IF(IFERROR(VLOOKUP($B48,Morning_Shift!$B$4:$BJ$61,MATCH(Both_Shift_Roster!T$2,Morning_Shift!$B$2:$BJ$2,0),0),"")="",IFERROR(VLOOKUP($B48,Evening_Shift!$B$4:$BJ$62,MATCH(Both_Shift_Roster!T$2,Evening_Shift!$B$2:$BJ$2,0),0),""),IFERROR(VLOOKUP($B48,Morning_Shift!$B$4:$BJ$61,MATCH(Both_Shift_Roster!T$2,Morning_Shift!$B$2:$BJ$2,0),0),""))</f>
        <v>7:00-14:30</v>
      </c>
      <c r="U48" s="2" t="str">
        <f>IF(IFERROR(VLOOKUP($B48,Morning_Shift!$B$4:$BJ$61,MATCH(Both_Shift_Roster!U$2,Morning_Shift!$B$2:$BJ$2,0),0),"")="",IFERROR(VLOOKUP($B48,Evening_Shift!$B$4:$BJ$62,MATCH(Both_Shift_Roster!U$2,Evening_Shift!$B$2:$BJ$2,0),0),""),IFERROR(VLOOKUP($B48,Morning_Shift!$B$4:$BJ$61,MATCH(Both_Shift_Roster!U$2,Morning_Shift!$B$2:$BJ$2,0),0),""))</f>
        <v>7:00-14:30</v>
      </c>
      <c r="V48" s="2" t="str">
        <f>IF(IFERROR(VLOOKUP($B48,Morning_Shift!$B$4:$BJ$61,MATCH(Both_Shift_Roster!V$2,Morning_Shift!$B$2:$BJ$2,0),0),"")="",IFERROR(VLOOKUP($B48,Evening_Shift!$B$4:$BJ$62,MATCH(Both_Shift_Roster!V$2,Evening_Shift!$B$2:$BJ$2,0),0),""),IFERROR(VLOOKUP($B48,Morning_Shift!$B$4:$BJ$61,MATCH(Both_Shift_Roster!V$2,Morning_Shift!$B$2:$BJ$2,0),0),""))</f>
        <v>7:00-14:30</v>
      </c>
      <c r="W48" s="2" t="str">
        <f>IF(IFERROR(VLOOKUP($B48,Morning_Shift!$B$4:$BJ$61,MATCH(Both_Shift_Roster!W$2,Morning_Shift!$B$2:$BJ$2,0),0),"")="",IFERROR(VLOOKUP($B48,Evening_Shift!$B$4:$BJ$62,MATCH(Both_Shift_Roster!W$2,Evening_Shift!$B$2:$BJ$2,0),0),""),IFERROR(VLOOKUP($B48,Morning_Shift!$B$4:$BJ$61,MATCH(Both_Shift_Roster!W$2,Morning_Shift!$B$2:$BJ$2,0),0),""))</f>
        <v>7:00-14:30</v>
      </c>
      <c r="X48" s="2" t="str">
        <f>IF(IFERROR(VLOOKUP($B48,Morning_Shift!$B$4:$BJ$61,MATCH(Both_Shift_Roster!X$2,Morning_Shift!$B$2:$BJ$2,0),0),"")="",IFERROR(VLOOKUP($B48,Evening_Shift!$B$4:$BJ$62,MATCH(Both_Shift_Roster!X$2,Evening_Shift!$B$2:$BJ$2,0),0),""),IFERROR(VLOOKUP($B48,Morning_Shift!$B$4:$BJ$61,MATCH(Both_Shift_Roster!X$2,Morning_Shift!$B$2:$BJ$2,0),0),""))</f>
        <v>7:00-14:30</v>
      </c>
      <c r="Y48" s="2" t="str">
        <f>IF(IFERROR(VLOOKUP($B48,Morning_Shift!$B$4:$BJ$61,MATCH(Both_Shift_Roster!Y$2,Morning_Shift!$B$2:$BJ$2,0),0),"")="",IFERROR(VLOOKUP($B48,Evening_Shift!$B$4:$BJ$62,MATCH(Both_Shift_Roster!Y$2,Evening_Shift!$B$2:$BJ$2,0),0),""),IFERROR(VLOOKUP($B48,Morning_Shift!$B$4:$BJ$61,MATCH(Both_Shift_Roster!Y$2,Morning_Shift!$B$2:$BJ$2,0),0),""))</f>
        <v>7:00-14:30</v>
      </c>
      <c r="Z48" s="2">
        <f t="shared" si="20"/>
        <v>0</v>
      </c>
      <c r="AA48" s="2">
        <f t="shared" si="21"/>
        <v>0</v>
      </c>
      <c r="AB48" s="2">
        <f t="shared" si="22"/>
        <v>0</v>
      </c>
      <c r="AC48" s="2">
        <f t="shared" si="23"/>
        <v>0</v>
      </c>
      <c r="AD48" s="2">
        <f t="shared" si="24"/>
        <v>0</v>
      </c>
      <c r="AE48" s="2" t="str">
        <f>IF(IFERROR(VLOOKUP($B48,Morning_Shift!$B$4:$BJ$61,MATCH(Both_Shift_Roster!AE$2,Morning_Shift!$B$2:$BJ$2,0),0),"")="",IFERROR(VLOOKUP($B48,Evening_Shift!$B$4:$BJ$62,MATCH(Both_Shift_Roster!AE$2,Evening_Shift!$B$2:$BJ$2,0),0),""),IFERROR(VLOOKUP($B48,Morning_Shift!$B$4:$BJ$61,MATCH(Both_Shift_Roster!AE$2,Morning_Shift!$B$2:$BJ$2,0),0),""))</f>
        <v>7:00-14:30</v>
      </c>
      <c r="AF48" s="2" t="str">
        <f>IF(IFERROR(VLOOKUP($B48,Morning_Shift!$B$4:$BJ$61,MATCH(Both_Shift_Roster!AF$2,Morning_Shift!$B$2:$BJ$2,0),0),"")="",IFERROR(VLOOKUP($B48,Evening_Shift!$B$4:$BJ$62,MATCH(Both_Shift_Roster!AF$2,Evening_Shift!$B$2:$BJ$2,0),0),""),IFERROR(VLOOKUP($B48,Morning_Shift!$B$4:$BJ$61,MATCH(Both_Shift_Roster!AF$2,Morning_Shift!$B$2:$BJ$2,0),0),""))</f>
        <v>7:00-14:30</v>
      </c>
      <c r="AG48" s="2" t="str">
        <f>IF(IFERROR(VLOOKUP($B48,Morning_Shift!$B$4:$BJ$61,MATCH(Both_Shift_Roster!AG$2,Morning_Shift!$B$2:$BJ$2,0),0),"")="",IFERROR(VLOOKUP($B48,Evening_Shift!$B$4:$BJ$62,MATCH(Both_Shift_Roster!AG$2,Evening_Shift!$B$2:$BJ$2,0),0),""),IFERROR(VLOOKUP($B48,Morning_Shift!$B$4:$BJ$61,MATCH(Both_Shift_Roster!AG$2,Morning_Shift!$B$2:$BJ$2,0),0),""))</f>
        <v>7:00-14:30</v>
      </c>
      <c r="AH48" s="2" t="str">
        <f>IF(IFERROR(VLOOKUP($B48,Morning_Shift!$B$4:$BJ$61,MATCH(Both_Shift_Roster!AH$2,Morning_Shift!$B$2:$BJ$2,0),0),"")="",IFERROR(VLOOKUP($B48,Evening_Shift!$B$4:$BJ$62,MATCH(Both_Shift_Roster!AH$2,Evening_Shift!$B$2:$BJ$2,0),0),""),IFERROR(VLOOKUP($B48,Morning_Shift!$B$4:$BJ$61,MATCH(Both_Shift_Roster!AH$2,Morning_Shift!$B$2:$BJ$2,0),0),""))</f>
        <v>7:00-14:30</v>
      </c>
      <c r="AI48" s="2" t="str">
        <f>IF(IFERROR(VLOOKUP($B48,Morning_Shift!$B$4:$BJ$61,MATCH(Both_Shift_Roster!AI$2,Morning_Shift!$B$2:$BJ$2,0),0),"")="",IFERROR(VLOOKUP($B48,Evening_Shift!$B$4:$BJ$62,MATCH(Both_Shift_Roster!AI$2,Evening_Shift!$B$2:$BJ$2,0),0),""),IFERROR(VLOOKUP($B48,Morning_Shift!$B$4:$BJ$61,MATCH(Both_Shift_Roster!AI$2,Morning_Shift!$B$2:$BJ$2,0),0),""))</f>
        <v>Agent Choice WO</v>
      </c>
      <c r="AJ48" s="2" t="str">
        <f>IF(IFERROR(VLOOKUP($B48,Morning_Shift!$B$4:$BJ$61,MATCH(Both_Shift_Roster!AJ$2,Morning_Shift!$B$2:$BJ$2,0),0),"")="",IFERROR(VLOOKUP($B48,Evening_Shift!$B$4:$BJ$62,MATCH(Both_Shift_Roster!AJ$2,Evening_Shift!$B$2:$BJ$2,0),0),""),IFERROR(VLOOKUP($B48,Morning_Shift!$B$4:$BJ$61,MATCH(Both_Shift_Roster!AJ$2,Morning_Shift!$B$2:$BJ$2,0),0),""))</f>
        <v>7:00-14:30</v>
      </c>
      <c r="AK48" s="2" t="str">
        <f>IF(IFERROR(VLOOKUP($B48,Morning_Shift!$B$4:$BJ$61,MATCH(Both_Shift_Roster!AK$2,Morning_Shift!$B$2:$BJ$2,0),0),"")="",IFERROR(VLOOKUP($B48,Evening_Shift!$B$4:$BJ$62,MATCH(Both_Shift_Roster!AK$2,Evening_Shift!$B$2:$BJ$2,0),0),""),IFERROR(VLOOKUP($B48,Morning_Shift!$B$4:$BJ$61,MATCH(Both_Shift_Roster!AK$2,Morning_Shift!$B$2:$BJ$2,0),0),""))</f>
        <v>7:00-14:30</v>
      </c>
      <c r="AL48" s="2">
        <f t="shared" si="25"/>
        <v>1</v>
      </c>
      <c r="AM48" s="2">
        <f t="shared" si="26"/>
        <v>0</v>
      </c>
      <c r="AN48" s="2">
        <f t="shared" si="27"/>
        <v>0</v>
      </c>
      <c r="AO48" s="2">
        <f t="shared" si="28"/>
        <v>0</v>
      </c>
      <c r="AP48" s="2">
        <f t="shared" si="29"/>
        <v>0</v>
      </c>
      <c r="AQ48" s="2" t="str">
        <f>IF(IFERROR(VLOOKUP($B48,Morning_Shift!$B$4:$BJ$61,MATCH(Both_Shift_Roster!AQ$2,Morning_Shift!$B$2:$BJ$2,0),0),"")="",IFERROR(VLOOKUP($B48,Evening_Shift!$B$4:$BJ$62,MATCH(Both_Shift_Roster!AQ$2,Evening_Shift!$B$2:$BJ$2,0),0),""),IFERROR(VLOOKUP($B48,Morning_Shift!$B$4:$BJ$61,MATCH(Both_Shift_Roster!AQ$2,Morning_Shift!$B$2:$BJ$2,0),0),""))</f>
        <v>7:00-14:30</v>
      </c>
      <c r="AR48" s="2" t="str">
        <f>IF(IFERROR(VLOOKUP($B48,Morning_Shift!$B$4:$BJ$61,MATCH(Both_Shift_Roster!AR$2,Morning_Shift!$B$2:$BJ$2,0),0),"")="",IFERROR(VLOOKUP($B48,Evening_Shift!$B$4:$BJ$62,MATCH(Both_Shift_Roster!AR$2,Evening_Shift!$B$2:$BJ$2,0),0),""),IFERROR(VLOOKUP($B48,Morning_Shift!$B$4:$BJ$61,MATCH(Both_Shift_Roster!AR$2,Morning_Shift!$B$2:$BJ$2,0),0),""))</f>
        <v>7:00-14:30</v>
      </c>
      <c r="AS48" s="2" t="str">
        <f>IF(IFERROR(VLOOKUP($B48,Morning_Shift!$B$4:$BJ$61,MATCH(Both_Shift_Roster!AS$2,Morning_Shift!$B$2:$BJ$2,0),0),"")="",IFERROR(VLOOKUP($B48,Evening_Shift!$B$4:$BJ$62,MATCH(Both_Shift_Roster!AS$2,Evening_Shift!$B$2:$BJ$2,0),0),""),IFERROR(VLOOKUP($B48,Morning_Shift!$B$4:$BJ$61,MATCH(Both_Shift_Roster!AS$2,Morning_Shift!$B$2:$BJ$2,0),0),""))</f>
        <v>7:00-14:30</v>
      </c>
      <c r="AT48" s="2" t="str">
        <f>IF(IFERROR(VLOOKUP($B48,Morning_Shift!$B$4:$BJ$61,MATCH(Both_Shift_Roster!AT$2,Morning_Shift!$B$2:$BJ$2,0),0),"")="",IFERROR(VLOOKUP($B48,Evening_Shift!$B$4:$BJ$62,MATCH(Both_Shift_Roster!AT$2,Evening_Shift!$B$2:$BJ$2,0),0),""),IFERROR(VLOOKUP($B48,Morning_Shift!$B$4:$BJ$61,MATCH(Both_Shift_Roster!AT$2,Morning_Shift!$B$2:$BJ$2,0),0),""))</f>
        <v>7:00-14:30</v>
      </c>
      <c r="AU48" s="2" t="str">
        <f>IF(IFERROR(VLOOKUP($B48,Morning_Shift!$B$4:$BJ$61,MATCH(Both_Shift_Roster!AU$2,Morning_Shift!$B$2:$BJ$2,0),0),"")="",IFERROR(VLOOKUP($B48,Evening_Shift!$B$4:$BJ$62,MATCH(Both_Shift_Roster!AU$2,Evening_Shift!$B$2:$BJ$2,0),0),""),IFERROR(VLOOKUP($B48,Morning_Shift!$B$4:$BJ$61,MATCH(Both_Shift_Roster!AU$2,Morning_Shift!$B$2:$BJ$2,0),0),""))</f>
        <v>7:00-14:30</v>
      </c>
      <c r="AV48" s="2" t="str">
        <f>IF(IFERROR(VLOOKUP($B48,Morning_Shift!$B$4:$BJ$61,MATCH(Both_Shift_Roster!AV$2,Morning_Shift!$B$2:$BJ$2,0),0),"")="",IFERROR(VLOOKUP($B48,Evening_Shift!$B$4:$BJ$62,MATCH(Both_Shift_Roster!AV$2,Evening_Shift!$B$2:$BJ$2,0),0),""),IFERROR(VLOOKUP($B48,Morning_Shift!$B$4:$BJ$61,MATCH(Both_Shift_Roster!AV$2,Morning_Shift!$B$2:$BJ$2,0),0),""))</f>
        <v>7:00-14:30</v>
      </c>
      <c r="AW48" s="2" t="str">
        <f>IF(IFERROR(VLOOKUP($B48,Morning_Shift!$B$4:$BJ$61,MATCH(Both_Shift_Roster!AW$2,Morning_Shift!$B$2:$BJ$2,0),0),"")="",IFERROR(VLOOKUP($B48,Evening_Shift!$B$4:$BJ$62,MATCH(Both_Shift_Roster!AW$2,Evening_Shift!$B$2:$BJ$2,0),0),""),IFERROR(VLOOKUP($B48,Morning_Shift!$B$4:$BJ$61,MATCH(Both_Shift_Roster!AW$2,Morning_Shift!$B$2:$BJ$2,0),0),""))</f>
        <v>7:00-14:30</v>
      </c>
      <c r="AX48" s="2">
        <f t="shared" si="30"/>
        <v>0</v>
      </c>
      <c r="AY48" s="2">
        <f t="shared" si="31"/>
        <v>0</v>
      </c>
      <c r="AZ48" s="2">
        <f t="shared" si="32"/>
        <v>0</v>
      </c>
      <c r="BA48" s="2">
        <f t="shared" si="33"/>
        <v>0</v>
      </c>
      <c r="BB48" s="2">
        <f t="shared" si="34"/>
        <v>0</v>
      </c>
      <c r="BC48" s="2" t="str">
        <f>IF(IFERROR(VLOOKUP($B48,Morning_Shift!$B$4:$BJ$61,MATCH(Both_Shift_Roster!BC$2,Morning_Shift!$B$2:$BJ$2,0),0),"")="",IFERROR(VLOOKUP($B48,Evening_Shift!$B$4:$BJ$62,MATCH(Both_Shift_Roster!BC$2,Evening_Shift!$B$2:$BJ$2,0),0),""),IFERROR(VLOOKUP($B48,Morning_Shift!$B$4:$BJ$61,MATCH(Both_Shift_Roster!BC$2,Morning_Shift!$B$2:$BJ$2,0),0),""))</f>
        <v>7:00-14:30</v>
      </c>
      <c r="BD48" s="2" t="str">
        <f>IF(IFERROR(VLOOKUP($B48,Morning_Shift!$B$4:$BJ$61,MATCH(Both_Shift_Roster!BD$2,Morning_Shift!$B$2:$BJ$2,0),0),"")="",IFERROR(VLOOKUP($B48,Evening_Shift!$B$4:$BJ$62,MATCH(Both_Shift_Roster!BD$2,Evening_Shift!$B$2:$BJ$2,0),0),""),IFERROR(VLOOKUP($B48,Morning_Shift!$B$4:$BJ$61,MATCH(Both_Shift_Roster!BD$2,Morning_Shift!$B$2:$BJ$2,0),0),""))</f>
        <v>7:00-14:30</v>
      </c>
      <c r="BE48" s="2" t="str">
        <f>IF(IFERROR(VLOOKUP($B48,Morning_Shift!$B$4:$BJ$61,MATCH(Both_Shift_Roster!BE$2,Morning_Shift!$B$2:$BJ$2,0),0),"")="",IFERROR(VLOOKUP($B48,Evening_Shift!$B$4:$BJ$59,MATCH(Both_Shift_Roster!BE$2,Evening_Shift!$B$2:$BJ$2,0),0),""),IFERROR(VLOOKUP($B48,Morning_Shift!$B$4:$BJ$61,MATCH(Both_Shift_Roster!BE$2,Morning_Shift!$B$2:$BJ$2,0),0),""))</f>
        <v>7:00-14:30</v>
      </c>
      <c r="BF48" s="2">
        <f t="shared" si="35"/>
        <v>0</v>
      </c>
      <c r="BG48" s="2">
        <f t="shared" si="36"/>
        <v>0</v>
      </c>
      <c r="BH48" s="2">
        <f t="shared" si="37"/>
        <v>0</v>
      </c>
      <c r="BI48" s="2">
        <f t="shared" si="38"/>
        <v>0</v>
      </c>
      <c r="BJ48" s="2">
        <f t="shared" si="39"/>
        <v>0</v>
      </c>
    </row>
    <row r="49" spans="1:62">
      <c r="A49" s="17">
        <f t="shared" si="40"/>
        <v>46</v>
      </c>
      <c r="B49" s="16" t="str">
        <f>Morning_Shift!$B49</f>
        <v>Dritm36</v>
      </c>
      <c r="C49" s="21" t="str">
        <f>IF(IFERROR(VLOOKUP(B49,Morning_Shift!B:C,2,0),"")="",IFERROR(VLOOKUP(B49,Evening_Shift!B:C,2,0),""),IFERROR(VLOOKUP(B49,Morning_Shift!B:C,2,0),""))</f>
        <v xml:space="preserve">Riya Nautiyal </v>
      </c>
      <c r="D49" s="15" t="str">
        <f>IF(IFERROR(VLOOKUP(B49,Morning_Shift!B:D,3,0),"")="",IFERROR(VLOOKUP(B49,Evening_Shift!B:D,3,0),""),IFERROR(VLOOKUP(B49,Morning_Shift!B:D,3,0),""))</f>
        <v>Naina</v>
      </c>
      <c r="E49" s="4" t="str">
        <f>IF(IFERROR(VLOOKUP(B49,Morning_Shift!B:E,4,0),"")="",IFERROR(VLOOKUP(B49,Evening_Shift!B:E,4,0),""),IFERROR(VLOOKUP(B49,Morning_Shift!B:E,4,0),""))</f>
        <v>F</v>
      </c>
      <c r="F49" s="5" t="str">
        <f>IF(IFERROR(VLOOKUP(B49,Morning_Shift!B:F,5,0),"")="",IFERROR(VLOOKUP(B49,Evening_Shift!B:F,5,0),""),IFERROR(VLOOKUP(B49,Morning_Shift!B:F,5,0),""))</f>
        <v>DDTG</v>
      </c>
      <c r="G49" s="2" t="str">
        <f>IF(IFERROR(VLOOKUP($B49,Morning_Shift!$B$4:$BJ$61,MATCH(Both_Shift_Roster!G$2,Morning_Shift!$B$2:$BJ$2,0),0),"")="",IFERROR(VLOOKUP($B49,Evening_Shift!$B$4:$BJ$62,MATCH(Both_Shift_Roster!G$2,Evening_Shift!$B$2:$BJ$2,0),0),""),IFERROR(VLOOKUP($B49,Morning_Shift!$B$4:$BJ$61,MATCH(Both_Shift_Roster!G$2,Morning_Shift!$B$2:$BJ$2,0),0),""))</f>
        <v>10:00-17:00</v>
      </c>
      <c r="H49" s="2" t="str">
        <f>IF(IFERROR(VLOOKUP($B49,Morning_Shift!$B$4:$BJ$61,MATCH(Both_Shift_Roster!H$2,Morning_Shift!$B$2:$BJ$2,0),0),"")="",IFERROR(VLOOKUP($B49,Evening_Shift!$B$4:$BJ$62,MATCH(Both_Shift_Roster!H$2,Evening_Shift!$B$2:$BJ$2,0),0),""),IFERROR(VLOOKUP($B49,Morning_Shift!$B$4:$BJ$61,MATCH(Both_Shift_Roster!H$2,Morning_Shift!$B$2:$BJ$2,0),0),""))</f>
        <v>10:00-17:00</v>
      </c>
      <c r="I49" s="2" t="str">
        <f>IF(IFERROR(VLOOKUP($B49,Morning_Shift!$B$4:$BJ$61,MATCH(Both_Shift_Roster!I$2,Morning_Shift!$B$2:$BJ$2,0),0),"")="",IFERROR(VLOOKUP($B49,Evening_Shift!$B$4:$BJ$62,MATCH(Both_Shift_Roster!I$2,Evening_Shift!$B$2:$BJ$2,0),0),""),IFERROR(VLOOKUP($B49,Morning_Shift!$B$4:$BJ$61,MATCH(Both_Shift_Roster!I$2,Morning_Shift!$B$2:$BJ$2,0),0),""))</f>
        <v>10:00-17:00</v>
      </c>
      <c r="J49" s="2" t="str">
        <f>IF(IFERROR(VLOOKUP($B49,Morning_Shift!$B$4:$BJ$61,MATCH(Both_Shift_Roster!J$2,Morning_Shift!$B$2:$BJ$2,0),0),"")="",IFERROR(VLOOKUP($B49,Evening_Shift!$B$4:$BJ$62,MATCH(Both_Shift_Roster!J$2,Evening_Shift!$B$2:$BJ$2,0),0),""),IFERROR(VLOOKUP($B49,Morning_Shift!$B$4:$BJ$61,MATCH(Both_Shift_Roster!J$2,Morning_Shift!$B$2:$BJ$2,0),0),""))</f>
        <v>Agent Choice WO</v>
      </c>
      <c r="K49" s="2" t="str">
        <f>IF(IFERROR(VLOOKUP($B49,Morning_Shift!$B$4:$BJ$61,MATCH(Both_Shift_Roster!K$2,Morning_Shift!$B$2:$BJ$2,0),0),"")="",IFERROR(VLOOKUP($B49,Evening_Shift!$B$4:$BJ$62,MATCH(Both_Shift_Roster!K$2,Evening_Shift!$B$2:$BJ$2,0),0),""),IFERROR(VLOOKUP($B49,Morning_Shift!$B$4:$BJ$61,MATCH(Both_Shift_Roster!K$2,Morning_Shift!$B$2:$BJ$2,0),0),""))</f>
        <v>10:00-17:00</v>
      </c>
      <c r="L49" s="2" t="str">
        <f>IF(IFERROR(VLOOKUP($B49,Morning_Shift!$B$4:$BJ$61,MATCH(Both_Shift_Roster!L$2,Morning_Shift!$B$2:$BJ$2,0),0),"")="",IFERROR(VLOOKUP($B49,Evening_Shift!$B$4:$BJ$62,MATCH(Both_Shift_Roster!L$2,Evening_Shift!$B$2:$BJ$2,0),0),""),IFERROR(VLOOKUP($B49,Morning_Shift!$B$4:$BJ$61,MATCH(Both_Shift_Roster!L$2,Morning_Shift!$B$2:$BJ$2,0),0),""))</f>
        <v>Agent Choice WO</v>
      </c>
      <c r="M49" s="2" t="str">
        <f>IF(IFERROR(VLOOKUP($B49,Morning_Shift!$B$4:$BJ$61,MATCH(Both_Shift_Roster!M$2,Morning_Shift!$B$2:$BJ$2,0),0),"")="",IFERROR(VLOOKUP($B49,Evening_Shift!$B$4:$BJ$62,MATCH(Both_Shift_Roster!M$2,Evening_Shift!$B$2:$BJ$2,0),0),""),IFERROR(VLOOKUP($B49,Morning_Shift!$B$4:$BJ$61,MATCH(Both_Shift_Roster!M$2,Morning_Shift!$B$2:$BJ$2,0),0),""))</f>
        <v>10:00-17:00</v>
      </c>
      <c r="N49" s="2">
        <f t="shared" si="15"/>
        <v>2</v>
      </c>
      <c r="O49" s="2">
        <f t="shared" si="16"/>
        <v>0</v>
      </c>
      <c r="P49" s="2">
        <f t="shared" si="17"/>
        <v>0</v>
      </c>
      <c r="Q49" s="2">
        <f t="shared" si="18"/>
        <v>0</v>
      </c>
      <c r="R49" s="2">
        <f t="shared" si="19"/>
        <v>0</v>
      </c>
      <c r="S49" s="2" t="str">
        <f>IF(IFERROR(VLOOKUP($B49,Morning_Shift!$B$4:$BJ$61,MATCH(Both_Shift_Roster!S$2,Morning_Shift!$B$2:$BJ$2,0),0),"")="",IFERROR(VLOOKUP($B49,Evening_Shift!$B$4:$BJ$62,MATCH(Both_Shift_Roster!S$2,Evening_Shift!$B$2:$BJ$2,0),0),""),IFERROR(VLOOKUP($B49,Morning_Shift!$B$4:$BJ$61,MATCH(Both_Shift_Roster!S$2,Morning_Shift!$B$2:$BJ$2,0),0),""))</f>
        <v>10:00-17:00</v>
      </c>
      <c r="T49" s="2" t="str">
        <f>IF(IFERROR(VLOOKUP($B49,Morning_Shift!$B$4:$BJ$61,MATCH(Both_Shift_Roster!T$2,Morning_Shift!$B$2:$BJ$2,0),0),"")="",IFERROR(VLOOKUP($B49,Evening_Shift!$B$4:$BJ$62,MATCH(Both_Shift_Roster!T$2,Evening_Shift!$B$2:$BJ$2,0),0),""),IFERROR(VLOOKUP($B49,Morning_Shift!$B$4:$BJ$61,MATCH(Both_Shift_Roster!T$2,Morning_Shift!$B$2:$BJ$2,0),0),""))</f>
        <v>10:00-17:00</v>
      </c>
      <c r="U49" s="2" t="str">
        <f>IF(IFERROR(VLOOKUP($B49,Morning_Shift!$B$4:$BJ$61,MATCH(Both_Shift_Roster!U$2,Morning_Shift!$B$2:$BJ$2,0),0),"")="",IFERROR(VLOOKUP($B49,Evening_Shift!$B$4:$BJ$62,MATCH(Both_Shift_Roster!U$2,Evening_Shift!$B$2:$BJ$2,0),0),""),IFERROR(VLOOKUP($B49,Morning_Shift!$B$4:$BJ$61,MATCH(Both_Shift_Roster!U$2,Morning_Shift!$B$2:$BJ$2,0),0),""))</f>
        <v>10:00-17:00</v>
      </c>
      <c r="V49" s="2" t="str">
        <f>IF(IFERROR(VLOOKUP($B49,Morning_Shift!$B$4:$BJ$61,MATCH(Both_Shift_Roster!V$2,Morning_Shift!$B$2:$BJ$2,0),0),"")="",IFERROR(VLOOKUP($B49,Evening_Shift!$B$4:$BJ$62,MATCH(Both_Shift_Roster!V$2,Evening_Shift!$B$2:$BJ$2,0),0),""),IFERROR(VLOOKUP($B49,Morning_Shift!$B$4:$BJ$61,MATCH(Both_Shift_Roster!V$2,Morning_Shift!$B$2:$BJ$2,0),0),""))</f>
        <v>10:00-17:00</v>
      </c>
      <c r="W49" s="2" t="str">
        <f>IF(IFERROR(VLOOKUP($B49,Morning_Shift!$B$4:$BJ$61,MATCH(Both_Shift_Roster!W$2,Morning_Shift!$B$2:$BJ$2,0),0),"")="",IFERROR(VLOOKUP($B49,Evening_Shift!$B$4:$BJ$62,MATCH(Both_Shift_Roster!W$2,Evening_Shift!$B$2:$BJ$2,0),0),""),IFERROR(VLOOKUP($B49,Morning_Shift!$B$4:$BJ$61,MATCH(Both_Shift_Roster!W$2,Morning_Shift!$B$2:$BJ$2,0),0),""))</f>
        <v>Agent Choice WO</v>
      </c>
      <c r="X49" s="2" t="str">
        <f>IF(IFERROR(VLOOKUP($B49,Morning_Shift!$B$4:$BJ$61,MATCH(Both_Shift_Roster!X$2,Morning_Shift!$B$2:$BJ$2,0),0),"")="",IFERROR(VLOOKUP($B49,Evening_Shift!$B$4:$BJ$62,MATCH(Both_Shift_Roster!X$2,Evening_Shift!$B$2:$BJ$2,0),0),""),IFERROR(VLOOKUP($B49,Morning_Shift!$B$4:$BJ$61,MATCH(Both_Shift_Roster!X$2,Morning_Shift!$B$2:$BJ$2,0),0),""))</f>
        <v>Agent Choice WO</v>
      </c>
      <c r="Y49" s="2" t="str">
        <f>IF(IFERROR(VLOOKUP($B49,Morning_Shift!$B$4:$BJ$61,MATCH(Both_Shift_Roster!Y$2,Morning_Shift!$B$2:$BJ$2,0),0),"")="",IFERROR(VLOOKUP($B49,Evening_Shift!$B$4:$BJ$62,MATCH(Both_Shift_Roster!Y$2,Evening_Shift!$B$2:$BJ$2,0),0),""),IFERROR(VLOOKUP($B49,Morning_Shift!$B$4:$BJ$61,MATCH(Both_Shift_Roster!Y$2,Morning_Shift!$B$2:$BJ$2,0),0),""))</f>
        <v>10:00-17:00</v>
      </c>
      <c r="Z49" s="2">
        <f t="shared" si="20"/>
        <v>2</v>
      </c>
      <c r="AA49" s="2">
        <f t="shared" si="21"/>
        <v>0</v>
      </c>
      <c r="AB49" s="2">
        <f t="shared" si="22"/>
        <v>0</v>
      </c>
      <c r="AC49" s="2">
        <f t="shared" si="23"/>
        <v>0</v>
      </c>
      <c r="AD49" s="2">
        <f t="shared" si="24"/>
        <v>0</v>
      </c>
      <c r="AE49" s="2" t="str">
        <f>IF(IFERROR(VLOOKUP($B49,Morning_Shift!$B$4:$BJ$61,MATCH(Both_Shift_Roster!AE$2,Morning_Shift!$B$2:$BJ$2,0),0),"")="",IFERROR(VLOOKUP($B49,Evening_Shift!$B$4:$BJ$62,MATCH(Both_Shift_Roster!AE$2,Evening_Shift!$B$2:$BJ$2,0),0),""),IFERROR(VLOOKUP($B49,Morning_Shift!$B$4:$BJ$61,MATCH(Both_Shift_Roster!AE$2,Morning_Shift!$B$2:$BJ$2,0),0),""))</f>
        <v>10:00-17:00</v>
      </c>
      <c r="AF49" s="2" t="str">
        <f>IF(IFERROR(VLOOKUP($B49,Morning_Shift!$B$4:$BJ$61,MATCH(Both_Shift_Roster!AF$2,Morning_Shift!$B$2:$BJ$2,0),0),"")="",IFERROR(VLOOKUP($B49,Evening_Shift!$B$4:$BJ$62,MATCH(Both_Shift_Roster!AF$2,Evening_Shift!$B$2:$BJ$2,0),0),""),IFERROR(VLOOKUP($B49,Morning_Shift!$B$4:$BJ$61,MATCH(Both_Shift_Roster!AF$2,Morning_Shift!$B$2:$BJ$2,0),0),""))</f>
        <v>10:00-17:00</v>
      </c>
      <c r="AG49" s="2" t="str">
        <f>IF(IFERROR(VLOOKUP($B49,Morning_Shift!$B$4:$BJ$61,MATCH(Both_Shift_Roster!AG$2,Morning_Shift!$B$2:$BJ$2,0),0),"")="",IFERROR(VLOOKUP($B49,Evening_Shift!$B$4:$BJ$62,MATCH(Both_Shift_Roster!AG$2,Evening_Shift!$B$2:$BJ$2,0),0),""),IFERROR(VLOOKUP($B49,Morning_Shift!$B$4:$BJ$61,MATCH(Both_Shift_Roster!AG$2,Morning_Shift!$B$2:$BJ$2,0),0),""))</f>
        <v>10:00-17:00</v>
      </c>
      <c r="AH49" s="2" t="str">
        <f>IF(IFERROR(VLOOKUP($B49,Morning_Shift!$B$4:$BJ$61,MATCH(Both_Shift_Roster!AH$2,Morning_Shift!$B$2:$BJ$2,0),0),"")="",IFERROR(VLOOKUP($B49,Evening_Shift!$B$4:$BJ$62,MATCH(Both_Shift_Roster!AH$2,Evening_Shift!$B$2:$BJ$2,0),0),""),IFERROR(VLOOKUP($B49,Morning_Shift!$B$4:$BJ$61,MATCH(Both_Shift_Roster!AH$2,Morning_Shift!$B$2:$BJ$2,0),0),""))</f>
        <v>10:00-17:00</v>
      </c>
      <c r="AI49" s="2" t="str">
        <f>IF(IFERROR(VLOOKUP($B49,Morning_Shift!$B$4:$BJ$61,MATCH(Both_Shift_Roster!AI$2,Morning_Shift!$B$2:$BJ$2,0),0),"")="",IFERROR(VLOOKUP($B49,Evening_Shift!$B$4:$BJ$62,MATCH(Both_Shift_Roster!AI$2,Evening_Shift!$B$2:$BJ$2,0),0),""),IFERROR(VLOOKUP($B49,Morning_Shift!$B$4:$BJ$61,MATCH(Both_Shift_Roster!AI$2,Morning_Shift!$B$2:$BJ$2,0),0),""))</f>
        <v>10:00-17:00</v>
      </c>
      <c r="AJ49" s="2" t="str">
        <f>IF(IFERROR(VLOOKUP($B49,Morning_Shift!$B$4:$BJ$61,MATCH(Both_Shift_Roster!AJ$2,Morning_Shift!$B$2:$BJ$2,0),0),"")="",IFERROR(VLOOKUP($B49,Evening_Shift!$B$4:$BJ$62,MATCH(Both_Shift_Roster!AJ$2,Evening_Shift!$B$2:$BJ$2,0),0),""),IFERROR(VLOOKUP($B49,Morning_Shift!$B$4:$BJ$61,MATCH(Both_Shift_Roster!AJ$2,Morning_Shift!$B$2:$BJ$2,0),0),""))</f>
        <v>Agent Choice WO</v>
      </c>
      <c r="AK49" s="2" t="str">
        <f>IF(IFERROR(VLOOKUP($B49,Morning_Shift!$B$4:$BJ$61,MATCH(Both_Shift_Roster!AK$2,Morning_Shift!$B$2:$BJ$2,0),0),"")="",IFERROR(VLOOKUP($B49,Evening_Shift!$B$4:$BJ$62,MATCH(Both_Shift_Roster!AK$2,Evening_Shift!$B$2:$BJ$2,0),0),""),IFERROR(VLOOKUP($B49,Morning_Shift!$B$4:$BJ$61,MATCH(Both_Shift_Roster!AK$2,Morning_Shift!$B$2:$BJ$2,0),0),""))</f>
        <v>10:00-17:00</v>
      </c>
      <c r="AL49" s="2">
        <f t="shared" si="25"/>
        <v>1</v>
      </c>
      <c r="AM49" s="2">
        <f t="shared" si="26"/>
        <v>0</v>
      </c>
      <c r="AN49" s="2">
        <f t="shared" si="27"/>
        <v>0</v>
      </c>
      <c r="AO49" s="2">
        <f t="shared" si="28"/>
        <v>0</v>
      </c>
      <c r="AP49" s="2">
        <f t="shared" si="29"/>
        <v>0</v>
      </c>
      <c r="AQ49" s="2" t="str">
        <f>IF(IFERROR(VLOOKUP($B49,Morning_Shift!$B$4:$BJ$61,MATCH(Both_Shift_Roster!AQ$2,Morning_Shift!$B$2:$BJ$2,0),0),"")="",IFERROR(VLOOKUP($B49,Evening_Shift!$B$4:$BJ$62,MATCH(Both_Shift_Roster!AQ$2,Evening_Shift!$B$2:$BJ$2,0),0),""),IFERROR(VLOOKUP($B49,Morning_Shift!$B$4:$BJ$61,MATCH(Both_Shift_Roster!AQ$2,Morning_Shift!$B$2:$BJ$2,0),0),""))</f>
        <v>10:00-17:00</v>
      </c>
      <c r="AR49" s="2" t="str">
        <f>IF(IFERROR(VLOOKUP($B49,Morning_Shift!$B$4:$BJ$61,MATCH(Both_Shift_Roster!AR$2,Morning_Shift!$B$2:$BJ$2,0),0),"")="",IFERROR(VLOOKUP($B49,Evening_Shift!$B$4:$BJ$62,MATCH(Both_Shift_Roster!AR$2,Evening_Shift!$B$2:$BJ$2,0),0),""),IFERROR(VLOOKUP($B49,Morning_Shift!$B$4:$BJ$61,MATCH(Both_Shift_Roster!AR$2,Morning_Shift!$B$2:$BJ$2,0),0),""))</f>
        <v>10:00-17:00</v>
      </c>
      <c r="AS49" s="2" t="str">
        <f>IF(IFERROR(VLOOKUP($B49,Morning_Shift!$B$4:$BJ$61,MATCH(Both_Shift_Roster!AS$2,Morning_Shift!$B$2:$BJ$2,0),0),"")="",IFERROR(VLOOKUP($B49,Evening_Shift!$B$4:$BJ$62,MATCH(Both_Shift_Roster!AS$2,Evening_Shift!$B$2:$BJ$2,0),0),""),IFERROR(VLOOKUP($B49,Morning_Shift!$B$4:$BJ$61,MATCH(Both_Shift_Roster!AS$2,Morning_Shift!$B$2:$BJ$2,0),0),""))</f>
        <v>10:00-17:00</v>
      </c>
      <c r="AT49" s="2" t="str">
        <f>IF(IFERROR(VLOOKUP($B49,Morning_Shift!$B$4:$BJ$61,MATCH(Both_Shift_Roster!AT$2,Morning_Shift!$B$2:$BJ$2,0),0),"")="",IFERROR(VLOOKUP($B49,Evening_Shift!$B$4:$BJ$62,MATCH(Both_Shift_Roster!AT$2,Evening_Shift!$B$2:$BJ$2,0),0),""),IFERROR(VLOOKUP($B49,Morning_Shift!$B$4:$BJ$61,MATCH(Both_Shift_Roster!AT$2,Morning_Shift!$B$2:$BJ$2,0),0),""))</f>
        <v>10:00-17:00</v>
      </c>
      <c r="AU49" s="2" t="str">
        <f>IF(IFERROR(VLOOKUP($B49,Morning_Shift!$B$4:$BJ$61,MATCH(Both_Shift_Roster!AU$2,Morning_Shift!$B$2:$BJ$2,0),0),"")="",IFERROR(VLOOKUP($B49,Evening_Shift!$B$4:$BJ$62,MATCH(Both_Shift_Roster!AU$2,Evening_Shift!$B$2:$BJ$2,0),0),""),IFERROR(VLOOKUP($B49,Morning_Shift!$B$4:$BJ$61,MATCH(Both_Shift_Roster!AU$2,Morning_Shift!$B$2:$BJ$2,0),0),""))</f>
        <v>10:00-17:00</v>
      </c>
      <c r="AV49" s="2" t="str">
        <f>IF(IFERROR(VLOOKUP($B49,Morning_Shift!$B$4:$BJ$61,MATCH(Both_Shift_Roster!AV$2,Morning_Shift!$B$2:$BJ$2,0),0),"")="",IFERROR(VLOOKUP($B49,Evening_Shift!$B$4:$BJ$62,MATCH(Both_Shift_Roster!AV$2,Evening_Shift!$B$2:$BJ$2,0),0),""),IFERROR(VLOOKUP($B49,Morning_Shift!$B$4:$BJ$61,MATCH(Both_Shift_Roster!AV$2,Morning_Shift!$B$2:$BJ$2,0),0),""))</f>
        <v>Agent Choice WO</v>
      </c>
      <c r="AW49" s="2" t="str">
        <f>IF(IFERROR(VLOOKUP($B49,Morning_Shift!$B$4:$BJ$61,MATCH(Both_Shift_Roster!AW$2,Morning_Shift!$B$2:$BJ$2,0),0),"")="",IFERROR(VLOOKUP($B49,Evening_Shift!$B$4:$BJ$62,MATCH(Both_Shift_Roster!AW$2,Evening_Shift!$B$2:$BJ$2,0),0),""),IFERROR(VLOOKUP($B49,Morning_Shift!$B$4:$BJ$61,MATCH(Both_Shift_Roster!AW$2,Morning_Shift!$B$2:$BJ$2,0),0),""))</f>
        <v>10:00-17:00</v>
      </c>
      <c r="AX49" s="2">
        <f t="shared" si="30"/>
        <v>1</v>
      </c>
      <c r="AY49" s="2">
        <f t="shared" si="31"/>
        <v>0</v>
      </c>
      <c r="AZ49" s="2">
        <f t="shared" si="32"/>
        <v>0</v>
      </c>
      <c r="BA49" s="2">
        <f t="shared" si="33"/>
        <v>0</v>
      </c>
      <c r="BB49" s="2">
        <f t="shared" si="34"/>
        <v>0</v>
      </c>
      <c r="BC49" s="2" t="str">
        <f>IF(IFERROR(VLOOKUP($B49,Morning_Shift!$B$4:$BJ$61,MATCH(Both_Shift_Roster!BC$2,Morning_Shift!$B$2:$BJ$2,0),0),"")="",IFERROR(VLOOKUP($B49,Evening_Shift!$B$4:$BJ$62,MATCH(Both_Shift_Roster!BC$2,Evening_Shift!$B$2:$BJ$2,0),0),""),IFERROR(VLOOKUP($B49,Morning_Shift!$B$4:$BJ$61,MATCH(Both_Shift_Roster!BC$2,Morning_Shift!$B$2:$BJ$2,0),0),""))</f>
        <v>10:00-17:00</v>
      </c>
      <c r="BD49" s="2" t="str">
        <f>IF(IFERROR(VLOOKUP($B49,Morning_Shift!$B$4:$BJ$61,MATCH(Both_Shift_Roster!BD$2,Morning_Shift!$B$2:$BJ$2,0),0),"")="",IFERROR(VLOOKUP($B49,Evening_Shift!$B$4:$BJ$62,MATCH(Both_Shift_Roster!BD$2,Evening_Shift!$B$2:$BJ$2,0),0),""),IFERROR(VLOOKUP($B49,Morning_Shift!$B$4:$BJ$61,MATCH(Both_Shift_Roster!BD$2,Morning_Shift!$B$2:$BJ$2,0),0),""))</f>
        <v>10:00-17:00</v>
      </c>
      <c r="BE49" s="2" t="str">
        <f>IF(IFERROR(VLOOKUP($B49,Morning_Shift!$B$4:$BJ$61,MATCH(Both_Shift_Roster!BE$2,Morning_Shift!$B$2:$BJ$2,0),0),"")="",IFERROR(VLOOKUP($B49,Evening_Shift!$B$4:$BJ$59,MATCH(Both_Shift_Roster!BE$2,Evening_Shift!$B$2:$BJ$2,0),0),""),IFERROR(VLOOKUP($B49,Morning_Shift!$B$4:$BJ$61,MATCH(Both_Shift_Roster!BE$2,Morning_Shift!$B$2:$BJ$2,0),0),""))</f>
        <v>10:00-17:00</v>
      </c>
      <c r="BF49" s="2">
        <f t="shared" si="35"/>
        <v>0</v>
      </c>
      <c r="BG49" s="2">
        <f t="shared" si="36"/>
        <v>0</v>
      </c>
      <c r="BH49" s="2">
        <f t="shared" si="37"/>
        <v>0</v>
      </c>
      <c r="BI49" s="2">
        <f t="shared" si="38"/>
        <v>0</v>
      </c>
      <c r="BJ49" s="2">
        <f t="shared" si="39"/>
        <v>0</v>
      </c>
    </row>
    <row r="50" spans="1:62">
      <c r="A50" s="17">
        <f t="shared" si="40"/>
        <v>47</v>
      </c>
      <c r="B50" s="16" t="str">
        <f>Morning_Shift!$B50</f>
        <v>Dritm40</v>
      </c>
      <c r="C50" s="21" t="str">
        <f>IF(IFERROR(VLOOKUP(B50,Morning_Shift!B:C,2,0),"")="",IFERROR(VLOOKUP(B50,Evening_Shift!B:C,2,0),""),IFERROR(VLOOKUP(B50,Morning_Shift!B:C,2,0),""))</f>
        <v>Sanjay Kumar</v>
      </c>
      <c r="D50" s="15" t="str">
        <f>IF(IFERROR(VLOOKUP(B50,Morning_Shift!B:D,3,0),"")="",IFERROR(VLOOKUP(B50,Evening_Shift!B:D,3,0),""),IFERROR(VLOOKUP(B50,Morning_Shift!B:D,3,0),""))</f>
        <v>Naina</v>
      </c>
      <c r="E50" s="4" t="str">
        <f>IF(IFERROR(VLOOKUP(B50,Morning_Shift!B:E,4,0),"")="",IFERROR(VLOOKUP(B50,Evening_Shift!B:E,4,0),""),IFERROR(VLOOKUP(B50,Morning_Shift!B:E,4,0),""))</f>
        <v>M</v>
      </c>
      <c r="F50" s="5" t="str">
        <f>IF(IFERROR(VLOOKUP(B50,Morning_Shift!B:F,5,0),"")="",IFERROR(VLOOKUP(B50,Evening_Shift!B:F,5,0),""),IFERROR(VLOOKUP(B50,Morning_Shift!B:F,5,0),""))</f>
        <v xml:space="preserve">Excise &amp; Taxation </v>
      </c>
      <c r="G50" s="2" t="str">
        <f>IF(IFERROR(VLOOKUP($B50,Morning_Shift!$B$4:$BJ$61,MATCH(Both_Shift_Roster!G$2,Morning_Shift!$B$2:$BJ$2,0),0),"")="",IFERROR(VLOOKUP($B50,Evening_Shift!$B$4:$BJ$62,MATCH(Both_Shift_Roster!G$2,Evening_Shift!$B$2:$BJ$2,0),0),""),IFERROR(VLOOKUP($B50,Morning_Shift!$B$4:$BJ$61,MATCH(Both_Shift_Roster!G$2,Morning_Shift!$B$2:$BJ$2,0),0),""))</f>
        <v>Agent Choice WO</v>
      </c>
      <c r="H50" s="2" t="str">
        <f>IF(IFERROR(VLOOKUP($B50,Morning_Shift!$B$4:$BJ$61,MATCH(Both_Shift_Roster!H$2,Morning_Shift!$B$2:$BJ$2,0),0),"")="",IFERROR(VLOOKUP($B50,Evening_Shift!$B$4:$BJ$62,MATCH(Both_Shift_Roster!H$2,Evening_Shift!$B$2:$BJ$2,0),0),""),IFERROR(VLOOKUP($B50,Morning_Shift!$B$4:$BJ$61,MATCH(Both_Shift_Roster!H$2,Morning_Shift!$B$2:$BJ$2,0),0),""))</f>
        <v>7:00-14:30</v>
      </c>
      <c r="I50" s="2" t="str">
        <f>IF(IFERROR(VLOOKUP($B50,Morning_Shift!$B$4:$BJ$61,MATCH(Both_Shift_Roster!I$2,Morning_Shift!$B$2:$BJ$2,0),0),"")="",IFERROR(VLOOKUP($B50,Evening_Shift!$B$4:$BJ$62,MATCH(Both_Shift_Roster!I$2,Evening_Shift!$B$2:$BJ$2,0),0),""),IFERROR(VLOOKUP($B50,Morning_Shift!$B$4:$BJ$61,MATCH(Both_Shift_Roster!I$2,Morning_Shift!$B$2:$BJ$2,0),0),""))</f>
        <v>7:00-14:30</v>
      </c>
      <c r="J50" s="2" t="str">
        <f>IF(IFERROR(VLOOKUP($B50,Morning_Shift!$B$4:$BJ$61,MATCH(Both_Shift_Roster!J$2,Morning_Shift!$B$2:$BJ$2,0),0),"")="",IFERROR(VLOOKUP($B50,Evening_Shift!$B$4:$BJ$62,MATCH(Both_Shift_Roster!J$2,Evening_Shift!$B$2:$BJ$2,0),0),""),IFERROR(VLOOKUP($B50,Morning_Shift!$B$4:$BJ$61,MATCH(Both_Shift_Roster!J$2,Morning_Shift!$B$2:$BJ$2,0),0),""))</f>
        <v>7:00-14:30</v>
      </c>
      <c r="K50" s="2" t="str">
        <f>IF(IFERROR(VLOOKUP($B50,Morning_Shift!$B$4:$BJ$61,MATCH(Both_Shift_Roster!K$2,Morning_Shift!$B$2:$BJ$2,0),0),"")="",IFERROR(VLOOKUP($B50,Evening_Shift!$B$4:$BJ$62,MATCH(Both_Shift_Roster!K$2,Evening_Shift!$B$2:$BJ$2,0),0),""),IFERROR(VLOOKUP($B50,Morning_Shift!$B$4:$BJ$61,MATCH(Both_Shift_Roster!K$2,Morning_Shift!$B$2:$BJ$2,0),0),""))</f>
        <v>7:00-14:30</v>
      </c>
      <c r="L50" s="2" t="str">
        <f>IF(IFERROR(VLOOKUP($B50,Morning_Shift!$B$4:$BJ$61,MATCH(Both_Shift_Roster!L$2,Morning_Shift!$B$2:$BJ$2,0),0),"")="",IFERROR(VLOOKUP($B50,Evening_Shift!$B$4:$BJ$62,MATCH(Both_Shift_Roster!L$2,Evening_Shift!$B$2:$BJ$2,0),0),""),IFERROR(VLOOKUP($B50,Morning_Shift!$B$4:$BJ$61,MATCH(Both_Shift_Roster!L$2,Morning_Shift!$B$2:$BJ$2,0),0),""))</f>
        <v>Agent Choice WO</v>
      </c>
      <c r="M50" s="2" t="str">
        <f>IF(IFERROR(VLOOKUP($B50,Morning_Shift!$B$4:$BJ$61,MATCH(Both_Shift_Roster!M$2,Morning_Shift!$B$2:$BJ$2,0),0),"")="",IFERROR(VLOOKUP($B50,Evening_Shift!$B$4:$BJ$62,MATCH(Both_Shift_Roster!M$2,Evening_Shift!$B$2:$BJ$2,0),0),""),IFERROR(VLOOKUP($B50,Morning_Shift!$B$4:$BJ$61,MATCH(Both_Shift_Roster!M$2,Morning_Shift!$B$2:$BJ$2,0),0),""))</f>
        <v>7:00-14:30</v>
      </c>
      <c r="N50" s="2">
        <f t="shared" si="15"/>
        <v>2</v>
      </c>
      <c r="O50" s="2">
        <f t="shared" si="16"/>
        <v>0</v>
      </c>
      <c r="P50" s="2">
        <f t="shared" si="17"/>
        <v>0</v>
      </c>
      <c r="Q50" s="2">
        <f t="shared" si="18"/>
        <v>0</v>
      </c>
      <c r="R50" s="2">
        <f t="shared" si="19"/>
        <v>0</v>
      </c>
      <c r="S50" s="2" t="str">
        <f>IF(IFERROR(VLOOKUP($B50,Morning_Shift!$B$4:$BJ$61,MATCH(Both_Shift_Roster!S$2,Morning_Shift!$B$2:$BJ$2,0),0),"")="",IFERROR(VLOOKUP($B50,Evening_Shift!$B$4:$BJ$62,MATCH(Both_Shift_Roster!S$2,Evening_Shift!$B$2:$BJ$2,0),0),""),IFERROR(VLOOKUP($B50,Morning_Shift!$B$4:$BJ$61,MATCH(Both_Shift_Roster!S$2,Morning_Shift!$B$2:$BJ$2,0),0),""))</f>
        <v>7:00-14:30</v>
      </c>
      <c r="T50" s="2" t="str">
        <f>IF(IFERROR(VLOOKUP($B50,Morning_Shift!$B$4:$BJ$61,MATCH(Both_Shift_Roster!T$2,Morning_Shift!$B$2:$BJ$2,0),0),"")="",IFERROR(VLOOKUP($B50,Evening_Shift!$B$4:$BJ$62,MATCH(Both_Shift_Roster!T$2,Evening_Shift!$B$2:$BJ$2,0),0),""),IFERROR(VLOOKUP($B50,Morning_Shift!$B$4:$BJ$61,MATCH(Both_Shift_Roster!T$2,Morning_Shift!$B$2:$BJ$2,0),0),""))</f>
        <v>7:00-14:30</v>
      </c>
      <c r="U50" s="2" t="str">
        <f>IF(IFERROR(VLOOKUP($B50,Morning_Shift!$B$4:$BJ$61,MATCH(Both_Shift_Roster!U$2,Morning_Shift!$B$2:$BJ$2,0),0),"")="",IFERROR(VLOOKUP($B50,Evening_Shift!$B$4:$BJ$62,MATCH(Both_Shift_Roster!U$2,Evening_Shift!$B$2:$BJ$2,0),0),""),IFERROR(VLOOKUP($B50,Morning_Shift!$B$4:$BJ$61,MATCH(Both_Shift_Roster!U$2,Morning_Shift!$B$2:$BJ$2,0),0),""))</f>
        <v>7:00-14:30</v>
      </c>
      <c r="V50" s="2" t="str">
        <f>IF(IFERROR(VLOOKUP($B50,Morning_Shift!$B$4:$BJ$61,MATCH(Both_Shift_Roster!V$2,Morning_Shift!$B$2:$BJ$2,0),0),"")="",IFERROR(VLOOKUP($B50,Evening_Shift!$B$4:$BJ$62,MATCH(Both_Shift_Roster!V$2,Evening_Shift!$B$2:$BJ$2,0),0),""),IFERROR(VLOOKUP($B50,Morning_Shift!$B$4:$BJ$61,MATCH(Both_Shift_Roster!V$2,Morning_Shift!$B$2:$BJ$2,0),0),""))</f>
        <v>7:00-14:30</v>
      </c>
      <c r="W50" s="2" t="str">
        <f>IF(IFERROR(VLOOKUP($B50,Morning_Shift!$B$4:$BJ$61,MATCH(Both_Shift_Roster!W$2,Morning_Shift!$B$2:$BJ$2,0),0),"")="",IFERROR(VLOOKUP($B50,Evening_Shift!$B$4:$BJ$62,MATCH(Both_Shift_Roster!W$2,Evening_Shift!$B$2:$BJ$2,0),0),""),IFERROR(VLOOKUP($B50,Morning_Shift!$B$4:$BJ$61,MATCH(Both_Shift_Roster!W$2,Morning_Shift!$B$2:$BJ$2,0),0),""))</f>
        <v>7:00-14:30</v>
      </c>
      <c r="X50" s="2" t="str">
        <f>IF(IFERROR(VLOOKUP($B50,Morning_Shift!$B$4:$BJ$61,MATCH(Both_Shift_Roster!X$2,Morning_Shift!$B$2:$BJ$2,0),0),"")="",IFERROR(VLOOKUP($B50,Evening_Shift!$B$4:$BJ$62,MATCH(Both_Shift_Roster!X$2,Evening_Shift!$B$2:$BJ$2,0),0),""),IFERROR(VLOOKUP($B50,Morning_Shift!$B$4:$BJ$61,MATCH(Both_Shift_Roster!X$2,Morning_Shift!$B$2:$BJ$2,0),0),""))</f>
        <v>Agent Choice WO</v>
      </c>
      <c r="Y50" s="2" t="str">
        <f>IF(IFERROR(VLOOKUP($B50,Morning_Shift!$B$4:$BJ$61,MATCH(Both_Shift_Roster!Y$2,Morning_Shift!$B$2:$BJ$2,0),0),"")="",IFERROR(VLOOKUP($B50,Evening_Shift!$B$4:$BJ$62,MATCH(Both_Shift_Roster!Y$2,Evening_Shift!$B$2:$BJ$2,0),0),""),IFERROR(VLOOKUP($B50,Morning_Shift!$B$4:$BJ$61,MATCH(Both_Shift_Roster!Y$2,Morning_Shift!$B$2:$BJ$2,0),0),""))</f>
        <v>7:00-14:30</v>
      </c>
      <c r="Z50" s="2">
        <f t="shared" si="20"/>
        <v>1</v>
      </c>
      <c r="AA50" s="2">
        <f t="shared" si="21"/>
        <v>0</v>
      </c>
      <c r="AB50" s="2">
        <f t="shared" si="22"/>
        <v>0</v>
      </c>
      <c r="AC50" s="2">
        <f t="shared" si="23"/>
        <v>0</v>
      </c>
      <c r="AD50" s="2">
        <f t="shared" si="24"/>
        <v>0</v>
      </c>
      <c r="AE50" s="2" t="str">
        <f>IF(IFERROR(VLOOKUP($B50,Morning_Shift!$B$4:$BJ$61,MATCH(Both_Shift_Roster!AE$2,Morning_Shift!$B$2:$BJ$2,0),0),"")="",IFERROR(VLOOKUP($B50,Evening_Shift!$B$4:$BJ$62,MATCH(Both_Shift_Roster!AE$2,Evening_Shift!$B$2:$BJ$2,0),0),""),IFERROR(VLOOKUP($B50,Morning_Shift!$B$4:$BJ$61,MATCH(Both_Shift_Roster!AE$2,Morning_Shift!$B$2:$BJ$2,0),0),""))</f>
        <v>7:00-14:30</v>
      </c>
      <c r="AF50" s="2" t="str">
        <f>IF(IFERROR(VLOOKUP($B50,Morning_Shift!$B$4:$BJ$61,MATCH(Both_Shift_Roster!AF$2,Morning_Shift!$B$2:$BJ$2,0),0),"")="",IFERROR(VLOOKUP($B50,Evening_Shift!$B$4:$BJ$62,MATCH(Both_Shift_Roster!AF$2,Evening_Shift!$B$2:$BJ$2,0),0),""),IFERROR(VLOOKUP($B50,Morning_Shift!$B$4:$BJ$61,MATCH(Both_Shift_Roster!AF$2,Morning_Shift!$B$2:$BJ$2,0),0),""))</f>
        <v>7:00-14:30</v>
      </c>
      <c r="AG50" s="2" t="str">
        <f>IF(IFERROR(VLOOKUP($B50,Morning_Shift!$B$4:$BJ$61,MATCH(Both_Shift_Roster!AG$2,Morning_Shift!$B$2:$BJ$2,0),0),"")="",IFERROR(VLOOKUP($B50,Evening_Shift!$B$4:$BJ$62,MATCH(Both_Shift_Roster!AG$2,Evening_Shift!$B$2:$BJ$2,0),0),""),IFERROR(VLOOKUP($B50,Morning_Shift!$B$4:$BJ$61,MATCH(Both_Shift_Roster!AG$2,Morning_Shift!$B$2:$BJ$2,0),0),""))</f>
        <v>7:00-14:30</v>
      </c>
      <c r="AH50" s="2" t="str">
        <f>IF(IFERROR(VLOOKUP($B50,Morning_Shift!$B$4:$BJ$61,MATCH(Both_Shift_Roster!AH$2,Morning_Shift!$B$2:$BJ$2,0),0),"")="",IFERROR(VLOOKUP($B50,Evening_Shift!$B$4:$BJ$62,MATCH(Both_Shift_Roster!AH$2,Evening_Shift!$B$2:$BJ$2,0),0),""),IFERROR(VLOOKUP($B50,Morning_Shift!$B$4:$BJ$61,MATCH(Both_Shift_Roster!AH$2,Morning_Shift!$B$2:$BJ$2,0),0),""))</f>
        <v>7:00-14:30</v>
      </c>
      <c r="AI50" s="2" t="str">
        <f>IF(IFERROR(VLOOKUP($B50,Morning_Shift!$B$4:$BJ$61,MATCH(Both_Shift_Roster!AI$2,Morning_Shift!$B$2:$BJ$2,0),0),"")="",IFERROR(VLOOKUP($B50,Evening_Shift!$B$4:$BJ$62,MATCH(Both_Shift_Roster!AI$2,Evening_Shift!$B$2:$BJ$2,0),0),""),IFERROR(VLOOKUP($B50,Morning_Shift!$B$4:$BJ$61,MATCH(Both_Shift_Roster!AI$2,Morning_Shift!$B$2:$BJ$2,0),0),""))</f>
        <v>7:00-14:30</v>
      </c>
      <c r="AJ50" s="2" t="str">
        <f>IF(IFERROR(VLOOKUP($B50,Morning_Shift!$B$4:$BJ$61,MATCH(Both_Shift_Roster!AJ$2,Morning_Shift!$B$2:$BJ$2,0),0),"")="",IFERROR(VLOOKUP($B50,Evening_Shift!$B$4:$BJ$62,MATCH(Both_Shift_Roster!AJ$2,Evening_Shift!$B$2:$BJ$2,0),0),""),IFERROR(VLOOKUP($B50,Morning_Shift!$B$4:$BJ$61,MATCH(Both_Shift_Roster!AJ$2,Morning_Shift!$B$2:$BJ$2,0),0),""))</f>
        <v>Agent Choice WO</v>
      </c>
      <c r="AK50" s="2" t="str">
        <f>IF(IFERROR(VLOOKUP($B50,Morning_Shift!$B$4:$BJ$61,MATCH(Both_Shift_Roster!AK$2,Morning_Shift!$B$2:$BJ$2,0),0),"")="",IFERROR(VLOOKUP($B50,Evening_Shift!$B$4:$BJ$62,MATCH(Both_Shift_Roster!AK$2,Evening_Shift!$B$2:$BJ$2,0),0),""),IFERROR(VLOOKUP($B50,Morning_Shift!$B$4:$BJ$61,MATCH(Both_Shift_Roster!AK$2,Morning_Shift!$B$2:$BJ$2,0),0),""))</f>
        <v>7:00-14:30</v>
      </c>
      <c r="AL50" s="2">
        <f t="shared" si="25"/>
        <v>1</v>
      </c>
      <c r="AM50" s="2">
        <f t="shared" si="26"/>
        <v>0</v>
      </c>
      <c r="AN50" s="2">
        <f t="shared" si="27"/>
        <v>0</v>
      </c>
      <c r="AO50" s="2">
        <f t="shared" si="28"/>
        <v>0</v>
      </c>
      <c r="AP50" s="2">
        <f t="shared" si="29"/>
        <v>0</v>
      </c>
      <c r="AQ50" s="2" t="str">
        <f>IF(IFERROR(VLOOKUP($B50,Morning_Shift!$B$4:$BJ$61,MATCH(Both_Shift_Roster!AQ$2,Morning_Shift!$B$2:$BJ$2,0),0),"")="",IFERROR(VLOOKUP($B50,Evening_Shift!$B$4:$BJ$62,MATCH(Both_Shift_Roster!AQ$2,Evening_Shift!$B$2:$BJ$2,0),0),""),IFERROR(VLOOKUP($B50,Morning_Shift!$B$4:$BJ$61,MATCH(Both_Shift_Roster!AQ$2,Morning_Shift!$B$2:$BJ$2,0),0),""))</f>
        <v>7:00-14:30</v>
      </c>
      <c r="AR50" s="2" t="str">
        <f>IF(IFERROR(VLOOKUP($B50,Morning_Shift!$B$4:$BJ$61,MATCH(Both_Shift_Roster!AR$2,Morning_Shift!$B$2:$BJ$2,0),0),"")="",IFERROR(VLOOKUP($B50,Evening_Shift!$B$4:$BJ$62,MATCH(Both_Shift_Roster!AR$2,Evening_Shift!$B$2:$BJ$2,0),0),""),IFERROR(VLOOKUP($B50,Morning_Shift!$B$4:$BJ$61,MATCH(Both_Shift_Roster!AR$2,Morning_Shift!$B$2:$BJ$2,0),0),""))</f>
        <v>7:00-14:30</v>
      </c>
      <c r="AS50" s="2" t="str">
        <f>IF(IFERROR(VLOOKUP($B50,Morning_Shift!$B$4:$BJ$61,MATCH(Both_Shift_Roster!AS$2,Morning_Shift!$B$2:$BJ$2,0),0),"")="",IFERROR(VLOOKUP($B50,Evening_Shift!$B$4:$BJ$62,MATCH(Both_Shift_Roster!AS$2,Evening_Shift!$B$2:$BJ$2,0),0),""),IFERROR(VLOOKUP($B50,Morning_Shift!$B$4:$BJ$61,MATCH(Both_Shift_Roster!AS$2,Morning_Shift!$B$2:$BJ$2,0),0),""))</f>
        <v>7:00-14:30</v>
      </c>
      <c r="AT50" s="2" t="str">
        <f>IF(IFERROR(VLOOKUP($B50,Morning_Shift!$B$4:$BJ$61,MATCH(Both_Shift_Roster!AT$2,Morning_Shift!$B$2:$BJ$2,0),0),"")="",IFERROR(VLOOKUP($B50,Evening_Shift!$B$4:$BJ$62,MATCH(Both_Shift_Roster!AT$2,Evening_Shift!$B$2:$BJ$2,0),0),""),IFERROR(VLOOKUP($B50,Morning_Shift!$B$4:$BJ$61,MATCH(Both_Shift_Roster!AT$2,Morning_Shift!$B$2:$BJ$2,0),0),""))</f>
        <v>7:00-14:30</v>
      </c>
      <c r="AU50" s="2" t="str">
        <f>IF(IFERROR(VLOOKUP($B50,Morning_Shift!$B$4:$BJ$61,MATCH(Both_Shift_Roster!AU$2,Morning_Shift!$B$2:$BJ$2,0),0),"")="",IFERROR(VLOOKUP($B50,Evening_Shift!$B$4:$BJ$62,MATCH(Both_Shift_Roster!AU$2,Evening_Shift!$B$2:$BJ$2,0),0),""),IFERROR(VLOOKUP($B50,Morning_Shift!$B$4:$BJ$61,MATCH(Both_Shift_Roster!AU$2,Morning_Shift!$B$2:$BJ$2,0),0),""))</f>
        <v>7:00-14:30</v>
      </c>
      <c r="AV50" s="2" t="str">
        <f>IF(IFERROR(VLOOKUP($B50,Morning_Shift!$B$4:$BJ$61,MATCH(Both_Shift_Roster!AV$2,Morning_Shift!$B$2:$BJ$2,0),0),"")="",IFERROR(VLOOKUP($B50,Evening_Shift!$B$4:$BJ$62,MATCH(Both_Shift_Roster!AV$2,Evening_Shift!$B$2:$BJ$2,0),0),""),IFERROR(VLOOKUP($B50,Morning_Shift!$B$4:$BJ$61,MATCH(Both_Shift_Roster!AV$2,Morning_Shift!$B$2:$BJ$2,0),0),""))</f>
        <v>Agent Choice WO</v>
      </c>
      <c r="AW50" s="2" t="str">
        <f>IF(IFERROR(VLOOKUP($B50,Morning_Shift!$B$4:$BJ$61,MATCH(Both_Shift_Roster!AW$2,Morning_Shift!$B$2:$BJ$2,0),0),"")="",IFERROR(VLOOKUP($B50,Evening_Shift!$B$4:$BJ$62,MATCH(Both_Shift_Roster!AW$2,Evening_Shift!$B$2:$BJ$2,0),0),""),IFERROR(VLOOKUP($B50,Morning_Shift!$B$4:$BJ$61,MATCH(Both_Shift_Roster!AW$2,Morning_Shift!$B$2:$BJ$2,0),0),""))</f>
        <v>7:00-14:30</v>
      </c>
      <c r="AX50" s="2">
        <f t="shared" si="30"/>
        <v>1</v>
      </c>
      <c r="AY50" s="2">
        <f t="shared" si="31"/>
        <v>0</v>
      </c>
      <c r="AZ50" s="2">
        <f t="shared" si="32"/>
        <v>0</v>
      </c>
      <c r="BA50" s="2">
        <f t="shared" si="33"/>
        <v>0</v>
      </c>
      <c r="BB50" s="2">
        <f t="shared" si="34"/>
        <v>0</v>
      </c>
      <c r="BC50" s="2" t="str">
        <f>IF(IFERROR(VLOOKUP($B50,Morning_Shift!$B$4:$BJ$61,MATCH(Both_Shift_Roster!BC$2,Morning_Shift!$B$2:$BJ$2,0),0),"")="",IFERROR(VLOOKUP($B50,Evening_Shift!$B$4:$BJ$62,MATCH(Both_Shift_Roster!BC$2,Evening_Shift!$B$2:$BJ$2,0),0),""),IFERROR(VLOOKUP($B50,Morning_Shift!$B$4:$BJ$61,MATCH(Both_Shift_Roster!BC$2,Morning_Shift!$B$2:$BJ$2,0),0),""))</f>
        <v>7:00-14:30</v>
      </c>
      <c r="BD50" s="2" t="str">
        <f>IF(IFERROR(VLOOKUP($B50,Morning_Shift!$B$4:$BJ$61,MATCH(Both_Shift_Roster!BD$2,Morning_Shift!$B$2:$BJ$2,0),0),"")="",IFERROR(VLOOKUP($B50,Evening_Shift!$B$4:$BJ$62,MATCH(Both_Shift_Roster!BD$2,Evening_Shift!$B$2:$BJ$2,0),0),""),IFERROR(VLOOKUP($B50,Morning_Shift!$B$4:$BJ$61,MATCH(Both_Shift_Roster!BD$2,Morning_Shift!$B$2:$BJ$2,0),0),""))</f>
        <v>7:00-14:30</v>
      </c>
      <c r="BE50" s="2" t="str">
        <f>IF(IFERROR(VLOOKUP($B50,Morning_Shift!$B$4:$BJ$61,MATCH(Both_Shift_Roster!BE$2,Morning_Shift!$B$2:$BJ$2,0),0),"")="",IFERROR(VLOOKUP($B50,Evening_Shift!$B$4:$BJ$59,MATCH(Both_Shift_Roster!BE$2,Evening_Shift!$B$2:$BJ$2,0),0),""),IFERROR(VLOOKUP($B50,Morning_Shift!$B$4:$BJ$61,MATCH(Both_Shift_Roster!BE$2,Morning_Shift!$B$2:$BJ$2,0),0),""))</f>
        <v>7:00-14:30</v>
      </c>
      <c r="BF50" s="2">
        <f t="shared" si="35"/>
        <v>0</v>
      </c>
      <c r="BG50" s="2">
        <f t="shared" si="36"/>
        <v>0</v>
      </c>
      <c r="BH50" s="2">
        <f t="shared" si="37"/>
        <v>0</v>
      </c>
      <c r="BI50" s="2">
        <f t="shared" si="38"/>
        <v>0</v>
      </c>
      <c r="BJ50" s="2">
        <f t="shared" si="39"/>
        <v>0</v>
      </c>
    </row>
    <row r="51" spans="1:62">
      <c r="A51" s="17">
        <f t="shared" si="40"/>
        <v>48</v>
      </c>
      <c r="B51" s="16" t="str">
        <f>Morning_Shift!$B51</f>
        <v>Dritm91</v>
      </c>
      <c r="C51" s="21" t="str">
        <f>IF(IFERROR(VLOOKUP(B51,Morning_Shift!B:C,2,0),"")="",IFERROR(VLOOKUP(B51,Evening_Shift!B:C,2,0),""),IFERROR(VLOOKUP(B51,Morning_Shift!B:C,2,0),""))</f>
        <v>Santosh Pal</v>
      </c>
      <c r="D51" s="15" t="str">
        <f>IF(IFERROR(VLOOKUP(B51,Morning_Shift!B:D,3,0),"")="",IFERROR(VLOOKUP(B51,Evening_Shift!B:D,3,0),""),IFERROR(VLOOKUP(B51,Morning_Shift!B:D,3,0),""))</f>
        <v>Naina</v>
      </c>
      <c r="E51" s="4" t="str">
        <f>IF(IFERROR(VLOOKUP(B51,Morning_Shift!B:E,4,0),"")="",IFERROR(VLOOKUP(B51,Evening_Shift!B:E,4,0),""),IFERROR(VLOOKUP(B51,Morning_Shift!B:E,4,0),""))</f>
        <v>F</v>
      </c>
      <c r="F51" s="5" t="str">
        <f>IF(IFERROR(VLOOKUP(B51,Morning_Shift!B:F,5,0),"")="",IFERROR(VLOOKUP(B51,Evening_Shift!B:F,5,0),""),IFERROR(VLOOKUP(B51,Morning_Shift!B:F,5,0),""))</f>
        <v>FCS</v>
      </c>
      <c r="G51" s="2" t="str">
        <f>IF(IFERROR(VLOOKUP($B51,Morning_Shift!$B$4:$BJ$61,MATCH(Both_Shift_Roster!G$2,Morning_Shift!$B$2:$BJ$2,0),0),"")="",IFERROR(VLOOKUP($B51,Evening_Shift!$B$4:$BJ$62,MATCH(Both_Shift_Roster!G$2,Evening_Shift!$B$2:$BJ$2,0),0),""),IFERROR(VLOOKUP($B51,Morning_Shift!$B$4:$BJ$61,MATCH(Both_Shift_Roster!G$2,Morning_Shift!$B$2:$BJ$2,0),0),""))</f>
        <v>10:00-17:00</v>
      </c>
      <c r="H51" s="2" t="str">
        <f>IF(IFERROR(VLOOKUP($B51,Morning_Shift!$B$4:$BJ$61,MATCH(Both_Shift_Roster!H$2,Morning_Shift!$B$2:$BJ$2,0),0),"")="",IFERROR(VLOOKUP($B51,Evening_Shift!$B$4:$BJ$62,MATCH(Both_Shift_Roster!H$2,Evening_Shift!$B$2:$BJ$2,0),0),""),IFERROR(VLOOKUP($B51,Morning_Shift!$B$4:$BJ$61,MATCH(Both_Shift_Roster!H$2,Morning_Shift!$B$2:$BJ$2,0),0),""))</f>
        <v>10:00-17:00</v>
      </c>
      <c r="I51" s="2" t="str">
        <f>IF(IFERROR(VLOOKUP($B51,Morning_Shift!$B$4:$BJ$61,MATCH(Both_Shift_Roster!I$2,Morning_Shift!$B$2:$BJ$2,0),0),"")="",IFERROR(VLOOKUP($B51,Evening_Shift!$B$4:$BJ$62,MATCH(Both_Shift_Roster!I$2,Evening_Shift!$B$2:$BJ$2,0),0),""),IFERROR(VLOOKUP($B51,Morning_Shift!$B$4:$BJ$61,MATCH(Both_Shift_Roster!I$2,Morning_Shift!$B$2:$BJ$2,0),0),""))</f>
        <v>10:00-17:00</v>
      </c>
      <c r="J51" s="2" t="str">
        <f>IF(IFERROR(VLOOKUP($B51,Morning_Shift!$B$4:$BJ$61,MATCH(Both_Shift_Roster!J$2,Morning_Shift!$B$2:$BJ$2,0),0),"")="",IFERROR(VLOOKUP($B51,Evening_Shift!$B$4:$BJ$62,MATCH(Both_Shift_Roster!J$2,Evening_Shift!$B$2:$BJ$2,0),0),""),IFERROR(VLOOKUP($B51,Morning_Shift!$B$4:$BJ$61,MATCH(Both_Shift_Roster!J$2,Morning_Shift!$B$2:$BJ$2,0),0),""))</f>
        <v>10:00-17:00</v>
      </c>
      <c r="K51" s="2" t="str">
        <f>IF(IFERROR(VLOOKUP($B51,Morning_Shift!$B$4:$BJ$61,MATCH(Both_Shift_Roster!K$2,Morning_Shift!$B$2:$BJ$2,0),0),"")="",IFERROR(VLOOKUP($B51,Evening_Shift!$B$4:$BJ$62,MATCH(Both_Shift_Roster!K$2,Evening_Shift!$B$2:$BJ$2,0),0),""),IFERROR(VLOOKUP($B51,Morning_Shift!$B$4:$BJ$61,MATCH(Both_Shift_Roster!K$2,Morning_Shift!$B$2:$BJ$2,0),0),""))</f>
        <v>10:00-17:00</v>
      </c>
      <c r="L51" s="2" t="str">
        <f>IF(IFERROR(VLOOKUP($B51,Morning_Shift!$B$4:$BJ$61,MATCH(Both_Shift_Roster!L$2,Morning_Shift!$B$2:$BJ$2,0),0),"")="",IFERROR(VLOOKUP($B51,Evening_Shift!$B$4:$BJ$62,MATCH(Both_Shift_Roster!L$2,Evening_Shift!$B$2:$BJ$2,0),0),""),IFERROR(VLOOKUP($B51,Morning_Shift!$B$4:$BJ$61,MATCH(Both_Shift_Roster!L$2,Morning_Shift!$B$2:$BJ$2,0),0),""))</f>
        <v>10:00-17:00</v>
      </c>
      <c r="M51" s="2" t="str">
        <f>IF(IFERROR(VLOOKUP($B51,Morning_Shift!$B$4:$BJ$61,MATCH(Both_Shift_Roster!M$2,Morning_Shift!$B$2:$BJ$2,0),0),"")="",IFERROR(VLOOKUP($B51,Evening_Shift!$B$4:$BJ$62,MATCH(Both_Shift_Roster!M$2,Evening_Shift!$B$2:$BJ$2,0),0),""),IFERROR(VLOOKUP($B51,Morning_Shift!$B$4:$BJ$61,MATCH(Both_Shift_Roster!M$2,Morning_Shift!$B$2:$BJ$2,0),0),""))</f>
        <v>10:00-17:00</v>
      </c>
      <c r="N51" s="2">
        <f t="shared" si="15"/>
        <v>0</v>
      </c>
      <c r="O51" s="2">
        <f t="shared" si="16"/>
        <v>0</v>
      </c>
      <c r="P51" s="2">
        <f t="shared" si="17"/>
        <v>0</v>
      </c>
      <c r="Q51" s="2">
        <f t="shared" si="18"/>
        <v>0</v>
      </c>
      <c r="R51" s="2">
        <f t="shared" si="19"/>
        <v>0</v>
      </c>
      <c r="S51" s="2" t="str">
        <f>IF(IFERROR(VLOOKUP($B51,Morning_Shift!$B$4:$BJ$61,MATCH(Both_Shift_Roster!S$2,Morning_Shift!$B$2:$BJ$2,0),0),"")="",IFERROR(VLOOKUP($B51,Evening_Shift!$B$4:$BJ$62,MATCH(Both_Shift_Roster!S$2,Evening_Shift!$B$2:$BJ$2,0),0),""),IFERROR(VLOOKUP($B51,Morning_Shift!$B$4:$BJ$61,MATCH(Both_Shift_Roster!S$2,Morning_Shift!$B$2:$BJ$2,0),0),""))</f>
        <v>10:00-17:00</v>
      </c>
      <c r="T51" s="2" t="str">
        <f>IF(IFERROR(VLOOKUP($B51,Morning_Shift!$B$4:$BJ$61,MATCH(Both_Shift_Roster!T$2,Morning_Shift!$B$2:$BJ$2,0),0),"")="",IFERROR(VLOOKUP($B51,Evening_Shift!$B$4:$BJ$62,MATCH(Both_Shift_Roster!T$2,Evening_Shift!$B$2:$BJ$2,0),0),""),IFERROR(VLOOKUP($B51,Morning_Shift!$B$4:$BJ$61,MATCH(Both_Shift_Roster!T$2,Morning_Shift!$B$2:$BJ$2,0),0),""))</f>
        <v>10:00-17:00</v>
      </c>
      <c r="U51" s="2" t="str">
        <f>IF(IFERROR(VLOOKUP($B51,Morning_Shift!$B$4:$BJ$61,MATCH(Both_Shift_Roster!U$2,Morning_Shift!$B$2:$BJ$2,0),0),"")="",IFERROR(VLOOKUP($B51,Evening_Shift!$B$4:$BJ$62,MATCH(Both_Shift_Roster!U$2,Evening_Shift!$B$2:$BJ$2,0),0),""),IFERROR(VLOOKUP($B51,Morning_Shift!$B$4:$BJ$61,MATCH(Both_Shift_Roster!U$2,Morning_Shift!$B$2:$BJ$2,0),0),""))</f>
        <v>10:00-17:00</v>
      </c>
      <c r="V51" s="2" t="str">
        <f>IF(IFERROR(VLOOKUP($B51,Morning_Shift!$B$4:$BJ$61,MATCH(Both_Shift_Roster!V$2,Morning_Shift!$B$2:$BJ$2,0),0),"")="",IFERROR(VLOOKUP($B51,Evening_Shift!$B$4:$BJ$62,MATCH(Both_Shift_Roster!V$2,Evening_Shift!$B$2:$BJ$2,0),0),""),IFERROR(VLOOKUP($B51,Morning_Shift!$B$4:$BJ$61,MATCH(Both_Shift_Roster!V$2,Morning_Shift!$B$2:$BJ$2,0),0),""))</f>
        <v>10:00-17:00</v>
      </c>
      <c r="W51" s="2" t="str">
        <f>IF(IFERROR(VLOOKUP($B51,Morning_Shift!$B$4:$BJ$61,MATCH(Both_Shift_Roster!W$2,Morning_Shift!$B$2:$BJ$2,0),0),"")="",IFERROR(VLOOKUP($B51,Evening_Shift!$B$4:$BJ$62,MATCH(Both_Shift_Roster!W$2,Evening_Shift!$B$2:$BJ$2,0),0),""),IFERROR(VLOOKUP($B51,Morning_Shift!$B$4:$BJ$61,MATCH(Both_Shift_Roster!W$2,Morning_Shift!$B$2:$BJ$2,0),0),""))</f>
        <v>10:00-17:00</v>
      </c>
      <c r="X51" s="2" t="str">
        <f>IF(IFERROR(VLOOKUP($B51,Morning_Shift!$B$4:$BJ$61,MATCH(Both_Shift_Roster!X$2,Morning_Shift!$B$2:$BJ$2,0),0),"")="",IFERROR(VLOOKUP($B51,Evening_Shift!$B$4:$BJ$62,MATCH(Both_Shift_Roster!X$2,Evening_Shift!$B$2:$BJ$2,0),0),""),IFERROR(VLOOKUP($B51,Morning_Shift!$B$4:$BJ$61,MATCH(Both_Shift_Roster!X$2,Morning_Shift!$B$2:$BJ$2,0),0),""))</f>
        <v>Agent Choice WO</v>
      </c>
      <c r="Y51" s="2" t="str">
        <f>IF(IFERROR(VLOOKUP($B51,Morning_Shift!$B$4:$BJ$61,MATCH(Both_Shift_Roster!Y$2,Morning_Shift!$B$2:$BJ$2,0),0),"")="",IFERROR(VLOOKUP($B51,Evening_Shift!$B$4:$BJ$62,MATCH(Both_Shift_Roster!Y$2,Evening_Shift!$B$2:$BJ$2,0),0),""),IFERROR(VLOOKUP($B51,Morning_Shift!$B$4:$BJ$61,MATCH(Both_Shift_Roster!Y$2,Morning_Shift!$B$2:$BJ$2,0),0),""))</f>
        <v>Agent Choice WO</v>
      </c>
      <c r="Z51" s="2">
        <f t="shared" si="20"/>
        <v>2</v>
      </c>
      <c r="AA51" s="2">
        <f t="shared" si="21"/>
        <v>0</v>
      </c>
      <c r="AB51" s="2">
        <f t="shared" si="22"/>
        <v>0</v>
      </c>
      <c r="AC51" s="2">
        <f t="shared" si="23"/>
        <v>0</v>
      </c>
      <c r="AD51" s="2">
        <f t="shared" si="24"/>
        <v>0</v>
      </c>
      <c r="AE51" s="2" t="str">
        <f>IF(IFERROR(VLOOKUP($B51,Morning_Shift!$B$4:$BJ$61,MATCH(Both_Shift_Roster!AE$2,Morning_Shift!$B$2:$BJ$2,0),0),"")="",IFERROR(VLOOKUP($B51,Evening_Shift!$B$4:$BJ$62,MATCH(Both_Shift_Roster!AE$2,Evening_Shift!$B$2:$BJ$2,0),0),""),IFERROR(VLOOKUP($B51,Morning_Shift!$B$4:$BJ$61,MATCH(Both_Shift_Roster!AE$2,Morning_Shift!$B$2:$BJ$2,0),0),""))</f>
        <v>10:00-17:00</v>
      </c>
      <c r="AF51" s="2" t="str">
        <f>IF(IFERROR(VLOOKUP($B51,Morning_Shift!$B$4:$BJ$61,MATCH(Both_Shift_Roster!AF$2,Morning_Shift!$B$2:$BJ$2,0),0),"")="",IFERROR(VLOOKUP($B51,Evening_Shift!$B$4:$BJ$62,MATCH(Both_Shift_Roster!AF$2,Evening_Shift!$B$2:$BJ$2,0),0),""),IFERROR(VLOOKUP($B51,Morning_Shift!$B$4:$BJ$61,MATCH(Both_Shift_Roster!AF$2,Morning_Shift!$B$2:$BJ$2,0),0),""))</f>
        <v>10:00-17:00</v>
      </c>
      <c r="AG51" s="2" t="str">
        <f>IF(IFERROR(VLOOKUP($B51,Morning_Shift!$B$4:$BJ$61,MATCH(Both_Shift_Roster!AG$2,Morning_Shift!$B$2:$BJ$2,0),0),"")="",IFERROR(VLOOKUP($B51,Evening_Shift!$B$4:$BJ$62,MATCH(Both_Shift_Roster!AG$2,Evening_Shift!$B$2:$BJ$2,0),0),""),IFERROR(VLOOKUP($B51,Morning_Shift!$B$4:$BJ$61,MATCH(Both_Shift_Roster!AG$2,Morning_Shift!$B$2:$BJ$2,0),0),""))</f>
        <v>10:00-17:00</v>
      </c>
      <c r="AH51" s="2" t="str">
        <f>IF(IFERROR(VLOOKUP($B51,Morning_Shift!$B$4:$BJ$61,MATCH(Both_Shift_Roster!AH$2,Morning_Shift!$B$2:$BJ$2,0),0),"")="",IFERROR(VLOOKUP($B51,Evening_Shift!$B$4:$BJ$62,MATCH(Both_Shift_Roster!AH$2,Evening_Shift!$B$2:$BJ$2,0),0),""),IFERROR(VLOOKUP($B51,Morning_Shift!$B$4:$BJ$61,MATCH(Both_Shift_Roster!AH$2,Morning_Shift!$B$2:$BJ$2,0),0),""))</f>
        <v>10:00-17:00</v>
      </c>
      <c r="AI51" s="2" t="str">
        <f>IF(IFERROR(VLOOKUP($B51,Morning_Shift!$B$4:$BJ$61,MATCH(Both_Shift_Roster!AI$2,Morning_Shift!$B$2:$BJ$2,0),0),"")="",IFERROR(VLOOKUP($B51,Evening_Shift!$B$4:$BJ$62,MATCH(Both_Shift_Roster!AI$2,Evening_Shift!$B$2:$BJ$2,0),0),""),IFERROR(VLOOKUP($B51,Morning_Shift!$B$4:$BJ$61,MATCH(Both_Shift_Roster!AI$2,Morning_Shift!$B$2:$BJ$2,0),0),""))</f>
        <v>10:00-17:00</v>
      </c>
      <c r="AJ51" s="2" t="str">
        <f>IF(IFERROR(VLOOKUP($B51,Morning_Shift!$B$4:$BJ$61,MATCH(Both_Shift_Roster!AJ$2,Morning_Shift!$B$2:$BJ$2,0),0),"")="",IFERROR(VLOOKUP($B51,Evening_Shift!$B$4:$BJ$62,MATCH(Both_Shift_Roster!AJ$2,Evening_Shift!$B$2:$BJ$2,0),0),""),IFERROR(VLOOKUP($B51,Morning_Shift!$B$4:$BJ$61,MATCH(Both_Shift_Roster!AJ$2,Morning_Shift!$B$2:$BJ$2,0),0),""))</f>
        <v>10:00-17:00</v>
      </c>
      <c r="AK51" s="2" t="str">
        <f>IF(IFERROR(VLOOKUP($B51,Morning_Shift!$B$4:$BJ$61,MATCH(Both_Shift_Roster!AK$2,Morning_Shift!$B$2:$BJ$2,0),0),"")="",IFERROR(VLOOKUP($B51,Evening_Shift!$B$4:$BJ$62,MATCH(Both_Shift_Roster!AK$2,Evening_Shift!$B$2:$BJ$2,0),0),""),IFERROR(VLOOKUP($B51,Morning_Shift!$B$4:$BJ$61,MATCH(Both_Shift_Roster!AK$2,Morning_Shift!$B$2:$BJ$2,0),0),""))</f>
        <v>10:00-17:00</v>
      </c>
      <c r="AL51" s="2">
        <f t="shared" si="25"/>
        <v>0</v>
      </c>
      <c r="AM51" s="2">
        <f t="shared" si="26"/>
        <v>0</v>
      </c>
      <c r="AN51" s="2">
        <f t="shared" si="27"/>
        <v>0</v>
      </c>
      <c r="AO51" s="2">
        <f t="shared" si="28"/>
        <v>0</v>
      </c>
      <c r="AP51" s="2">
        <f t="shared" si="29"/>
        <v>0</v>
      </c>
      <c r="AQ51" s="2" t="str">
        <f>IF(IFERROR(VLOOKUP($B51,Morning_Shift!$B$4:$BJ$61,MATCH(Both_Shift_Roster!AQ$2,Morning_Shift!$B$2:$BJ$2,0),0),"")="",IFERROR(VLOOKUP($B51,Evening_Shift!$B$4:$BJ$62,MATCH(Both_Shift_Roster!AQ$2,Evening_Shift!$B$2:$BJ$2,0),0),""),IFERROR(VLOOKUP($B51,Morning_Shift!$B$4:$BJ$61,MATCH(Both_Shift_Roster!AQ$2,Morning_Shift!$B$2:$BJ$2,0),0),""))</f>
        <v>10:00-17:00</v>
      </c>
      <c r="AR51" s="2" t="str">
        <f>IF(IFERROR(VLOOKUP($B51,Morning_Shift!$B$4:$BJ$61,MATCH(Both_Shift_Roster!AR$2,Morning_Shift!$B$2:$BJ$2,0),0),"")="",IFERROR(VLOOKUP($B51,Evening_Shift!$B$4:$BJ$62,MATCH(Both_Shift_Roster!AR$2,Evening_Shift!$B$2:$BJ$2,0),0),""),IFERROR(VLOOKUP($B51,Morning_Shift!$B$4:$BJ$61,MATCH(Both_Shift_Roster!AR$2,Morning_Shift!$B$2:$BJ$2,0),0),""))</f>
        <v>10:00-17:00</v>
      </c>
      <c r="AS51" s="2" t="str">
        <f>IF(IFERROR(VLOOKUP($B51,Morning_Shift!$B$4:$BJ$61,MATCH(Both_Shift_Roster!AS$2,Morning_Shift!$B$2:$BJ$2,0),0),"")="",IFERROR(VLOOKUP($B51,Evening_Shift!$B$4:$BJ$62,MATCH(Both_Shift_Roster!AS$2,Evening_Shift!$B$2:$BJ$2,0),0),""),IFERROR(VLOOKUP($B51,Morning_Shift!$B$4:$BJ$61,MATCH(Both_Shift_Roster!AS$2,Morning_Shift!$B$2:$BJ$2,0),0),""))</f>
        <v>TL Choice WO</v>
      </c>
      <c r="AT51" s="2" t="str">
        <f>IF(IFERROR(VLOOKUP($B51,Morning_Shift!$B$4:$BJ$61,MATCH(Both_Shift_Roster!AT$2,Morning_Shift!$B$2:$BJ$2,0),0),"")="",IFERROR(VLOOKUP($B51,Evening_Shift!$B$4:$BJ$62,MATCH(Both_Shift_Roster!AT$2,Evening_Shift!$B$2:$BJ$2,0),0),""),IFERROR(VLOOKUP($B51,Morning_Shift!$B$4:$BJ$61,MATCH(Both_Shift_Roster!AT$2,Morning_Shift!$B$2:$BJ$2,0),0),""))</f>
        <v>10:00-17:00</v>
      </c>
      <c r="AU51" s="2" t="str">
        <f>IF(IFERROR(VLOOKUP($B51,Morning_Shift!$B$4:$BJ$61,MATCH(Both_Shift_Roster!AU$2,Morning_Shift!$B$2:$BJ$2,0),0),"")="",IFERROR(VLOOKUP($B51,Evening_Shift!$B$4:$BJ$62,MATCH(Both_Shift_Roster!AU$2,Evening_Shift!$B$2:$BJ$2,0),0),""),IFERROR(VLOOKUP($B51,Morning_Shift!$B$4:$BJ$61,MATCH(Both_Shift_Roster!AU$2,Morning_Shift!$B$2:$BJ$2,0),0),""))</f>
        <v>10:00-17:00</v>
      </c>
      <c r="AV51" s="2" t="str">
        <f>IF(IFERROR(VLOOKUP($B51,Morning_Shift!$B$4:$BJ$61,MATCH(Both_Shift_Roster!AV$2,Morning_Shift!$B$2:$BJ$2,0),0),"")="",IFERROR(VLOOKUP($B51,Evening_Shift!$B$4:$BJ$62,MATCH(Both_Shift_Roster!AV$2,Evening_Shift!$B$2:$BJ$2,0),0),""),IFERROR(VLOOKUP($B51,Morning_Shift!$B$4:$BJ$61,MATCH(Both_Shift_Roster!AV$2,Morning_Shift!$B$2:$BJ$2,0),0),""))</f>
        <v>TL Choice WO</v>
      </c>
      <c r="AW51" s="2" t="str">
        <f>IF(IFERROR(VLOOKUP($B51,Morning_Shift!$B$4:$BJ$61,MATCH(Both_Shift_Roster!AW$2,Morning_Shift!$B$2:$BJ$2,0),0),"")="",IFERROR(VLOOKUP($B51,Evening_Shift!$B$4:$BJ$62,MATCH(Both_Shift_Roster!AW$2,Evening_Shift!$B$2:$BJ$2,0),0),""),IFERROR(VLOOKUP($B51,Morning_Shift!$B$4:$BJ$61,MATCH(Both_Shift_Roster!AW$2,Morning_Shift!$B$2:$BJ$2,0),0),""))</f>
        <v>7:00-14:30</v>
      </c>
      <c r="AX51" s="2">
        <f t="shared" si="30"/>
        <v>0</v>
      </c>
      <c r="AY51" s="2">
        <f t="shared" si="31"/>
        <v>2</v>
      </c>
      <c r="AZ51" s="2">
        <f t="shared" si="32"/>
        <v>0</v>
      </c>
      <c r="BA51" s="2">
        <f t="shared" si="33"/>
        <v>0</v>
      </c>
      <c r="BB51" s="2">
        <f t="shared" si="34"/>
        <v>0</v>
      </c>
      <c r="BC51" s="2" t="str">
        <f>IF(IFERROR(VLOOKUP($B51,Morning_Shift!$B$4:$BJ$61,MATCH(Both_Shift_Roster!BC$2,Morning_Shift!$B$2:$BJ$2,0),0),"")="",IFERROR(VLOOKUP($B51,Evening_Shift!$B$4:$BJ$62,MATCH(Both_Shift_Roster!BC$2,Evening_Shift!$B$2:$BJ$2,0),0),""),IFERROR(VLOOKUP($B51,Morning_Shift!$B$4:$BJ$61,MATCH(Both_Shift_Roster!BC$2,Morning_Shift!$B$2:$BJ$2,0),0),""))</f>
        <v>10:00-17:00</v>
      </c>
      <c r="BD51" s="2" t="str">
        <f>IF(IFERROR(VLOOKUP($B51,Morning_Shift!$B$4:$BJ$61,MATCH(Both_Shift_Roster!BD$2,Morning_Shift!$B$2:$BJ$2,0),0),"")="",IFERROR(VLOOKUP($B51,Evening_Shift!$B$4:$BJ$62,MATCH(Both_Shift_Roster!BD$2,Evening_Shift!$B$2:$BJ$2,0),0),""),IFERROR(VLOOKUP($B51,Morning_Shift!$B$4:$BJ$61,MATCH(Both_Shift_Roster!BD$2,Morning_Shift!$B$2:$BJ$2,0),0),""))</f>
        <v>10:00-17:00</v>
      </c>
      <c r="BE51" s="2" t="str">
        <f>IF(IFERROR(VLOOKUP($B51,Morning_Shift!$B$4:$BJ$61,MATCH(Both_Shift_Roster!BE$2,Morning_Shift!$B$2:$BJ$2,0),0),"")="",IFERROR(VLOOKUP($B51,Evening_Shift!$B$4:$BJ$59,MATCH(Both_Shift_Roster!BE$2,Evening_Shift!$B$2:$BJ$2,0),0),""),IFERROR(VLOOKUP($B51,Morning_Shift!$B$4:$BJ$61,MATCH(Both_Shift_Roster!BE$2,Morning_Shift!$B$2:$BJ$2,0),0),""))</f>
        <v>10:00-17:00</v>
      </c>
      <c r="BF51" s="2">
        <f t="shared" si="35"/>
        <v>0</v>
      </c>
      <c r="BG51" s="2">
        <f t="shared" si="36"/>
        <v>0</v>
      </c>
      <c r="BH51" s="2">
        <f t="shared" si="37"/>
        <v>0</v>
      </c>
      <c r="BI51" s="2">
        <f t="shared" si="38"/>
        <v>0</v>
      </c>
      <c r="BJ51" s="2">
        <f t="shared" si="39"/>
        <v>0</v>
      </c>
    </row>
    <row r="52" spans="1:62">
      <c r="A52" s="17">
        <f t="shared" si="40"/>
        <v>49</v>
      </c>
      <c r="B52" s="16" t="str">
        <f>Morning_Shift!$B52</f>
        <v>Dritm108</v>
      </c>
      <c r="C52" s="21" t="str">
        <f>IF(IFERROR(VLOOKUP(B52,Morning_Shift!B:C,2,0),"")="",IFERROR(VLOOKUP(B52,Evening_Shift!B:C,2,0),""),IFERROR(VLOOKUP(B52,Morning_Shift!B:C,2,0),""))</f>
        <v xml:space="preserve">Sarojani Sharma </v>
      </c>
      <c r="D52" s="15" t="str">
        <f>IF(IFERROR(VLOOKUP(B52,Morning_Shift!B:D,3,0),"")="",IFERROR(VLOOKUP(B52,Evening_Shift!B:D,3,0),""),IFERROR(VLOOKUP(B52,Morning_Shift!B:D,3,0),""))</f>
        <v>Naina</v>
      </c>
      <c r="E52" s="4" t="str">
        <f>IF(IFERROR(VLOOKUP(B52,Morning_Shift!B:E,4,0),"")="",IFERROR(VLOOKUP(B52,Evening_Shift!B:E,4,0),""),IFERROR(VLOOKUP(B52,Morning_Shift!B:E,4,0),""))</f>
        <v>F</v>
      </c>
      <c r="F52" s="5" t="str">
        <f>IF(IFERROR(VLOOKUP(B52,Morning_Shift!B:F,5,0),"")="",IFERROR(VLOOKUP(B52,Evening_Shift!B:F,5,0),""),IFERROR(VLOOKUP(B52,Morning_Shift!B:F,5,0),""))</f>
        <v>Inbound</v>
      </c>
      <c r="G52" s="2" t="str">
        <f>IF(IFERROR(VLOOKUP($B52,Morning_Shift!$B$4:$BJ$61,MATCH(Both_Shift_Roster!G$2,Morning_Shift!$B$2:$BJ$2,0),0),"")="",IFERROR(VLOOKUP($B52,Evening_Shift!$B$4:$BJ$62,MATCH(Both_Shift_Roster!G$2,Evening_Shift!$B$2:$BJ$2,0),0),""),IFERROR(VLOOKUP($B52,Morning_Shift!$B$4:$BJ$61,MATCH(Both_Shift_Roster!G$2,Morning_Shift!$B$2:$BJ$2,0),0),""))</f>
        <v>7:00-14:30</v>
      </c>
      <c r="H52" s="2" t="str">
        <f>IF(IFERROR(VLOOKUP($B52,Morning_Shift!$B$4:$BJ$61,MATCH(Both_Shift_Roster!H$2,Morning_Shift!$B$2:$BJ$2,0),0),"")="",IFERROR(VLOOKUP($B52,Evening_Shift!$B$4:$BJ$62,MATCH(Both_Shift_Roster!H$2,Evening_Shift!$B$2:$BJ$2,0),0),""),IFERROR(VLOOKUP($B52,Morning_Shift!$B$4:$BJ$61,MATCH(Both_Shift_Roster!H$2,Morning_Shift!$B$2:$BJ$2,0),0),""))</f>
        <v>7:00-14:30</v>
      </c>
      <c r="I52" s="2" t="str">
        <f>IF(IFERROR(VLOOKUP($B52,Morning_Shift!$B$4:$BJ$61,MATCH(Both_Shift_Roster!I$2,Morning_Shift!$B$2:$BJ$2,0),0),"")="",IFERROR(VLOOKUP($B52,Evening_Shift!$B$4:$BJ$62,MATCH(Both_Shift_Roster!I$2,Evening_Shift!$B$2:$BJ$2,0),0),""),IFERROR(VLOOKUP($B52,Morning_Shift!$B$4:$BJ$61,MATCH(Both_Shift_Roster!I$2,Morning_Shift!$B$2:$BJ$2,0),0),""))</f>
        <v>7:00-14:30</v>
      </c>
      <c r="J52" s="2" t="str">
        <f>IF(IFERROR(VLOOKUP($B52,Morning_Shift!$B$4:$BJ$61,MATCH(Both_Shift_Roster!J$2,Morning_Shift!$B$2:$BJ$2,0),0),"")="",IFERROR(VLOOKUP($B52,Evening_Shift!$B$4:$BJ$62,MATCH(Both_Shift_Roster!J$2,Evening_Shift!$B$2:$BJ$2,0),0),""),IFERROR(VLOOKUP($B52,Morning_Shift!$B$4:$BJ$61,MATCH(Both_Shift_Roster!J$2,Morning_Shift!$B$2:$BJ$2,0),0),""))</f>
        <v>7:00-14:30</v>
      </c>
      <c r="K52" s="2" t="str">
        <f>IF(IFERROR(VLOOKUP($B52,Morning_Shift!$B$4:$BJ$61,MATCH(Both_Shift_Roster!K$2,Morning_Shift!$B$2:$BJ$2,0),0),"")="",IFERROR(VLOOKUP($B52,Evening_Shift!$B$4:$BJ$62,MATCH(Both_Shift_Roster!K$2,Evening_Shift!$B$2:$BJ$2,0),0),""),IFERROR(VLOOKUP($B52,Morning_Shift!$B$4:$BJ$61,MATCH(Both_Shift_Roster!K$2,Morning_Shift!$B$2:$BJ$2,0),0),""))</f>
        <v>7:00-14:30</v>
      </c>
      <c r="L52" s="2" t="str">
        <f>IF(IFERROR(VLOOKUP($B52,Morning_Shift!$B$4:$BJ$61,MATCH(Both_Shift_Roster!L$2,Morning_Shift!$B$2:$BJ$2,0),0),"")="",IFERROR(VLOOKUP($B52,Evening_Shift!$B$4:$BJ$62,MATCH(Both_Shift_Roster!L$2,Evening_Shift!$B$2:$BJ$2,0),0),""),IFERROR(VLOOKUP($B52,Morning_Shift!$B$4:$BJ$61,MATCH(Both_Shift_Roster!L$2,Morning_Shift!$B$2:$BJ$2,0),0),""))</f>
        <v>7:00-14:30</v>
      </c>
      <c r="M52" s="2" t="str">
        <f>IF(IFERROR(VLOOKUP($B52,Morning_Shift!$B$4:$BJ$61,MATCH(Both_Shift_Roster!M$2,Morning_Shift!$B$2:$BJ$2,0),0),"")="",IFERROR(VLOOKUP($B52,Evening_Shift!$B$4:$BJ$62,MATCH(Both_Shift_Roster!M$2,Evening_Shift!$B$2:$BJ$2,0),0),""),IFERROR(VLOOKUP($B52,Morning_Shift!$B$4:$BJ$61,MATCH(Both_Shift_Roster!M$2,Morning_Shift!$B$2:$BJ$2,0),0),""))</f>
        <v>7:00-14:30</v>
      </c>
      <c r="N52" s="2">
        <f t="shared" si="15"/>
        <v>0</v>
      </c>
      <c r="O52" s="2">
        <f t="shared" si="16"/>
        <v>0</v>
      </c>
      <c r="P52" s="2">
        <f t="shared" si="17"/>
        <v>0</v>
      </c>
      <c r="Q52" s="2">
        <f t="shared" si="18"/>
        <v>0</v>
      </c>
      <c r="R52" s="2">
        <f t="shared" si="19"/>
        <v>0</v>
      </c>
      <c r="S52" s="2" t="str">
        <f>IF(IFERROR(VLOOKUP($B52,Morning_Shift!$B$4:$BJ$61,MATCH(Both_Shift_Roster!S$2,Morning_Shift!$B$2:$BJ$2,0),0),"")="",IFERROR(VLOOKUP($B52,Evening_Shift!$B$4:$BJ$62,MATCH(Both_Shift_Roster!S$2,Evening_Shift!$B$2:$BJ$2,0),0),""),IFERROR(VLOOKUP($B52,Morning_Shift!$B$4:$BJ$61,MATCH(Both_Shift_Roster!S$2,Morning_Shift!$B$2:$BJ$2,0),0),""))</f>
        <v>7:00-14:30</v>
      </c>
      <c r="T52" s="2" t="str">
        <f>IF(IFERROR(VLOOKUP($B52,Morning_Shift!$B$4:$BJ$61,MATCH(Both_Shift_Roster!T$2,Morning_Shift!$B$2:$BJ$2,0),0),"")="",IFERROR(VLOOKUP($B52,Evening_Shift!$B$4:$BJ$62,MATCH(Both_Shift_Roster!T$2,Evening_Shift!$B$2:$BJ$2,0),0),""),IFERROR(VLOOKUP($B52,Morning_Shift!$B$4:$BJ$61,MATCH(Both_Shift_Roster!T$2,Morning_Shift!$B$2:$BJ$2,0),0),""))</f>
        <v>7:00-14:30</v>
      </c>
      <c r="U52" s="2" t="str">
        <f>IF(IFERROR(VLOOKUP($B52,Morning_Shift!$B$4:$BJ$61,MATCH(Both_Shift_Roster!U$2,Morning_Shift!$B$2:$BJ$2,0),0),"")="",IFERROR(VLOOKUP($B52,Evening_Shift!$B$4:$BJ$62,MATCH(Both_Shift_Roster!U$2,Evening_Shift!$B$2:$BJ$2,0),0),""),IFERROR(VLOOKUP($B52,Morning_Shift!$B$4:$BJ$61,MATCH(Both_Shift_Roster!U$2,Morning_Shift!$B$2:$BJ$2,0),0),""))</f>
        <v>7:00-14:30</v>
      </c>
      <c r="V52" s="2" t="str">
        <f>IF(IFERROR(VLOOKUP($B52,Morning_Shift!$B$4:$BJ$61,MATCH(Both_Shift_Roster!V$2,Morning_Shift!$B$2:$BJ$2,0),0),"")="",IFERROR(VLOOKUP($B52,Evening_Shift!$B$4:$BJ$62,MATCH(Both_Shift_Roster!V$2,Evening_Shift!$B$2:$BJ$2,0),0),""),IFERROR(VLOOKUP($B52,Morning_Shift!$B$4:$BJ$61,MATCH(Both_Shift_Roster!V$2,Morning_Shift!$B$2:$BJ$2,0),0),""))</f>
        <v>7:00-14:30</v>
      </c>
      <c r="W52" s="2" t="str">
        <f>IF(IFERROR(VLOOKUP($B52,Morning_Shift!$B$4:$BJ$61,MATCH(Both_Shift_Roster!W$2,Morning_Shift!$B$2:$BJ$2,0),0),"")="",IFERROR(VLOOKUP($B52,Evening_Shift!$B$4:$BJ$62,MATCH(Both_Shift_Roster!W$2,Evening_Shift!$B$2:$BJ$2,0),0),""),IFERROR(VLOOKUP($B52,Morning_Shift!$B$4:$BJ$61,MATCH(Both_Shift_Roster!W$2,Morning_Shift!$B$2:$BJ$2,0),0),""))</f>
        <v>Agent Choice WO</v>
      </c>
      <c r="X52" s="2" t="str">
        <f>IF(IFERROR(VLOOKUP($B52,Morning_Shift!$B$4:$BJ$61,MATCH(Both_Shift_Roster!X$2,Morning_Shift!$B$2:$BJ$2,0),0),"")="",IFERROR(VLOOKUP($B52,Evening_Shift!$B$4:$BJ$62,MATCH(Both_Shift_Roster!X$2,Evening_Shift!$B$2:$BJ$2,0),0),""),IFERROR(VLOOKUP($B52,Morning_Shift!$B$4:$BJ$61,MATCH(Both_Shift_Roster!X$2,Morning_Shift!$B$2:$BJ$2,0),0),""))</f>
        <v>Agent Choice WO</v>
      </c>
      <c r="Y52" s="2" t="str">
        <f>IF(IFERROR(VLOOKUP($B52,Morning_Shift!$B$4:$BJ$61,MATCH(Both_Shift_Roster!Y$2,Morning_Shift!$B$2:$BJ$2,0),0),"")="",IFERROR(VLOOKUP($B52,Evening_Shift!$B$4:$BJ$62,MATCH(Both_Shift_Roster!Y$2,Evening_Shift!$B$2:$BJ$2,0),0),""),IFERROR(VLOOKUP($B52,Morning_Shift!$B$4:$BJ$61,MATCH(Both_Shift_Roster!Y$2,Morning_Shift!$B$2:$BJ$2,0),0),""))</f>
        <v>7:00-14:30</v>
      </c>
      <c r="Z52" s="2">
        <f t="shared" si="20"/>
        <v>2</v>
      </c>
      <c r="AA52" s="2">
        <f t="shared" si="21"/>
        <v>0</v>
      </c>
      <c r="AB52" s="2">
        <f t="shared" si="22"/>
        <v>0</v>
      </c>
      <c r="AC52" s="2">
        <f t="shared" si="23"/>
        <v>0</v>
      </c>
      <c r="AD52" s="2">
        <f t="shared" si="24"/>
        <v>0</v>
      </c>
      <c r="AE52" s="2" t="str">
        <f>IF(IFERROR(VLOOKUP($B52,Morning_Shift!$B$4:$BJ$61,MATCH(Both_Shift_Roster!AE$2,Morning_Shift!$B$2:$BJ$2,0),0),"")="",IFERROR(VLOOKUP($B52,Evening_Shift!$B$4:$BJ$62,MATCH(Both_Shift_Roster!AE$2,Evening_Shift!$B$2:$BJ$2,0),0),""),IFERROR(VLOOKUP($B52,Morning_Shift!$B$4:$BJ$61,MATCH(Both_Shift_Roster!AE$2,Morning_Shift!$B$2:$BJ$2,0),0),""))</f>
        <v>7:00-14:30</v>
      </c>
      <c r="AF52" s="2" t="str">
        <f>IF(IFERROR(VLOOKUP($B52,Morning_Shift!$B$4:$BJ$61,MATCH(Both_Shift_Roster!AF$2,Morning_Shift!$B$2:$BJ$2,0),0),"")="",IFERROR(VLOOKUP($B52,Evening_Shift!$B$4:$BJ$62,MATCH(Both_Shift_Roster!AF$2,Evening_Shift!$B$2:$BJ$2,0),0),""),IFERROR(VLOOKUP($B52,Morning_Shift!$B$4:$BJ$61,MATCH(Both_Shift_Roster!AF$2,Morning_Shift!$B$2:$BJ$2,0),0),""))</f>
        <v>7:00-14:30</v>
      </c>
      <c r="AG52" s="2" t="str">
        <f>IF(IFERROR(VLOOKUP($B52,Morning_Shift!$B$4:$BJ$61,MATCH(Both_Shift_Roster!AG$2,Morning_Shift!$B$2:$BJ$2,0),0),"")="",IFERROR(VLOOKUP($B52,Evening_Shift!$B$4:$BJ$62,MATCH(Both_Shift_Roster!AG$2,Evening_Shift!$B$2:$BJ$2,0),0),""),IFERROR(VLOOKUP($B52,Morning_Shift!$B$4:$BJ$61,MATCH(Both_Shift_Roster!AG$2,Morning_Shift!$B$2:$BJ$2,0),0),""))</f>
        <v>7:00-14:30</v>
      </c>
      <c r="AH52" s="2" t="str">
        <f>IF(IFERROR(VLOOKUP($B52,Morning_Shift!$B$4:$BJ$61,MATCH(Both_Shift_Roster!AH$2,Morning_Shift!$B$2:$BJ$2,0),0),"")="",IFERROR(VLOOKUP($B52,Evening_Shift!$B$4:$BJ$62,MATCH(Both_Shift_Roster!AH$2,Evening_Shift!$B$2:$BJ$2,0),0),""),IFERROR(VLOOKUP($B52,Morning_Shift!$B$4:$BJ$61,MATCH(Both_Shift_Roster!AH$2,Morning_Shift!$B$2:$BJ$2,0),0),""))</f>
        <v>7:00-14:30</v>
      </c>
      <c r="AI52" s="2" t="str">
        <f>IF(IFERROR(VLOOKUP($B52,Morning_Shift!$B$4:$BJ$61,MATCH(Both_Shift_Roster!AI$2,Morning_Shift!$B$2:$BJ$2,0),0),"")="",IFERROR(VLOOKUP($B52,Evening_Shift!$B$4:$BJ$62,MATCH(Both_Shift_Roster!AI$2,Evening_Shift!$B$2:$BJ$2,0),0),""),IFERROR(VLOOKUP($B52,Morning_Shift!$B$4:$BJ$61,MATCH(Both_Shift_Roster!AI$2,Morning_Shift!$B$2:$BJ$2,0),0),""))</f>
        <v>7:00-14:30</v>
      </c>
      <c r="AJ52" s="2" t="str">
        <f>IF(IFERROR(VLOOKUP($B52,Morning_Shift!$B$4:$BJ$61,MATCH(Both_Shift_Roster!AJ$2,Morning_Shift!$B$2:$BJ$2,0),0),"")="",IFERROR(VLOOKUP($B52,Evening_Shift!$B$4:$BJ$62,MATCH(Both_Shift_Roster!AJ$2,Evening_Shift!$B$2:$BJ$2,0),0),""),IFERROR(VLOOKUP($B52,Morning_Shift!$B$4:$BJ$61,MATCH(Both_Shift_Roster!AJ$2,Morning_Shift!$B$2:$BJ$2,0),0),""))</f>
        <v>7:00-14:30</v>
      </c>
      <c r="AK52" s="2" t="str">
        <f>IF(IFERROR(VLOOKUP($B52,Morning_Shift!$B$4:$BJ$61,MATCH(Both_Shift_Roster!AK$2,Morning_Shift!$B$2:$BJ$2,0),0),"")="",IFERROR(VLOOKUP($B52,Evening_Shift!$B$4:$BJ$62,MATCH(Both_Shift_Roster!AK$2,Evening_Shift!$B$2:$BJ$2,0),0),""),IFERROR(VLOOKUP($B52,Morning_Shift!$B$4:$BJ$61,MATCH(Both_Shift_Roster!AK$2,Morning_Shift!$B$2:$BJ$2,0),0),""))</f>
        <v>7:00-14:30</v>
      </c>
      <c r="AL52" s="2">
        <f t="shared" si="25"/>
        <v>0</v>
      </c>
      <c r="AM52" s="2">
        <f t="shared" si="26"/>
        <v>0</v>
      </c>
      <c r="AN52" s="2">
        <f t="shared" si="27"/>
        <v>0</v>
      </c>
      <c r="AO52" s="2">
        <f t="shared" si="28"/>
        <v>0</v>
      </c>
      <c r="AP52" s="2">
        <f t="shared" si="29"/>
        <v>0</v>
      </c>
      <c r="AQ52" s="2" t="str">
        <f>IF(IFERROR(VLOOKUP($B52,Morning_Shift!$B$4:$BJ$61,MATCH(Both_Shift_Roster!AQ$2,Morning_Shift!$B$2:$BJ$2,0),0),"")="",IFERROR(VLOOKUP($B52,Evening_Shift!$B$4:$BJ$62,MATCH(Both_Shift_Roster!AQ$2,Evening_Shift!$B$2:$BJ$2,0),0),""),IFERROR(VLOOKUP($B52,Morning_Shift!$B$4:$BJ$61,MATCH(Both_Shift_Roster!AQ$2,Morning_Shift!$B$2:$BJ$2,0),0),""))</f>
        <v>7:00-14:30</v>
      </c>
      <c r="AR52" s="2" t="str">
        <f>IF(IFERROR(VLOOKUP($B52,Morning_Shift!$B$4:$BJ$61,MATCH(Both_Shift_Roster!AR$2,Morning_Shift!$B$2:$BJ$2,0),0),"")="",IFERROR(VLOOKUP($B52,Evening_Shift!$B$4:$BJ$62,MATCH(Both_Shift_Roster!AR$2,Evening_Shift!$B$2:$BJ$2,0),0),""),IFERROR(VLOOKUP($B52,Morning_Shift!$B$4:$BJ$61,MATCH(Both_Shift_Roster!AR$2,Morning_Shift!$B$2:$BJ$2,0),0),""))</f>
        <v>Agent Choice WO</v>
      </c>
      <c r="AS52" s="2" t="str">
        <f>IF(IFERROR(VLOOKUP($B52,Morning_Shift!$B$4:$BJ$61,MATCH(Both_Shift_Roster!AS$2,Morning_Shift!$B$2:$BJ$2,0),0),"")="",IFERROR(VLOOKUP($B52,Evening_Shift!$B$4:$BJ$62,MATCH(Both_Shift_Roster!AS$2,Evening_Shift!$B$2:$BJ$2,0),0),""),IFERROR(VLOOKUP($B52,Morning_Shift!$B$4:$BJ$61,MATCH(Both_Shift_Roster!AS$2,Morning_Shift!$B$2:$BJ$2,0),0),""))</f>
        <v>7:00-14:30</v>
      </c>
      <c r="AT52" s="2" t="str">
        <f>IF(IFERROR(VLOOKUP($B52,Morning_Shift!$B$4:$BJ$61,MATCH(Both_Shift_Roster!AT$2,Morning_Shift!$B$2:$BJ$2,0),0),"")="",IFERROR(VLOOKUP($B52,Evening_Shift!$B$4:$BJ$62,MATCH(Both_Shift_Roster!AT$2,Evening_Shift!$B$2:$BJ$2,0),0),""),IFERROR(VLOOKUP($B52,Morning_Shift!$B$4:$BJ$61,MATCH(Both_Shift_Roster!AT$2,Morning_Shift!$B$2:$BJ$2,0),0),""))</f>
        <v>7:00-14:30</v>
      </c>
      <c r="AU52" s="2" t="str">
        <f>IF(IFERROR(VLOOKUP($B52,Morning_Shift!$B$4:$BJ$61,MATCH(Both_Shift_Roster!AU$2,Morning_Shift!$B$2:$BJ$2,0),0),"")="",IFERROR(VLOOKUP($B52,Evening_Shift!$B$4:$BJ$62,MATCH(Both_Shift_Roster!AU$2,Evening_Shift!$B$2:$BJ$2,0),0),""),IFERROR(VLOOKUP($B52,Morning_Shift!$B$4:$BJ$61,MATCH(Both_Shift_Roster!AU$2,Morning_Shift!$B$2:$BJ$2,0),0),""))</f>
        <v>Agent Choice WO</v>
      </c>
      <c r="AV52" s="2" t="str">
        <f>IF(IFERROR(VLOOKUP($B52,Morning_Shift!$B$4:$BJ$61,MATCH(Both_Shift_Roster!AV$2,Morning_Shift!$B$2:$BJ$2,0),0),"")="",IFERROR(VLOOKUP($B52,Evening_Shift!$B$4:$BJ$62,MATCH(Both_Shift_Roster!AV$2,Evening_Shift!$B$2:$BJ$2,0),0),""),IFERROR(VLOOKUP($B52,Morning_Shift!$B$4:$BJ$61,MATCH(Both_Shift_Roster!AV$2,Morning_Shift!$B$2:$BJ$2,0),0),""))</f>
        <v>7:00-14:30</v>
      </c>
      <c r="AW52" s="2" t="str">
        <f>IF(IFERROR(VLOOKUP($B52,Morning_Shift!$B$4:$BJ$61,MATCH(Both_Shift_Roster!AW$2,Morning_Shift!$B$2:$BJ$2,0),0),"")="",IFERROR(VLOOKUP($B52,Evening_Shift!$B$4:$BJ$62,MATCH(Both_Shift_Roster!AW$2,Evening_Shift!$B$2:$BJ$2,0),0),""),IFERROR(VLOOKUP($B52,Morning_Shift!$B$4:$BJ$61,MATCH(Both_Shift_Roster!AW$2,Morning_Shift!$B$2:$BJ$2,0),0),""))</f>
        <v>7:00-14:30</v>
      </c>
      <c r="AX52" s="2">
        <f t="shared" si="30"/>
        <v>2</v>
      </c>
      <c r="AY52" s="2">
        <f t="shared" si="31"/>
        <v>0</v>
      </c>
      <c r="AZ52" s="2">
        <f t="shared" si="32"/>
        <v>0</v>
      </c>
      <c r="BA52" s="2">
        <f t="shared" si="33"/>
        <v>0</v>
      </c>
      <c r="BB52" s="2">
        <f t="shared" si="34"/>
        <v>0</v>
      </c>
      <c r="BC52" s="2" t="str">
        <f>IF(IFERROR(VLOOKUP($B52,Morning_Shift!$B$4:$BJ$61,MATCH(Both_Shift_Roster!BC$2,Morning_Shift!$B$2:$BJ$2,0),0),"")="",IFERROR(VLOOKUP($B52,Evening_Shift!$B$4:$BJ$62,MATCH(Both_Shift_Roster!BC$2,Evening_Shift!$B$2:$BJ$2,0),0),""),IFERROR(VLOOKUP($B52,Morning_Shift!$B$4:$BJ$61,MATCH(Both_Shift_Roster!BC$2,Morning_Shift!$B$2:$BJ$2,0),0),""))</f>
        <v>7:00-14:30</v>
      </c>
      <c r="BD52" s="2" t="str">
        <f>IF(IFERROR(VLOOKUP($B52,Morning_Shift!$B$4:$BJ$61,MATCH(Both_Shift_Roster!BD$2,Morning_Shift!$B$2:$BJ$2,0),0),"")="",IFERROR(VLOOKUP($B52,Evening_Shift!$B$4:$BJ$62,MATCH(Both_Shift_Roster!BD$2,Evening_Shift!$B$2:$BJ$2,0),0),""),IFERROR(VLOOKUP($B52,Morning_Shift!$B$4:$BJ$61,MATCH(Both_Shift_Roster!BD$2,Morning_Shift!$B$2:$BJ$2,0),0),""))</f>
        <v>7:00-14:30</v>
      </c>
      <c r="BE52" s="2" t="str">
        <f>IF(IFERROR(VLOOKUP($B52,Morning_Shift!$B$4:$BJ$61,MATCH(Both_Shift_Roster!BE$2,Morning_Shift!$B$2:$BJ$2,0),0),"")="",IFERROR(VLOOKUP($B52,Evening_Shift!$B$4:$BJ$59,MATCH(Both_Shift_Roster!BE$2,Evening_Shift!$B$2:$BJ$2,0),0),""),IFERROR(VLOOKUP($B52,Morning_Shift!$B$4:$BJ$61,MATCH(Both_Shift_Roster!BE$2,Morning_Shift!$B$2:$BJ$2,0),0),""))</f>
        <v>7:00-14:30</v>
      </c>
      <c r="BF52" s="2">
        <f t="shared" si="35"/>
        <v>0</v>
      </c>
      <c r="BG52" s="2">
        <f t="shared" si="36"/>
        <v>0</v>
      </c>
      <c r="BH52" s="2">
        <f t="shared" si="37"/>
        <v>0</v>
      </c>
      <c r="BI52" s="2">
        <f t="shared" si="38"/>
        <v>0</v>
      </c>
      <c r="BJ52" s="2">
        <f t="shared" si="39"/>
        <v>0</v>
      </c>
    </row>
    <row r="53" spans="1:62">
      <c r="A53" s="17">
        <f t="shared" si="40"/>
        <v>50</v>
      </c>
      <c r="B53" s="16" t="str">
        <f>Morning_Shift!$B53</f>
        <v>Dritm38</v>
      </c>
      <c r="C53" s="21" t="str">
        <f>IF(IFERROR(VLOOKUP(B53,Morning_Shift!B:C,2,0),"")="",IFERROR(VLOOKUP(B53,Evening_Shift!B:C,2,0),""),IFERROR(VLOOKUP(B53,Morning_Shift!B:C,2,0),""))</f>
        <v>Sarswati Bhardwaj</v>
      </c>
      <c r="D53" s="15" t="str">
        <f>IF(IFERROR(VLOOKUP(B53,Morning_Shift!B:D,3,0),"")="",IFERROR(VLOOKUP(B53,Evening_Shift!B:D,3,0),""),IFERROR(VLOOKUP(B53,Morning_Shift!B:D,3,0),""))</f>
        <v>Naina</v>
      </c>
      <c r="E53" s="4" t="str">
        <f>IF(IFERROR(VLOOKUP(B53,Morning_Shift!B:E,4,0),"")="",IFERROR(VLOOKUP(B53,Evening_Shift!B:E,4,0),""),IFERROR(VLOOKUP(B53,Morning_Shift!B:E,4,0),""))</f>
        <v>F</v>
      </c>
      <c r="F53" s="5" t="str">
        <f>IF(IFERROR(VLOOKUP(B53,Morning_Shift!B:F,5,0),"")="",IFERROR(VLOOKUP(B53,Evening_Shift!B:F,5,0),""),IFERROR(VLOOKUP(B53,Morning_Shift!B:F,5,0),""))</f>
        <v>Himseva manual preview</v>
      </c>
      <c r="G53" s="2" t="str">
        <f>IF(IFERROR(VLOOKUP($B53,Morning_Shift!$B$4:$BJ$61,MATCH(Both_Shift_Roster!G$2,Morning_Shift!$B$2:$BJ$2,0),0),"")="",IFERROR(VLOOKUP($B53,Evening_Shift!$B$4:$BJ$62,MATCH(Both_Shift_Roster!G$2,Evening_Shift!$B$2:$BJ$2,0),0),""),IFERROR(VLOOKUP($B53,Morning_Shift!$B$4:$BJ$61,MATCH(Both_Shift_Roster!G$2,Morning_Shift!$B$2:$BJ$2,0),0),""))</f>
        <v>Agent Choice WO</v>
      </c>
      <c r="H53" s="2" t="str">
        <f>IF(IFERROR(VLOOKUP($B53,Morning_Shift!$B$4:$BJ$61,MATCH(Both_Shift_Roster!H$2,Morning_Shift!$B$2:$BJ$2,0),0),"")="",IFERROR(VLOOKUP($B53,Evening_Shift!$B$4:$BJ$62,MATCH(Both_Shift_Roster!H$2,Evening_Shift!$B$2:$BJ$2,0),0),""),IFERROR(VLOOKUP($B53,Morning_Shift!$B$4:$BJ$61,MATCH(Both_Shift_Roster!H$2,Morning_Shift!$B$2:$BJ$2,0),0),""))</f>
        <v>7:00-14:30</v>
      </c>
      <c r="I53" s="2" t="str">
        <f>IF(IFERROR(VLOOKUP($B53,Morning_Shift!$B$4:$BJ$61,MATCH(Both_Shift_Roster!I$2,Morning_Shift!$B$2:$BJ$2,0),0),"")="",IFERROR(VLOOKUP($B53,Evening_Shift!$B$4:$BJ$62,MATCH(Both_Shift_Roster!I$2,Evening_Shift!$B$2:$BJ$2,0),0),""),IFERROR(VLOOKUP($B53,Morning_Shift!$B$4:$BJ$61,MATCH(Both_Shift_Roster!I$2,Morning_Shift!$B$2:$BJ$2,0),0),""))</f>
        <v>7:00-14:30</v>
      </c>
      <c r="J53" s="2" t="str">
        <f>IF(IFERROR(VLOOKUP($B53,Morning_Shift!$B$4:$BJ$61,MATCH(Both_Shift_Roster!J$2,Morning_Shift!$B$2:$BJ$2,0),0),"")="",IFERROR(VLOOKUP($B53,Evening_Shift!$B$4:$BJ$62,MATCH(Both_Shift_Roster!J$2,Evening_Shift!$B$2:$BJ$2,0),0),""),IFERROR(VLOOKUP($B53,Morning_Shift!$B$4:$BJ$61,MATCH(Both_Shift_Roster!J$2,Morning_Shift!$B$2:$BJ$2,0),0),""))</f>
        <v>7:00-14:30</v>
      </c>
      <c r="K53" s="2" t="str">
        <f>IF(IFERROR(VLOOKUP($B53,Morning_Shift!$B$4:$BJ$61,MATCH(Both_Shift_Roster!K$2,Morning_Shift!$B$2:$BJ$2,0),0),"")="",IFERROR(VLOOKUP($B53,Evening_Shift!$B$4:$BJ$62,MATCH(Both_Shift_Roster!K$2,Evening_Shift!$B$2:$BJ$2,0),0),""),IFERROR(VLOOKUP($B53,Morning_Shift!$B$4:$BJ$61,MATCH(Both_Shift_Roster!K$2,Morning_Shift!$B$2:$BJ$2,0),0),""))</f>
        <v>7:00-14:30</v>
      </c>
      <c r="L53" s="2" t="str">
        <f>IF(IFERROR(VLOOKUP($B53,Morning_Shift!$B$4:$BJ$61,MATCH(Both_Shift_Roster!L$2,Morning_Shift!$B$2:$BJ$2,0),0),"")="",IFERROR(VLOOKUP($B53,Evening_Shift!$B$4:$BJ$62,MATCH(Both_Shift_Roster!L$2,Evening_Shift!$B$2:$BJ$2,0),0),""),IFERROR(VLOOKUP($B53,Morning_Shift!$B$4:$BJ$61,MATCH(Both_Shift_Roster!L$2,Morning_Shift!$B$2:$BJ$2,0),0),""))</f>
        <v>7:00-14:30</v>
      </c>
      <c r="M53" s="2" t="str">
        <f>IF(IFERROR(VLOOKUP($B53,Morning_Shift!$B$4:$BJ$61,MATCH(Both_Shift_Roster!M$2,Morning_Shift!$B$2:$BJ$2,0),0),"")="",IFERROR(VLOOKUP($B53,Evening_Shift!$B$4:$BJ$62,MATCH(Both_Shift_Roster!M$2,Evening_Shift!$B$2:$BJ$2,0),0),""),IFERROR(VLOOKUP($B53,Morning_Shift!$B$4:$BJ$61,MATCH(Both_Shift_Roster!M$2,Morning_Shift!$B$2:$BJ$2,0),0),""))</f>
        <v>7:00-14:30</v>
      </c>
      <c r="N53" s="2">
        <f t="shared" si="15"/>
        <v>1</v>
      </c>
      <c r="O53" s="2">
        <f t="shared" si="16"/>
        <v>0</v>
      </c>
      <c r="P53" s="2">
        <f t="shared" si="17"/>
        <v>0</v>
      </c>
      <c r="Q53" s="2">
        <f t="shared" si="18"/>
        <v>0</v>
      </c>
      <c r="R53" s="2">
        <f t="shared" si="19"/>
        <v>0</v>
      </c>
      <c r="S53" s="2" t="str">
        <f>IF(IFERROR(VLOOKUP($B53,Morning_Shift!$B$4:$BJ$61,MATCH(Both_Shift_Roster!S$2,Morning_Shift!$B$2:$BJ$2,0),0),"")="",IFERROR(VLOOKUP($B53,Evening_Shift!$B$4:$BJ$62,MATCH(Both_Shift_Roster!S$2,Evening_Shift!$B$2:$BJ$2,0),0),""),IFERROR(VLOOKUP($B53,Morning_Shift!$B$4:$BJ$61,MATCH(Both_Shift_Roster!S$2,Morning_Shift!$B$2:$BJ$2,0),0),""))</f>
        <v>7:00-14:30</v>
      </c>
      <c r="T53" s="2" t="str">
        <f>IF(IFERROR(VLOOKUP($B53,Morning_Shift!$B$4:$BJ$61,MATCH(Both_Shift_Roster!T$2,Morning_Shift!$B$2:$BJ$2,0),0),"")="",IFERROR(VLOOKUP($B53,Evening_Shift!$B$4:$BJ$62,MATCH(Both_Shift_Roster!T$2,Evening_Shift!$B$2:$BJ$2,0),0),""),IFERROR(VLOOKUP($B53,Morning_Shift!$B$4:$BJ$61,MATCH(Both_Shift_Roster!T$2,Morning_Shift!$B$2:$BJ$2,0),0),""))</f>
        <v>7:00-14:30</v>
      </c>
      <c r="U53" s="2" t="str">
        <f>IF(IFERROR(VLOOKUP($B53,Morning_Shift!$B$4:$BJ$61,MATCH(Both_Shift_Roster!U$2,Morning_Shift!$B$2:$BJ$2,0),0),"")="",IFERROR(VLOOKUP($B53,Evening_Shift!$B$4:$BJ$62,MATCH(Both_Shift_Roster!U$2,Evening_Shift!$B$2:$BJ$2,0),0),""),IFERROR(VLOOKUP($B53,Morning_Shift!$B$4:$BJ$61,MATCH(Both_Shift_Roster!U$2,Morning_Shift!$B$2:$BJ$2,0),0),""))</f>
        <v>Agent Choice WO</v>
      </c>
      <c r="V53" s="2" t="str">
        <f>IF(IFERROR(VLOOKUP($B53,Morning_Shift!$B$4:$BJ$61,MATCH(Both_Shift_Roster!V$2,Morning_Shift!$B$2:$BJ$2,0),0),"")="",IFERROR(VLOOKUP($B53,Evening_Shift!$B$4:$BJ$62,MATCH(Both_Shift_Roster!V$2,Evening_Shift!$B$2:$BJ$2,0),0),""),IFERROR(VLOOKUP($B53,Morning_Shift!$B$4:$BJ$61,MATCH(Both_Shift_Roster!V$2,Morning_Shift!$B$2:$BJ$2,0),0),""))</f>
        <v>7:00-14:30</v>
      </c>
      <c r="W53" s="2" t="str">
        <f>IF(IFERROR(VLOOKUP($B53,Morning_Shift!$B$4:$BJ$61,MATCH(Both_Shift_Roster!W$2,Morning_Shift!$B$2:$BJ$2,0),0),"")="",IFERROR(VLOOKUP($B53,Evening_Shift!$B$4:$BJ$62,MATCH(Both_Shift_Roster!W$2,Evening_Shift!$B$2:$BJ$2,0),0),""),IFERROR(VLOOKUP($B53,Morning_Shift!$B$4:$BJ$61,MATCH(Both_Shift_Roster!W$2,Morning_Shift!$B$2:$BJ$2,0),0),""))</f>
        <v>7:00-14:30</v>
      </c>
      <c r="X53" s="2" t="str">
        <f>IF(IFERROR(VLOOKUP($B53,Morning_Shift!$B$4:$BJ$61,MATCH(Both_Shift_Roster!X$2,Morning_Shift!$B$2:$BJ$2,0),0),"")="",IFERROR(VLOOKUP($B53,Evening_Shift!$B$4:$BJ$62,MATCH(Both_Shift_Roster!X$2,Evening_Shift!$B$2:$BJ$2,0),0),""),IFERROR(VLOOKUP($B53,Morning_Shift!$B$4:$BJ$61,MATCH(Both_Shift_Roster!X$2,Morning_Shift!$B$2:$BJ$2,0),0),""))</f>
        <v>7:00-14:30</v>
      </c>
      <c r="Y53" s="2" t="str">
        <f>IF(IFERROR(VLOOKUP($B53,Morning_Shift!$B$4:$BJ$61,MATCH(Both_Shift_Roster!Y$2,Morning_Shift!$B$2:$BJ$2,0),0),"")="",IFERROR(VLOOKUP($B53,Evening_Shift!$B$4:$BJ$62,MATCH(Both_Shift_Roster!Y$2,Evening_Shift!$B$2:$BJ$2,0),0),""),IFERROR(VLOOKUP($B53,Morning_Shift!$B$4:$BJ$61,MATCH(Both_Shift_Roster!Y$2,Morning_Shift!$B$2:$BJ$2,0),0),""))</f>
        <v>7:00-14:30</v>
      </c>
      <c r="Z53" s="2">
        <f t="shared" si="20"/>
        <v>1</v>
      </c>
      <c r="AA53" s="2">
        <f t="shared" si="21"/>
        <v>0</v>
      </c>
      <c r="AB53" s="2">
        <f t="shared" si="22"/>
        <v>0</v>
      </c>
      <c r="AC53" s="2">
        <f t="shared" si="23"/>
        <v>0</v>
      </c>
      <c r="AD53" s="2">
        <f t="shared" si="24"/>
        <v>0</v>
      </c>
      <c r="AE53" s="2" t="str">
        <f>IF(IFERROR(VLOOKUP($B53,Morning_Shift!$B$4:$BJ$61,MATCH(Both_Shift_Roster!AE$2,Morning_Shift!$B$2:$BJ$2,0),0),"")="",IFERROR(VLOOKUP($B53,Evening_Shift!$B$4:$BJ$62,MATCH(Both_Shift_Roster!AE$2,Evening_Shift!$B$2:$BJ$2,0),0),""),IFERROR(VLOOKUP($B53,Morning_Shift!$B$4:$BJ$61,MATCH(Both_Shift_Roster!AE$2,Morning_Shift!$B$2:$BJ$2,0),0),""))</f>
        <v>Agent Choice WO</v>
      </c>
      <c r="AF53" s="2" t="str">
        <f>IF(IFERROR(VLOOKUP($B53,Morning_Shift!$B$4:$BJ$61,MATCH(Both_Shift_Roster!AF$2,Morning_Shift!$B$2:$BJ$2,0),0),"")="",IFERROR(VLOOKUP($B53,Evening_Shift!$B$4:$BJ$62,MATCH(Both_Shift_Roster!AF$2,Evening_Shift!$B$2:$BJ$2,0),0),""),IFERROR(VLOOKUP($B53,Morning_Shift!$B$4:$BJ$61,MATCH(Both_Shift_Roster!AF$2,Morning_Shift!$B$2:$BJ$2,0),0),""))</f>
        <v>7:00-14:30</v>
      </c>
      <c r="AG53" s="2" t="str">
        <f>IF(IFERROR(VLOOKUP($B53,Morning_Shift!$B$4:$BJ$61,MATCH(Both_Shift_Roster!AG$2,Morning_Shift!$B$2:$BJ$2,0),0),"")="",IFERROR(VLOOKUP($B53,Evening_Shift!$B$4:$BJ$62,MATCH(Both_Shift_Roster!AG$2,Evening_Shift!$B$2:$BJ$2,0),0),""),IFERROR(VLOOKUP($B53,Morning_Shift!$B$4:$BJ$61,MATCH(Both_Shift_Roster!AG$2,Morning_Shift!$B$2:$BJ$2,0),0),""))</f>
        <v>7:00-14:30</v>
      </c>
      <c r="AH53" s="2" t="str">
        <f>IF(IFERROR(VLOOKUP($B53,Morning_Shift!$B$4:$BJ$61,MATCH(Both_Shift_Roster!AH$2,Morning_Shift!$B$2:$BJ$2,0),0),"")="",IFERROR(VLOOKUP($B53,Evening_Shift!$B$4:$BJ$62,MATCH(Both_Shift_Roster!AH$2,Evening_Shift!$B$2:$BJ$2,0),0),""),IFERROR(VLOOKUP($B53,Morning_Shift!$B$4:$BJ$61,MATCH(Both_Shift_Roster!AH$2,Morning_Shift!$B$2:$BJ$2,0),0),""))</f>
        <v>7:00-14:30</v>
      </c>
      <c r="AI53" s="2" t="str">
        <f>IF(IFERROR(VLOOKUP($B53,Morning_Shift!$B$4:$BJ$61,MATCH(Both_Shift_Roster!AI$2,Morning_Shift!$B$2:$BJ$2,0),0),"")="",IFERROR(VLOOKUP($B53,Evening_Shift!$B$4:$BJ$62,MATCH(Both_Shift_Roster!AI$2,Evening_Shift!$B$2:$BJ$2,0),0),""),IFERROR(VLOOKUP($B53,Morning_Shift!$B$4:$BJ$61,MATCH(Both_Shift_Roster!AI$2,Morning_Shift!$B$2:$BJ$2,0),0),""))</f>
        <v>7:00-14:30</v>
      </c>
      <c r="AJ53" s="2" t="str">
        <f>IF(IFERROR(VLOOKUP($B53,Morning_Shift!$B$4:$BJ$61,MATCH(Both_Shift_Roster!AJ$2,Morning_Shift!$B$2:$BJ$2,0),0),"")="",IFERROR(VLOOKUP($B53,Evening_Shift!$B$4:$BJ$62,MATCH(Both_Shift_Roster!AJ$2,Evening_Shift!$B$2:$BJ$2,0),0),""),IFERROR(VLOOKUP($B53,Morning_Shift!$B$4:$BJ$61,MATCH(Both_Shift_Roster!AJ$2,Morning_Shift!$B$2:$BJ$2,0),0),""))</f>
        <v>7:00-14:30</v>
      </c>
      <c r="AK53" s="2" t="str">
        <f>IF(IFERROR(VLOOKUP($B53,Morning_Shift!$B$4:$BJ$61,MATCH(Both_Shift_Roster!AK$2,Morning_Shift!$B$2:$BJ$2,0),0),"")="",IFERROR(VLOOKUP($B53,Evening_Shift!$B$4:$BJ$62,MATCH(Both_Shift_Roster!AK$2,Evening_Shift!$B$2:$BJ$2,0),0),""),IFERROR(VLOOKUP($B53,Morning_Shift!$B$4:$BJ$61,MATCH(Both_Shift_Roster!AK$2,Morning_Shift!$B$2:$BJ$2,0),0),""))</f>
        <v>7:00-14:30</v>
      </c>
      <c r="AL53" s="2">
        <f t="shared" si="25"/>
        <v>1</v>
      </c>
      <c r="AM53" s="2">
        <f t="shared" si="26"/>
        <v>0</v>
      </c>
      <c r="AN53" s="2">
        <f t="shared" si="27"/>
        <v>0</v>
      </c>
      <c r="AO53" s="2">
        <f t="shared" si="28"/>
        <v>0</v>
      </c>
      <c r="AP53" s="2">
        <f t="shared" si="29"/>
        <v>0</v>
      </c>
      <c r="AQ53" s="2" t="str">
        <f>IF(IFERROR(VLOOKUP($B53,Morning_Shift!$B$4:$BJ$61,MATCH(Both_Shift_Roster!AQ$2,Morning_Shift!$B$2:$BJ$2,0),0),"")="",IFERROR(VLOOKUP($B53,Evening_Shift!$B$4:$BJ$62,MATCH(Both_Shift_Roster!AQ$2,Evening_Shift!$B$2:$BJ$2,0),0),""),IFERROR(VLOOKUP($B53,Morning_Shift!$B$4:$BJ$61,MATCH(Both_Shift_Roster!AQ$2,Morning_Shift!$B$2:$BJ$2,0),0),""))</f>
        <v>7:00-14:30</v>
      </c>
      <c r="AR53" s="2" t="str">
        <f>IF(IFERROR(VLOOKUP($B53,Morning_Shift!$B$4:$BJ$61,MATCH(Both_Shift_Roster!AR$2,Morning_Shift!$B$2:$BJ$2,0),0),"")="",IFERROR(VLOOKUP($B53,Evening_Shift!$B$4:$BJ$62,MATCH(Both_Shift_Roster!AR$2,Evening_Shift!$B$2:$BJ$2,0),0),""),IFERROR(VLOOKUP($B53,Morning_Shift!$B$4:$BJ$61,MATCH(Both_Shift_Roster!AR$2,Morning_Shift!$B$2:$BJ$2,0),0),""))</f>
        <v>7:00-14:30</v>
      </c>
      <c r="AS53" s="2" t="str">
        <f>IF(IFERROR(VLOOKUP($B53,Morning_Shift!$B$4:$BJ$61,MATCH(Both_Shift_Roster!AS$2,Morning_Shift!$B$2:$BJ$2,0),0),"")="",IFERROR(VLOOKUP($B53,Evening_Shift!$B$4:$BJ$62,MATCH(Both_Shift_Roster!AS$2,Evening_Shift!$B$2:$BJ$2,0),0),""),IFERROR(VLOOKUP($B53,Morning_Shift!$B$4:$BJ$61,MATCH(Both_Shift_Roster!AS$2,Morning_Shift!$B$2:$BJ$2,0),0),""))</f>
        <v>7:00-14:30</v>
      </c>
      <c r="AT53" s="2" t="str">
        <f>IF(IFERROR(VLOOKUP($B53,Morning_Shift!$B$4:$BJ$61,MATCH(Both_Shift_Roster!AT$2,Morning_Shift!$B$2:$BJ$2,0),0),"")="",IFERROR(VLOOKUP($B53,Evening_Shift!$B$4:$BJ$62,MATCH(Both_Shift_Roster!AT$2,Evening_Shift!$B$2:$BJ$2,0),0),""),IFERROR(VLOOKUP($B53,Morning_Shift!$B$4:$BJ$61,MATCH(Both_Shift_Roster!AT$2,Morning_Shift!$B$2:$BJ$2,0),0),""))</f>
        <v>7:00-14:30</v>
      </c>
      <c r="AU53" s="2" t="str">
        <f>IF(IFERROR(VLOOKUP($B53,Morning_Shift!$B$4:$BJ$61,MATCH(Both_Shift_Roster!AU$2,Morning_Shift!$B$2:$BJ$2,0),0),"")="",IFERROR(VLOOKUP($B53,Evening_Shift!$B$4:$BJ$62,MATCH(Both_Shift_Roster!AU$2,Evening_Shift!$B$2:$BJ$2,0),0),""),IFERROR(VLOOKUP($B53,Morning_Shift!$B$4:$BJ$61,MATCH(Both_Shift_Roster!AU$2,Morning_Shift!$B$2:$BJ$2,0),0),""))</f>
        <v>7:00-14:30</v>
      </c>
      <c r="AV53" s="2" t="str">
        <f>IF(IFERROR(VLOOKUP($B53,Morning_Shift!$B$4:$BJ$61,MATCH(Both_Shift_Roster!AV$2,Morning_Shift!$B$2:$BJ$2,0),0),"")="",IFERROR(VLOOKUP($B53,Evening_Shift!$B$4:$BJ$62,MATCH(Both_Shift_Roster!AV$2,Evening_Shift!$B$2:$BJ$2,0),0),""),IFERROR(VLOOKUP($B53,Morning_Shift!$B$4:$BJ$61,MATCH(Both_Shift_Roster!AV$2,Morning_Shift!$B$2:$BJ$2,0),0),""))</f>
        <v>TL Choice WO</v>
      </c>
      <c r="AW53" s="2" t="str">
        <f>IF(IFERROR(VLOOKUP($B53,Morning_Shift!$B$4:$BJ$61,MATCH(Both_Shift_Roster!AW$2,Morning_Shift!$B$2:$BJ$2,0),0),"")="",IFERROR(VLOOKUP($B53,Evening_Shift!$B$4:$BJ$62,MATCH(Both_Shift_Roster!AW$2,Evening_Shift!$B$2:$BJ$2,0),0),""),IFERROR(VLOOKUP($B53,Morning_Shift!$B$4:$BJ$61,MATCH(Both_Shift_Roster!AW$2,Morning_Shift!$B$2:$BJ$2,0),0),""))</f>
        <v>7:00-14:30</v>
      </c>
      <c r="AX53" s="2">
        <f t="shared" si="30"/>
        <v>0</v>
      </c>
      <c r="AY53" s="2">
        <f t="shared" si="31"/>
        <v>1</v>
      </c>
      <c r="AZ53" s="2">
        <f t="shared" si="32"/>
        <v>0</v>
      </c>
      <c r="BA53" s="2">
        <f t="shared" si="33"/>
        <v>0</v>
      </c>
      <c r="BB53" s="2">
        <f t="shared" si="34"/>
        <v>0</v>
      </c>
      <c r="BC53" s="2" t="str">
        <f>IF(IFERROR(VLOOKUP($B53,Morning_Shift!$B$4:$BJ$61,MATCH(Both_Shift_Roster!BC$2,Morning_Shift!$B$2:$BJ$2,0),0),"")="",IFERROR(VLOOKUP($B53,Evening_Shift!$B$4:$BJ$62,MATCH(Both_Shift_Roster!BC$2,Evening_Shift!$B$2:$BJ$2,0),0),""),IFERROR(VLOOKUP($B53,Morning_Shift!$B$4:$BJ$61,MATCH(Both_Shift_Roster!BC$2,Morning_Shift!$B$2:$BJ$2,0),0),""))</f>
        <v>7:00-14:30</v>
      </c>
      <c r="BD53" s="2" t="str">
        <f>IF(IFERROR(VLOOKUP($B53,Morning_Shift!$B$4:$BJ$61,MATCH(Both_Shift_Roster!BD$2,Morning_Shift!$B$2:$BJ$2,0),0),"")="",IFERROR(VLOOKUP($B53,Evening_Shift!$B$4:$BJ$62,MATCH(Both_Shift_Roster!BD$2,Evening_Shift!$B$2:$BJ$2,0),0),""),IFERROR(VLOOKUP($B53,Morning_Shift!$B$4:$BJ$61,MATCH(Both_Shift_Roster!BD$2,Morning_Shift!$B$2:$BJ$2,0),0),""))</f>
        <v>7:00-14:30</v>
      </c>
      <c r="BE53" s="2" t="str">
        <f>IF(IFERROR(VLOOKUP($B53,Morning_Shift!$B$4:$BJ$61,MATCH(Both_Shift_Roster!BE$2,Morning_Shift!$B$2:$BJ$2,0),0),"")="",IFERROR(VLOOKUP($B53,Evening_Shift!$B$4:$BJ$59,MATCH(Both_Shift_Roster!BE$2,Evening_Shift!$B$2:$BJ$2,0),0),""),IFERROR(VLOOKUP($B53,Morning_Shift!$B$4:$BJ$61,MATCH(Both_Shift_Roster!BE$2,Morning_Shift!$B$2:$BJ$2,0),0),""))</f>
        <v>7:00-14:30</v>
      </c>
      <c r="BF53" s="2">
        <f t="shared" si="35"/>
        <v>0</v>
      </c>
      <c r="BG53" s="2">
        <f t="shared" si="36"/>
        <v>0</v>
      </c>
      <c r="BH53" s="2">
        <f t="shared" si="37"/>
        <v>0</v>
      </c>
      <c r="BI53" s="2">
        <f t="shared" si="38"/>
        <v>0</v>
      </c>
      <c r="BJ53" s="2">
        <f t="shared" si="39"/>
        <v>0</v>
      </c>
    </row>
    <row r="54" spans="1:62">
      <c r="A54" s="17">
        <f t="shared" si="40"/>
        <v>51</v>
      </c>
      <c r="B54" s="16" t="str">
        <f>Morning_Shift!$B54</f>
        <v>Dritm120</v>
      </c>
      <c r="C54" s="21" t="str">
        <f>IF(IFERROR(VLOOKUP(B54,Morning_Shift!B:C,2,0),"")="",IFERROR(VLOOKUP(B54,Evening_Shift!B:C,2,0),""),IFERROR(VLOOKUP(B54,Morning_Shift!B:C,2,0),""))</f>
        <v>Shabnam</v>
      </c>
      <c r="D54" s="15" t="str">
        <f>IF(IFERROR(VLOOKUP(B54,Morning_Shift!B:D,3,0),"")="",IFERROR(VLOOKUP(B54,Evening_Shift!B:D,3,0),""),IFERROR(VLOOKUP(B54,Morning_Shift!B:D,3,0),""))</f>
        <v>Naina</v>
      </c>
      <c r="E54" s="4" t="str">
        <f>IF(IFERROR(VLOOKUP(B54,Morning_Shift!B:E,4,0),"")="",IFERROR(VLOOKUP(B54,Evening_Shift!B:E,4,0),""),IFERROR(VLOOKUP(B54,Morning_Shift!B:E,4,0),""))</f>
        <v>F</v>
      </c>
      <c r="F54" s="5" t="str">
        <f>IF(IFERROR(VLOOKUP(B54,Morning_Shift!B:F,5,0),"")="",IFERROR(VLOOKUP(B54,Evening_Shift!B:F,5,0),""),IFERROR(VLOOKUP(B54,Morning_Shift!B:F,5,0),""))</f>
        <v>Inbound</v>
      </c>
      <c r="G54" s="2" t="str">
        <f>IF(IFERROR(VLOOKUP($B54,Morning_Shift!$B$4:$BJ$61,MATCH(Both_Shift_Roster!G$2,Morning_Shift!$B$2:$BJ$2,0),0),"")="",IFERROR(VLOOKUP($B54,Evening_Shift!$B$4:$BJ$62,MATCH(Both_Shift_Roster!G$2,Evening_Shift!$B$2:$BJ$2,0),0),""),IFERROR(VLOOKUP($B54,Morning_Shift!$B$4:$BJ$61,MATCH(Both_Shift_Roster!G$2,Morning_Shift!$B$2:$BJ$2,0),0),""))</f>
        <v>7:00-14:30</v>
      </c>
      <c r="H54" s="2" t="str">
        <f>IF(IFERROR(VLOOKUP($B54,Morning_Shift!$B$4:$BJ$61,MATCH(Both_Shift_Roster!H$2,Morning_Shift!$B$2:$BJ$2,0),0),"")="",IFERROR(VLOOKUP($B54,Evening_Shift!$B$4:$BJ$62,MATCH(Both_Shift_Roster!H$2,Evening_Shift!$B$2:$BJ$2,0),0),""),IFERROR(VLOOKUP($B54,Morning_Shift!$B$4:$BJ$61,MATCH(Both_Shift_Roster!H$2,Morning_Shift!$B$2:$BJ$2,0),0),""))</f>
        <v>Agent Choice WO</v>
      </c>
      <c r="I54" s="2" t="str">
        <f>IF(IFERROR(VLOOKUP($B54,Morning_Shift!$B$4:$BJ$61,MATCH(Both_Shift_Roster!I$2,Morning_Shift!$B$2:$BJ$2,0),0),"")="",IFERROR(VLOOKUP($B54,Evening_Shift!$B$4:$BJ$62,MATCH(Both_Shift_Roster!I$2,Evening_Shift!$B$2:$BJ$2,0),0),""),IFERROR(VLOOKUP($B54,Morning_Shift!$B$4:$BJ$61,MATCH(Both_Shift_Roster!I$2,Morning_Shift!$B$2:$BJ$2,0),0),""))</f>
        <v>Agent Choice WO</v>
      </c>
      <c r="J54" s="2" t="str">
        <f>IF(IFERROR(VLOOKUP($B54,Morning_Shift!$B$4:$BJ$61,MATCH(Both_Shift_Roster!J$2,Morning_Shift!$B$2:$BJ$2,0),0),"")="",IFERROR(VLOOKUP($B54,Evening_Shift!$B$4:$BJ$62,MATCH(Both_Shift_Roster!J$2,Evening_Shift!$B$2:$BJ$2,0),0),""),IFERROR(VLOOKUP($B54,Morning_Shift!$B$4:$BJ$61,MATCH(Both_Shift_Roster!J$2,Morning_Shift!$B$2:$BJ$2,0),0),""))</f>
        <v>Agent Choice WO</v>
      </c>
      <c r="K54" s="2" t="str">
        <f>IF(IFERROR(VLOOKUP($B54,Morning_Shift!$B$4:$BJ$61,MATCH(Both_Shift_Roster!K$2,Morning_Shift!$B$2:$BJ$2,0),0),"")="",IFERROR(VLOOKUP($B54,Evening_Shift!$B$4:$BJ$62,MATCH(Both_Shift_Roster!K$2,Evening_Shift!$B$2:$BJ$2,0),0),""),IFERROR(VLOOKUP($B54,Morning_Shift!$B$4:$BJ$61,MATCH(Both_Shift_Roster!K$2,Morning_Shift!$B$2:$BJ$2,0),0),""))</f>
        <v>7:00-14:30</v>
      </c>
      <c r="L54" s="2" t="str">
        <f>IF(IFERROR(VLOOKUP($B54,Morning_Shift!$B$4:$BJ$61,MATCH(Both_Shift_Roster!L$2,Morning_Shift!$B$2:$BJ$2,0),0),"")="",IFERROR(VLOOKUP($B54,Evening_Shift!$B$4:$BJ$62,MATCH(Both_Shift_Roster!L$2,Evening_Shift!$B$2:$BJ$2,0),0),""),IFERROR(VLOOKUP($B54,Morning_Shift!$B$4:$BJ$61,MATCH(Both_Shift_Roster!L$2,Morning_Shift!$B$2:$BJ$2,0),0),""))</f>
        <v>7:00-14:30</v>
      </c>
      <c r="M54" s="2" t="str">
        <f>IF(IFERROR(VLOOKUP($B54,Morning_Shift!$B$4:$BJ$61,MATCH(Both_Shift_Roster!M$2,Morning_Shift!$B$2:$BJ$2,0),0),"")="",IFERROR(VLOOKUP($B54,Evening_Shift!$B$4:$BJ$62,MATCH(Both_Shift_Roster!M$2,Evening_Shift!$B$2:$BJ$2,0),0),""),IFERROR(VLOOKUP($B54,Morning_Shift!$B$4:$BJ$61,MATCH(Both_Shift_Roster!M$2,Morning_Shift!$B$2:$BJ$2,0),0),""))</f>
        <v>7:00-14:30</v>
      </c>
      <c r="N54" s="2">
        <f t="shared" si="15"/>
        <v>3</v>
      </c>
      <c r="O54" s="2">
        <f t="shared" si="16"/>
        <v>0</v>
      </c>
      <c r="P54" s="2">
        <f t="shared" si="17"/>
        <v>0</v>
      </c>
      <c r="Q54" s="2">
        <f t="shared" si="18"/>
        <v>0</v>
      </c>
      <c r="R54" s="2">
        <f t="shared" si="19"/>
        <v>0</v>
      </c>
      <c r="S54" s="2" t="str">
        <f>IF(IFERROR(VLOOKUP($B54,Morning_Shift!$B$4:$BJ$61,MATCH(Both_Shift_Roster!S$2,Morning_Shift!$B$2:$BJ$2,0),0),"")="",IFERROR(VLOOKUP($B54,Evening_Shift!$B$4:$BJ$62,MATCH(Both_Shift_Roster!S$2,Evening_Shift!$B$2:$BJ$2,0),0),""),IFERROR(VLOOKUP($B54,Morning_Shift!$B$4:$BJ$61,MATCH(Both_Shift_Roster!S$2,Morning_Shift!$B$2:$BJ$2,0),0),""))</f>
        <v>7:00-14:30</v>
      </c>
      <c r="T54" s="2" t="str">
        <f>IF(IFERROR(VLOOKUP($B54,Morning_Shift!$B$4:$BJ$61,MATCH(Both_Shift_Roster!T$2,Morning_Shift!$B$2:$BJ$2,0),0),"")="",IFERROR(VLOOKUP($B54,Evening_Shift!$B$4:$BJ$62,MATCH(Both_Shift_Roster!T$2,Evening_Shift!$B$2:$BJ$2,0),0),""),IFERROR(VLOOKUP($B54,Morning_Shift!$B$4:$BJ$61,MATCH(Both_Shift_Roster!T$2,Morning_Shift!$B$2:$BJ$2,0),0),""))</f>
        <v>7:00-14:30</v>
      </c>
      <c r="U54" s="2" t="str">
        <f>IF(IFERROR(VLOOKUP($B54,Morning_Shift!$B$4:$BJ$61,MATCH(Both_Shift_Roster!U$2,Morning_Shift!$B$2:$BJ$2,0),0),"")="",IFERROR(VLOOKUP($B54,Evening_Shift!$B$4:$BJ$62,MATCH(Both_Shift_Roster!U$2,Evening_Shift!$B$2:$BJ$2,0),0),""),IFERROR(VLOOKUP($B54,Morning_Shift!$B$4:$BJ$61,MATCH(Both_Shift_Roster!U$2,Morning_Shift!$B$2:$BJ$2,0),0),""))</f>
        <v>7:00-14:30</v>
      </c>
      <c r="V54" s="2" t="str">
        <f>IF(IFERROR(VLOOKUP($B54,Morning_Shift!$B$4:$BJ$61,MATCH(Both_Shift_Roster!V$2,Morning_Shift!$B$2:$BJ$2,0),0),"")="",IFERROR(VLOOKUP($B54,Evening_Shift!$B$4:$BJ$62,MATCH(Both_Shift_Roster!V$2,Evening_Shift!$B$2:$BJ$2,0),0),""),IFERROR(VLOOKUP($B54,Morning_Shift!$B$4:$BJ$61,MATCH(Both_Shift_Roster!V$2,Morning_Shift!$B$2:$BJ$2,0),0),""))</f>
        <v>7:00-14:30</v>
      </c>
      <c r="W54" s="2" t="str">
        <f>IF(IFERROR(VLOOKUP($B54,Morning_Shift!$B$4:$BJ$61,MATCH(Both_Shift_Roster!W$2,Morning_Shift!$B$2:$BJ$2,0),0),"")="",IFERROR(VLOOKUP($B54,Evening_Shift!$B$4:$BJ$62,MATCH(Both_Shift_Roster!W$2,Evening_Shift!$B$2:$BJ$2,0),0),""),IFERROR(VLOOKUP($B54,Morning_Shift!$B$4:$BJ$61,MATCH(Both_Shift_Roster!W$2,Morning_Shift!$B$2:$BJ$2,0),0),""))</f>
        <v>7:00-14:30</v>
      </c>
      <c r="X54" s="2" t="str">
        <f>IF(IFERROR(VLOOKUP($B54,Morning_Shift!$B$4:$BJ$61,MATCH(Both_Shift_Roster!X$2,Morning_Shift!$B$2:$BJ$2,0),0),"")="",IFERROR(VLOOKUP($B54,Evening_Shift!$B$4:$BJ$62,MATCH(Both_Shift_Roster!X$2,Evening_Shift!$B$2:$BJ$2,0),0),""),IFERROR(VLOOKUP($B54,Morning_Shift!$B$4:$BJ$61,MATCH(Both_Shift_Roster!X$2,Morning_Shift!$B$2:$BJ$2,0),0),""))</f>
        <v>7:00-14:30</v>
      </c>
      <c r="Y54" s="2" t="str">
        <f>IF(IFERROR(VLOOKUP($B54,Morning_Shift!$B$4:$BJ$61,MATCH(Both_Shift_Roster!Y$2,Morning_Shift!$B$2:$BJ$2,0),0),"")="",IFERROR(VLOOKUP($B54,Evening_Shift!$B$4:$BJ$62,MATCH(Both_Shift_Roster!Y$2,Evening_Shift!$B$2:$BJ$2,0),0),""),IFERROR(VLOOKUP($B54,Morning_Shift!$B$4:$BJ$61,MATCH(Both_Shift_Roster!Y$2,Morning_Shift!$B$2:$BJ$2,0),0),""))</f>
        <v>7:00-14:30</v>
      </c>
      <c r="Z54" s="2">
        <f t="shared" si="20"/>
        <v>0</v>
      </c>
      <c r="AA54" s="2">
        <f t="shared" si="21"/>
        <v>0</v>
      </c>
      <c r="AB54" s="2">
        <f t="shared" si="22"/>
        <v>0</v>
      </c>
      <c r="AC54" s="2">
        <f t="shared" si="23"/>
        <v>0</v>
      </c>
      <c r="AD54" s="2">
        <f t="shared" si="24"/>
        <v>0</v>
      </c>
      <c r="AE54" s="2" t="str">
        <f>IF(IFERROR(VLOOKUP($B54,Morning_Shift!$B$4:$BJ$61,MATCH(Both_Shift_Roster!AE$2,Morning_Shift!$B$2:$BJ$2,0),0),"")="",IFERROR(VLOOKUP($B54,Evening_Shift!$B$4:$BJ$62,MATCH(Both_Shift_Roster!AE$2,Evening_Shift!$B$2:$BJ$2,0),0),""),IFERROR(VLOOKUP($B54,Morning_Shift!$B$4:$BJ$61,MATCH(Both_Shift_Roster!AE$2,Morning_Shift!$B$2:$BJ$2,0),0),""))</f>
        <v>7:00-14:30</v>
      </c>
      <c r="AF54" s="2" t="str">
        <f>IF(IFERROR(VLOOKUP($B54,Morning_Shift!$B$4:$BJ$61,MATCH(Both_Shift_Roster!AF$2,Morning_Shift!$B$2:$BJ$2,0),0),"")="",IFERROR(VLOOKUP($B54,Evening_Shift!$B$4:$BJ$62,MATCH(Both_Shift_Roster!AF$2,Evening_Shift!$B$2:$BJ$2,0),0),""),IFERROR(VLOOKUP($B54,Morning_Shift!$B$4:$BJ$61,MATCH(Both_Shift_Roster!AF$2,Morning_Shift!$B$2:$BJ$2,0),0),""))</f>
        <v>7:00-14:30</v>
      </c>
      <c r="AG54" s="2" t="str">
        <f>IF(IFERROR(VLOOKUP($B54,Morning_Shift!$B$4:$BJ$61,MATCH(Both_Shift_Roster!AG$2,Morning_Shift!$B$2:$BJ$2,0),0),"")="",IFERROR(VLOOKUP($B54,Evening_Shift!$B$4:$BJ$62,MATCH(Both_Shift_Roster!AG$2,Evening_Shift!$B$2:$BJ$2,0),0),""),IFERROR(VLOOKUP($B54,Morning_Shift!$B$4:$BJ$61,MATCH(Both_Shift_Roster!AG$2,Morning_Shift!$B$2:$BJ$2,0),0),""))</f>
        <v>Agent Choice WO</v>
      </c>
      <c r="AH54" s="2" t="str">
        <f>IF(IFERROR(VLOOKUP($B54,Morning_Shift!$B$4:$BJ$61,MATCH(Both_Shift_Roster!AH$2,Morning_Shift!$B$2:$BJ$2,0),0),"")="",IFERROR(VLOOKUP($B54,Evening_Shift!$B$4:$BJ$62,MATCH(Both_Shift_Roster!AH$2,Evening_Shift!$B$2:$BJ$2,0),0),""),IFERROR(VLOOKUP($B54,Morning_Shift!$B$4:$BJ$61,MATCH(Both_Shift_Roster!AH$2,Morning_Shift!$B$2:$BJ$2,0),0),""))</f>
        <v>7:00-14:30</v>
      </c>
      <c r="AI54" s="2" t="str">
        <f>IF(IFERROR(VLOOKUP($B54,Morning_Shift!$B$4:$BJ$61,MATCH(Both_Shift_Roster!AI$2,Morning_Shift!$B$2:$BJ$2,0),0),"")="",IFERROR(VLOOKUP($B54,Evening_Shift!$B$4:$BJ$62,MATCH(Both_Shift_Roster!AI$2,Evening_Shift!$B$2:$BJ$2,0),0),""),IFERROR(VLOOKUP($B54,Morning_Shift!$B$4:$BJ$61,MATCH(Both_Shift_Roster!AI$2,Morning_Shift!$B$2:$BJ$2,0),0),""))</f>
        <v>7:00-14:30</v>
      </c>
      <c r="AJ54" s="2" t="str">
        <f>IF(IFERROR(VLOOKUP($B54,Morning_Shift!$B$4:$BJ$61,MATCH(Both_Shift_Roster!AJ$2,Morning_Shift!$B$2:$BJ$2,0),0),"")="",IFERROR(VLOOKUP($B54,Evening_Shift!$B$4:$BJ$62,MATCH(Both_Shift_Roster!AJ$2,Evening_Shift!$B$2:$BJ$2,0),0),""),IFERROR(VLOOKUP($B54,Morning_Shift!$B$4:$BJ$61,MATCH(Both_Shift_Roster!AJ$2,Morning_Shift!$B$2:$BJ$2,0),0),""))</f>
        <v>7:00-14:30</v>
      </c>
      <c r="AK54" s="2" t="str">
        <f>IF(IFERROR(VLOOKUP($B54,Morning_Shift!$B$4:$BJ$61,MATCH(Both_Shift_Roster!AK$2,Morning_Shift!$B$2:$BJ$2,0),0),"")="",IFERROR(VLOOKUP($B54,Evening_Shift!$B$4:$BJ$62,MATCH(Both_Shift_Roster!AK$2,Evening_Shift!$B$2:$BJ$2,0),0),""),IFERROR(VLOOKUP($B54,Morning_Shift!$B$4:$BJ$61,MATCH(Both_Shift_Roster!AK$2,Morning_Shift!$B$2:$BJ$2,0),0),""))</f>
        <v>CL</v>
      </c>
      <c r="AL54" s="2">
        <f t="shared" si="25"/>
        <v>1</v>
      </c>
      <c r="AM54" s="2">
        <f t="shared" si="26"/>
        <v>0</v>
      </c>
      <c r="AN54" s="2">
        <f t="shared" si="27"/>
        <v>1</v>
      </c>
      <c r="AO54" s="2">
        <f t="shared" si="28"/>
        <v>0</v>
      </c>
      <c r="AP54" s="2">
        <f t="shared" si="29"/>
        <v>0</v>
      </c>
      <c r="AQ54" s="2" t="str">
        <f>IF(IFERROR(VLOOKUP($B54,Morning_Shift!$B$4:$BJ$61,MATCH(Both_Shift_Roster!AQ$2,Morning_Shift!$B$2:$BJ$2,0),0),"")="",IFERROR(VLOOKUP($B54,Evening_Shift!$B$4:$BJ$62,MATCH(Both_Shift_Roster!AQ$2,Evening_Shift!$B$2:$BJ$2,0),0),""),IFERROR(VLOOKUP($B54,Morning_Shift!$B$4:$BJ$61,MATCH(Both_Shift_Roster!AQ$2,Morning_Shift!$B$2:$BJ$2,0),0),""))</f>
        <v>7:00-14:30</v>
      </c>
      <c r="AR54" s="2" t="str">
        <f>IF(IFERROR(VLOOKUP($B54,Morning_Shift!$B$4:$BJ$61,MATCH(Both_Shift_Roster!AR$2,Morning_Shift!$B$2:$BJ$2,0),0),"")="",IFERROR(VLOOKUP($B54,Evening_Shift!$B$4:$BJ$62,MATCH(Both_Shift_Roster!AR$2,Evening_Shift!$B$2:$BJ$2,0),0),""),IFERROR(VLOOKUP($B54,Morning_Shift!$B$4:$BJ$61,MATCH(Both_Shift_Roster!AR$2,Morning_Shift!$B$2:$BJ$2,0),0),""))</f>
        <v>7:00-14:30</v>
      </c>
      <c r="AS54" s="2" t="str">
        <f>IF(IFERROR(VLOOKUP($B54,Morning_Shift!$B$4:$BJ$61,MATCH(Both_Shift_Roster!AS$2,Morning_Shift!$B$2:$BJ$2,0),0),"")="",IFERROR(VLOOKUP($B54,Evening_Shift!$B$4:$BJ$62,MATCH(Both_Shift_Roster!AS$2,Evening_Shift!$B$2:$BJ$2,0),0),""),IFERROR(VLOOKUP($B54,Morning_Shift!$B$4:$BJ$61,MATCH(Both_Shift_Roster!AS$2,Morning_Shift!$B$2:$BJ$2,0),0),""))</f>
        <v>7:00-14:30</v>
      </c>
      <c r="AT54" s="2" t="str">
        <f>IF(IFERROR(VLOOKUP($B54,Morning_Shift!$B$4:$BJ$61,MATCH(Both_Shift_Roster!AT$2,Morning_Shift!$B$2:$BJ$2,0),0),"")="",IFERROR(VLOOKUP($B54,Evening_Shift!$B$4:$BJ$62,MATCH(Both_Shift_Roster!AT$2,Evening_Shift!$B$2:$BJ$2,0),0),""),IFERROR(VLOOKUP($B54,Morning_Shift!$B$4:$BJ$61,MATCH(Both_Shift_Roster!AT$2,Morning_Shift!$B$2:$BJ$2,0),0),""))</f>
        <v>LP</v>
      </c>
      <c r="AU54" s="2" t="str">
        <f>IF(IFERROR(VLOOKUP($B54,Morning_Shift!$B$4:$BJ$61,MATCH(Both_Shift_Roster!AU$2,Morning_Shift!$B$2:$BJ$2,0),0),"")="",IFERROR(VLOOKUP($B54,Evening_Shift!$B$4:$BJ$62,MATCH(Both_Shift_Roster!AU$2,Evening_Shift!$B$2:$BJ$2,0),0),""),IFERROR(VLOOKUP($B54,Morning_Shift!$B$4:$BJ$61,MATCH(Both_Shift_Roster!AU$2,Morning_Shift!$B$2:$BJ$2,0),0),""))</f>
        <v>7:00-14:30</v>
      </c>
      <c r="AV54" s="2" t="str">
        <f>IF(IFERROR(VLOOKUP($B54,Morning_Shift!$B$4:$BJ$61,MATCH(Both_Shift_Roster!AV$2,Morning_Shift!$B$2:$BJ$2,0),0),"")="",IFERROR(VLOOKUP($B54,Evening_Shift!$B$4:$BJ$62,MATCH(Both_Shift_Roster!AV$2,Evening_Shift!$B$2:$BJ$2,0),0),""),IFERROR(VLOOKUP($B54,Morning_Shift!$B$4:$BJ$61,MATCH(Both_Shift_Roster!AV$2,Morning_Shift!$B$2:$BJ$2,0),0),""))</f>
        <v>7:00-14:30</v>
      </c>
      <c r="AW54" s="2" t="str">
        <f>IF(IFERROR(VLOOKUP($B54,Morning_Shift!$B$4:$BJ$61,MATCH(Both_Shift_Roster!AW$2,Morning_Shift!$B$2:$BJ$2,0),0),"")="",IFERROR(VLOOKUP($B54,Evening_Shift!$B$4:$BJ$62,MATCH(Both_Shift_Roster!AW$2,Evening_Shift!$B$2:$BJ$2,0),0),""),IFERROR(VLOOKUP($B54,Morning_Shift!$B$4:$BJ$61,MATCH(Both_Shift_Roster!AW$2,Morning_Shift!$B$2:$BJ$2,0),0),""))</f>
        <v>7:00-14:30</v>
      </c>
      <c r="AX54" s="2">
        <f t="shared" si="30"/>
        <v>0</v>
      </c>
      <c r="AY54" s="2">
        <f t="shared" si="31"/>
        <v>0</v>
      </c>
      <c r="AZ54" s="2">
        <f t="shared" si="32"/>
        <v>0</v>
      </c>
      <c r="BA54" s="2">
        <f t="shared" si="33"/>
        <v>0</v>
      </c>
      <c r="BB54" s="2">
        <f t="shared" si="34"/>
        <v>1</v>
      </c>
      <c r="BC54" s="2" t="str">
        <f>IF(IFERROR(VLOOKUP($B54,Morning_Shift!$B$4:$BJ$61,MATCH(Both_Shift_Roster!BC$2,Morning_Shift!$B$2:$BJ$2,0),0),"")="",IFERROR(VLOOKUP($B54,Evening_Shift!$B$4:$BJ$62,MATCH(Both_Shift_Roster!BC$2,Evening_Shift!$B$2:$BJ$2,0),0),""),IFERROR(VLOOKUP($B54,Morning_Shift!$B$4:$BJ$61,MATCH(Both_Shift_Roster!BC$2,Morning_Shift!$B$2:$BJ$2,0),0),""))</f>
        <v>7:00-14:30</v>
      </c>
      <c r="BD54" s="2" t="str">
        <f>IF(IFERROR(VLOOKUP($B54,Morning_Shift!$B$4:$BJ$61,MATCH(Both_Shift_Roster!BD$2,Morning_Shift!$B$2:$BJ$2,0),0),"")="",IFERROR(VLOOKUP($B54,Evening_Shift!$B$4:$BJ$62,MATCH(Both_Shift_Roster!BD$2,Evening_Shift!$B$2:$BJ$2,0),0),""),IFERROR(VLOOKUP($B54,Morning_Shift!$B$4:$BJ$61,MATCH(Both_Shift_Roster!BD$2,Morning_Shift!$B$2:$BJ$2,0),0),""))</f>
        <v>7:00-14:30</v>
      </c>
      <c r="BE54" s="2" t="str">
        <f>IF(IFERROR(VLOOKUP($B54,Morning_Shift!$B$4:$BJ$61,MATCH(Both_Shift_Roster!BE$2,Morning_Shift!$B$2:$BJ$2,0),0),"")="",IFERROR(VLOOKUP($B54,Evening_Shift!$B$4:$BJ$59,MATCH(Both_Shift_Roster!BE$2,Evening_Shift!$B$2:$BJ$2,0),0),""),IFERROR(VLOOKUP($B54,Morning_Shift!$B$4:$BJ$61,MATCH(Both_Shift_Roster!BE$2,Morning_Shift!$B$2:$BJ$2,0),0),""))</f>
        <v>7:00-14:30</v>
      </c>
      <c r="BF54" s="2">
        <f t="shared" si="35"/>
        <v>0</v>
      </c>
      <c r="BG54" s="2">
        <f t="shared" si="36"/>
        <v>0</v>
      </c>
      <c r="BH54" s="2">
        <f t="shared" si="37"/>
        <v>0</v>
      </c>
      <c r="BI54" s="2">
        <f t="shared" si="38"/>
        <v>0</v>
      </c>
      <c r="BJ54" s="2">
        <f t="shared" si="39"/>
        <v>0</v>
      </c>
    </row>
    <row r="55" spans="1:62">
      <c r="A55" s="17">
        <f t="shared" si="40"/>
        <v>52</v>
      </c>
      <c r="B55" s="16" t="str">
        <f>Morning_Shift!$B55</f>
        <v>Dritm115</v>
      </c>
      <c r="C55" s="21" t="str">
        <f>IF(IFERROR(VLOOKUP(B55,Morning_Shift!B:C,2,0),"")="",IFERROR(VLOOKUP(B55,Evening_Shift!B:C,2,0),""),IFERROR(VLOOKUP(B55,Morning_Shift!B:C,2,0),""))</f>
        <v>Sita Devi</v>
      </c>
      <c r="D55" s="15" t="str">
        <f>IF(IFERROR(VLOOKUP(B55,Morning_Shift!B:D,3,0),"")="",IFERROR(VLOOKUP(B55,Evening_Shift!B:D,3,0),""),IFERROR(VLOOKUP(B55,Morning_Shift!B:D,3,0),""))</f>
        <v>Naina</v>
      </c>
      <c r="E55" s="4" t="str">
        <f>IF(IFERROR(VLOOKUP(B55,Morning_Shift!B:E,4,0),"")="",IFERROR(VLOOKUP(B55,Evening_Shift!B:E,4,0),""),IFERROR(VLOOKUP(B55,Morning_Shift!B:E,4,0),""))</f>
        <v>F</v>
      </c>
      <c r="F55" s="5" t="str">
        <f>IF(IFERROR(VLOOKUP(B55,Morning_Shift!B:F,5,0),"")="",IFERROR(VLOOKUP(B55,Evening_Shift!B:F,5,0),""),IFERROR(VLOOKUP(B55,Morning_Shift!B:F,5,0),""))</f>
        <v>Inbound</v>
      </c>
      <c r="G55" s="2" t="str">
        <f>IF(IFERROR(VLOOKUP($B55,Morning_Shift!$B$4:$BJ$61,MATCH(Both_Shift_Roster!G$2,Morning_Shift!$B$2:$BJ$2,0),0),"")="",IFERROR(VLOOKUP($B55,Evening_Shift!$B$4:$BJ$62,MATCH(Both_Shift_Roster!G$2,Evening_Shift!$B$2:$BJ$2,0),0),""),IFERROR(VLOOKUP($B55,Morning_Shift!$B$4:$BJ$61,MATCH(Both_Shift_Roster!G$2,Morning_Shift!$B$2:$BJ$2,0),0),""))</f>
        <v>7:00-14:30</v>
      </c>
      <c r="H55" s="2" t="str">
        <f>IF(IFERROR(VLOOKUP($B55,Morning_Shift!$B$4:$BJ$61,MATCH(Both_Shift_Roster!H$2,Morning_Shift!$B$2:$BJ$2,0),0),"")="",IFERROR(VLOOKUP($B55,Evening_Shift!$B$4:$BJ$62,MATCH(Both_Shift_Roster!H$2,Evening_Shift!$B$2:$BJ$2,0),0),""),IFERROR(VLOOKUP($B55,Morning_Shift!$B$4:$BJ$61,MATCH(Both_Shift_Roster!H$2,Morning_Shift!$B$2:$BJ$2,0),0),""))</f>
        <v>7:00-14:30</v>
      </c>
      <c r="I55" s="2" t="str">
        <f>IF(IFERROR(VLOOKUP($B55,Morning_Shift!$B$4:$BJ$61,MATCH(Both_Shift_Roster!I$2,Morning_Shift!$B$2:$BJ$2,0),0),"")="",IFERROR(VLOOKUP($B55,Evening_Shift!$B$4:$BJ$62,MATCH(Both_Shift_Roster!I$2,Evening_Shift!$B$2:$BJ$2,0),0),""),IFERROR(VLOOKUP($B55,Morning_Shift!$B$4:$BJ$61,MATCH(Both_Shift_Roster!I$2,Morning_Shift!$B$2:$BJ$2,0),0),""))</f>
        <v>7:00-14:30</v>
      </c>
      <c r="J55" s="2" t="str">
        <f>IF(IFERROR(VLOOKUP($B55,Morning_Shift!$B$4:$BJ$61,MATCH(Both_Shift_Roster!J$2,Morning_Shift!$B$2:$BJ$2,0),0),"")="",IFERROR(VLOOKUP($B55,Evening_Shift!$B$4:$BJ$62,MATCH(Both_Shift_Roster!J$2,Evening_Shift!$B$2:$BJ$2,0),0),""),IFERROR(VLOOKUP($B55,Morning_Shift!$B$4:$BJ$61,MATCH(Both_Shift_Roster!J$2,Morning_Shift!$B$2:$BJ$2,0),0),""))</f>
        <v>7:00-14:30</v>
      </c>
      <c r="K55" s="2" t="str">
        <f>IF(IFERROR(VLOOKUP($B55,Morning_Shift!$B$4:$BJ$61,MATCH(Both_Shift_Roster!K$2,Morning_Shift!$B$2:$BJ$2,0),0),"")="",IFERROR(VLOOKUP($B55,Evening_Shift!$B$4:$BJ$62,MATCH(Both_Shift_Roster!K$2,Evening_Shift!$B$2:$BJ$2,0),0),""),IFERROR(VLOOKUP($B55,Morning_Shift!$B$4:$BJ$61,MATCH(Both_Shift_Roster!K$2,Morning_Shift!$B$2:$BJ$2,0),0),""))</f>
        <v>7:00-14:30</v>
      </c>
      <c r="L55" s="2" t="str">
        <f>IF(IFERROR(VLOOKUP($B55,Morning_Shift!$B$4:$BJ$61,MATCH(Both_Shift_Roster!L$2,Morning_Shift!$B$2:$BJ$2,0),0),"")="",IFERROR(VLOOKUP($B55,Evening_Shift!$B$4:$BJ$62,MATCH(Both_Shift_Roster!L$2,Evening_Shift!$B$2:$BJ$2,0),0),""),IFERROR(VLOOKUP($B55,Morning_Shift!$B$4:$BJ$61,MATCH(Both_Shift_Roster!L$2,Morning_Shift!$B$2:$BJ$2,0),0),""))</f>
        <v>Agent Choice WO</v>
      </c>
      <c r="M55" s="2" t="str">
        <f>IF(IFERROR(VLOOKUP($B55,Morning_Shift!$B$4:$BJ$61,MATCH(Both_Shift_Roster!M$2,Morning_Shift!$B$2:$BJ$2,0),0),"")="",IFERROR(VLOOKUP($B55,Evening_Shift!$B$4:$BJ$62,MATCH(Both_Shift_Roster!M$2,Evening_Shift!$B$2:$BJ$2,0),0),""),IFERROR(VLOOKUP($B55,Morning_Shift!$B$4:$BJ$61,MATCH(Both_Shift_Roster!M$2,Morning_Shift!$B$2:$BJ$2,0),0),""))</f>
        <v>7:00-14:30</v>
      </c>
      <c r="N55" s="2">
        <f t="shared" si="15"/>
        <v>1</v>
      </c>
      <c r="O55" s="2">
        <f t="shared" si="16"/>
        <v>0</v>
      </c>
      <c r="P55" s="2">
        <f t="shared" si="17"/>
        <v>0</v>
      </c>
      <c r="Q55" s="2">
        <f t="shared" si="18"/>
        <v>0</v>
      </c>
      <c r="R55" s="2">
        <f t="shared" si="19"/>
        <v>0</v>
      </c>
      <c r="S55" s="2" t="str">
        <f>IF(IFERROR(VLOOKUP($B55,Morning_Shift!$B$4:$BJ$61,MATCH(Both_Shift_Roster!S$2,Morning_Shift!$B$2:$BJ$2,0),0),"")="",IFERROR(VLOOKUP($B55,Evening_Shift!$B$4:$BJ$62,MATCH(Both_Shift_Roster!S$2,Evening_Shift!$B$2:$BJ$2,0),0),""),IFERROR(VLOOKUP($B55,Morning_Shift!$B$4:$BJ$61,MATCH(Both_Shift_Roster!S$2,Morning_Shift!$B$2:$BJ$2,0),0),""))</f>
        <v>7:00-14:30</v>
      </c>
      <c r="T55" s="2" t="str">
        <f>IF(IFERROR(VLOOKUP($B55,Morning_Shift!$B$4:$BJ$61,MATCH(Both_Shift_Roster!T$2,Morning_Shift!$B$2:$BJ$2,0),0),"")="",IFERROR(VLOOKUP($B55,Evening_Shift!$B$4:$BJ$62,MATCH(Both_Shift_Roster!T$2,Evening_Shift!$B$2:$BJ$2,0),0),""),IFERROR(VLOOKUP($B55,Morning_Shift!$B$4:$BJ$61,MATCH(Both_Shift_Roster!T$2,Morning_Shift!$B$2:$BJ$2,0),0),""))</f>
        <v>7:00-14:30</v>
      </c>
      <c r="U55" s="2" t="str">
        <f>IF(IFERROR(VLOOKUP($B55,Morning_Shift!$B$4:$BJ$61,MATCH(Both_Shift_Roster!U$2,Morning_Shift!$B$2:$BJ$2,0),0),"")="",IFERROR(VLOOKUP($B55,Evening_Shift!$B$4:$BJ$62,MATCH(Both_Shift_Roster!U$2,Evening_Shift!$B$2:$BJ$2,0),0),""),IFERROR(VLOOKUP($B55,Morning_Shift!$B$4:$BJ$61,MATCH(Both_Shift_Roster!U$2,Morning_Shift!$B$2:$BJ$2,0),0),""))</f>
        <v>7:00-14:30</v>
      </c>
      <c r="V55" s="2" t="str">
        <f>IF(IFERROR(VLOOKUP($B55,Morning_Shift!$B$4:$BJ$61,MATCH(Both_Shift_Roster!V$2,Morning_Shift!$B$2:$BJ$2,0),0),"")="",IFERROR(VLOOKUP($B55,Evening_Shift!$B$4:$BJ$62,MATCH(Both_Shift_Roster!V$2,Evening_Shift!$B$2:$BJ$2,0),0),""),IFERROR(VLOOKUP($B55,Morning_Shift!$B$4:$BJ$61,MATCH(Both_Shift_Roster!V$2,Morning_Shift!$B$2:$BJ$2,0),0),""))</f>
        <v>7:00-14:30</v>
      </c>
      <c r="W55" s="2" t="str">
        <f>IF(IFERROR(VLOOKUP($B55,Morning_Shift!$B$4:$BJ$61,MATCH(Both_Shift_Roster!W$2,Morning_Shift!$B$2:$BJ$2,0),0),"")="",IFERROR(VLOOKUP($B55,Evening_Shift!$B$4:$BJ$62,MATCH(Both_Shift_Roster!W$2,Evening_Shift!$B$2:$BJ$2,0),0),""),IFERROR(VLOOKUP($B55,Morning_Shift!$B$4:$BJ$61,MATCH(Both_Shift_Roster!W$2,Morning_Shift!$B$2:$BJ$2,0),0),""))</f>
        <v>7:00-14:30</v>
      </c>
      <c r="X55" s="2" t="str">
        <f>IF(IFERROR(VLOOKUP($B55,Morning_Shift!$B$4:$BJ$61,MATCH(Both_Shift_Roster!X$2,Morning_Shift!$B$2:$BJ$2,0),0),"")="",IFERROR(VLOOKUP($B55,Evening_Shift!$B$4:$BJ$62,MATCH(Both_Shift_Roster!X$2,Evening_Shift!$B$2:$BJ$2,0),0),""),IFERROR(VLOOKUP($B55,Morning_Shift!$B$4:$BJ$61,MATCH(Both_Shift_Roster!X$2,Morning_Shift!$B$2:$BJ$2,0),0),""))</f>
        <v>7:00-14:30</v>
      </c>
      <c r="Y55" s="2" t="str">
        <f>IF(IFERROR(VLOOKUP($B55,Morning_Shift!$B$4:$BJ$61,MATCH(Both_Shift_Roster!Y$2,Morning_Shift!$B$2:$BJ$2,0),0),"")="",IFERROR(VLOOKUP($B55,Evening_Shift!$B$4:$BJ$62,MATCH(Both_Shift_Roster!Y$2,Evening_Shift!$B$2:$BJ$2,0),0),""),IFERROR(VLOOKUP($B55,Morning_Shift!$B$4:$BJ$61,MATCH(Both_Shift_Roster!Y$2,Morning_Shift!$B$2:$BJ$2,0),0),""))</f>
        <v>7:00-14:30</v>
      </c>
      <c r="Z55" s="2">
        <f t="shared" si="20"/>
        <v>0</v>
      </c>
      <c r="AA55" s="2">
        <f t="shared" si="21"/>
        <v>0</v>
      </c>
      <c r="AB55" s="2">
        <f t="shared" si="22"/>
        <v>0</v>
      </c>
      <c r="AC55" s="2">
        <f t="shared" si="23"/>
        <v>0</v>
      </c>
      <c r="AD55" s="2">
        <f t="shared" si="24"/>
        <v>0</v>
      </c>
      <c r="AE55" s="2" t="str">
        <f>IF(IFERROR(VLOOKUP($B55,Morning_Shift!$B$4:$BJ$61,MATCH(Both_Shift_Roster!AE$2,Morning_Shift!$B$2:$BJ$2,0),0),"")="",IFERROR(VLOOKUP($B55,Evening_Shift!$B$4:$BJ$62,MATCH(Both_Shift_Roster!AE$2,Evening_Shift!$B$2:$BJ$2,0),0),""),IFERROR(VLOOKUP($B55,Morning_Shift!$B$4:$BJ$61,MATCH(Both_Shift_Roster!AE$2,Morning_Shift!$B$2:$BJ$2,0),0),""))</f>
        <v>7:00-14:30</v>
      </c>
      <c r="AF55" s="2" t="str">
        <f>IF(IFERROR(VLOOKUP($B55,Morning_Shift!$B$4:$BJ$61,MATCH(Both_Shift_Roster!AF$2,Morning_Shift!$B$2:$BJ$2,0),0),"")="",IFERROR(VLOOKUP($B55,Evening_Shift!$B$4:$BJ$62,MATCH(Both_Shift_Roster!AF$2,Evening_Shift!$B$2:$BJ$2,0),0),""),IFERROR(VLOOKUP($B55,Morning_Shift!$B$4:$BJ$61,MATCH(Both_Shift_Roster!AF$2,Morning_Shift!$B$2:$BJ$2,0),0),""))</f>
        <v>7:00-14:30</v>
      </c>
      <c r="AG55" s="2" t="str">
        <f>IF(IFERROR(VLOOKUP($B55,Morning_Shift!$B$4:$BJ$61,MATCH(Both_Shift_Roster!AG$2,Morning_Shift!$B$2:$BJ$2,0),0),"")="",IFERROR(VLOOKUP($B55,Evening_Shift!$B$4:$BJ$62,MATCH(Both_Shift_Roster!AG$2,Evening_Shift!$B$2:$BJ$2,0),0),""),IFERROR(VLOOKUP($B55,Morning_Shift!$B$4:$BJ$61,MATCH(Both_Shift_Roster!AG$2,Morning_Shift!$B$2:$BJ$2,0),0),""))</f>
        <v>7:00-14:30</v>
      </c>
      <c r="AH55" s="2" t="str">
        <f>IF(IFERROR(VLOOKUP($B55,Morning_Shift!$B$4:$BJ$61,MATCH(Both_Shift_Roster!AH$2,Morning_Shift!$B$2:$BJ$2,0),0),"")="",IFERROR(VLOOKUP($B55,Evening_Shift!$B$4:$BJ$62,MATCH(Both_Shift_Roster!AH$2,Evening_Shift!$B$2:$BJ$2,0),0),""),IFERROR(VLOOKUP($B55,Morning_Shift!$B$4:$BJ$61,MATCH(Both_Shift_Roster!AH$2,Morning_Shift!$B$2:$BJ$2,0),0),""))</f>
        <v>7:00-14:30</v>
      </c>
      <c r="AI55" s="2" t="str">
        <f>IF(IFERROR(VLOOKUP($B55,Morning_Shift!$B$4:$BJ$61,MATCH(Both_Shift_Roster!AI$2,Morning_Shift!$B$2:$BJ$2,0),0),"")="",IFERROR(VLOOKUP($B55,Evening_Shift!$B$4:$BJ$62,MATCH(Both_Shift_Roster!AI$2,Evening_Shift!$B$2:$BJ$2,0),0),""),IFERROR(VLOOKUP($B55,Morning_Shift!$B$4:$BJ$61,MATCH(Both_Shift_Roster!AI$2,Morning_Shift!$B$2:$BJ$2,0),0),""))</f>
        <v>TL Choice WO</v>
      </c>
      <c r="AJ55" s="2" t="str">
        <f>IF(IFERROR(VLOOKUP($B55,Morning_Shift!$B$4:$BJ$61,MATCH(Both_Shift_Roster!AJ$2,Morning_Shift!$B$2:$BJ$2,0),0),"")="",IFERROR(VLOOKUP($B55,Evening_Shift!$B$4:$BJ$62,MATCH(Both_Shift_Roster!AJ$2,Evening_Shift!$B$2:$BJ$2,0),0),""),IFERROR(VLOOKUP($B55,Morning_Shift!$B$4:$BJ$61,MATCH(Both_Shift_Roster!AJ$2,Morning_Shift!$B$2:$BJ$2,0),0),""))</f>
        <v>7:00-14:30</v>
      </c>
      <c r="AK55" s="2" t="str">
        <f>IF(IFERROR(VLOOKUP($B55,Morning_Shift!$B$4:$BJ$61,MATCH(Both_Shift_Roster!AK$2,Morning_Shift!$B$2:$BJ$2,0),0),"")="",IFERROR(VLOOKUP($B55,Evening_Shift!$B$4:$BJ$62,MATCH(Both_Shift_Roster!AK$2,Evening_Shift!$B$2:$BJ$2,0),0),""),IFERROR(VLOOKUP($B55,Morning_Shift!$B$4:$BJ$61,MATCH(Both_Shift_Roster!AK$2,Morning_Shift!$B$2:$BJ$2,0),0),""))</f>
        <v>7:00-14:30</v>
      </c>
      <c r="AL55" s="2">
        <f t="shared" si="25"/>
        <v>0</v>
      </c>
      <c r="AM55" s="2">
        <f t="shared" si="26"/>
        <v>1</v>
      </c>
      <c r="AN55" s="2">
        <f t="shared" si="27"/>
        <v>0</v>
      </c>
      <c r="AO55" s="2">
        <f t="shared" si="28"/>
        <v>0</v>
      </c>
      <c r="AP55" s="2">
        <f t="shared" si="29"/>
        <v>0</v>
      </c>
      <c r="AQ55" s="2" t="str">
        <f>IF(IFERROR(VLOOKUP($B55,Morning_Shift!$B$4:$BJ$61,MATCH(Both_Shift_Roster!AQ$2,Morning_Shift!$B$2:$BJ$2,0),0),"")="",IFERROR(VLOOKUP($B55,Evening_Shift!$B$4:$BJ$62,MATCH(Both_Shift_Roster!AQ$2,Evening_Shift!$B$2:$BJ$2,0),0),""),IFERROR(VLOOKUP($B55,Morning_Shift!$B$4:$BJ$61,MATCH(Both_Shift_Roster!AQ$2,Morning_Shift!$B$2:$BJ$2,0),0),""))</f>
        <v>7:00-14:30</v>
      </c>
      <c r="AR55" s="2" t="str">
        <f>IF(IFERROR(VLOOKUP($B55,Morning_Shift!$B$4:$BJ$61,MATCH(Both_Shift_Roster!AR$2,Morning_Shift!$B$2:$BJ$2,0),0),"")="",IFERROR(VLOOKUP($B55,Evening_Shift!$B$4:$BJ$62,MATCH(Both_Shift_Roster!AR$2,Evening_Shift!$B$2:$BJ$2,0),0),""),IFERROR(VLOOKUP($B55,Morning_Shift!$B$4:$BJ$61,MATCH(Both_Shift_Roster!AR$2,Morning_Shift!$B$2:$BJ$2,0),0),""))</f>
        <v>7:00-14:30</v>
      </c>
      <c r="AS55" s="2" t="str">
        <f>IF(IFERROR(VLOOKUP($B55,Morning_Shift!$B$4:$BJ$61,MATCH(Both_Shift_Roster!AS$2,Morning_Shift!$B$2:$BJ$2,0),0),"")="",IFERROR(VLOOKUP($B55,Evening_Shift!$B$4:$BJ$62,MATCH(Both_Shift_Roster!AS$2,Evening_Shift!$B$2:$BJ$2,0),0),""),IFERROR(VLOOKUP($B55,Morning_Shift!$B$4:$BJ$61,MATCH(Both_Shift_Roster!AS$2,Morning_Shift!$B$2:$BJ$2,0),0),""))</f>
        <v>7:00-14:30</v>
      </c>
      <c r="AT55" s="2" t="str">
        <f>IF(IFERROR(VLOOKUP($B55,Morning_Shift!$B$4:$BJ$61,MATCH(Both_Shift_Roster!AT$2,Morning_Shift!$B$2:$BJ$2,0),0),"")="",IFERROR(VLOOKUP($B55,Evening_Shift!$B$4:$BJ$62,MATCH(Both_Shift_Roster!AT$2,Evening_Shift!$B$2:$BJ$2,0),0),""),IFERROR(VLOOKUP($B55,Morning_Shift!$B$4:$BJ$61,MATCH(Both_Shift_Roster!AT$2,Morning_Shift!$B$2:$BJ$2,0),0),""))</f>
        <v>7:00-14:30</v>
      </c>
      <c r="AU55" s="2" t="str">
        <f>IF(IFERROR(VLOOKUP($B55,Morning_Shift!$B$4:$BJ$61,MATCH(Both_Shift_Roster!AU$2,Morning_Shift!$B$2:$BJ$2,0),0),"")="",IFERROR(VLOOKUP($B55,Evening_Shift!$B$4:$BJ$62,MATCH(Both_Shift_Roster!AU$2,Evening_Shift!$B$2:$BJ$2,0),0),""),IFERROR(VLOOKUP($B55,Morning_Shift!$B$4:$BJ$61,MATCH(Both_Shift_Roster!AU$2,Morning_Shift!$B$2:$BJ$2,0),0),""))</f>
        <v>7:00-14:30</v>
      </c>
      <c r="AV55" s="2" t="str">
        <f>IF(IFERROR(VLOOKUP($B55,Morning_Shift!$B$4:$BJ$61,MATCH(Both_Shift_Roster!AV$2,Morning_Shift!$B$2:$BJ$2,0),0),"")="",IFERROR(VLOOKUP($B55,Evening_Shift!$B$4:$BJ$62,MATCH(Both_Shift_Roster!AV$2,Evening_Shift!$B$2:$BJ$2,0),0),""),IFERROR(VLOOKUP($B55,Morning_Shift!$B$4:$BJ$61,MATCH(Both_Shift_Roster!AV$2,Morning_Shift!$B$2:$BJ$2,0),0),""))</f>
        <v>Agent Choice WO</v>
      </c>
      <c r="AW55" s="2" t="str">
        <f>IF(IFERROR(VLOOKUP($B55,Morning_Shift!$B$4:$BJ$61,MATCH(Both_Shift_Roster!AW$2,Morning_Shift!$B$2:$BJ$2,0),0),"")="",IFERROR(VLOOKUP($B55,Evening_Shift!$B$4:$BJ$62,MATCH(Both_Shift_Roster!AW$2,Evening_Shift!$B$2:$BJ$2,0),0),""),IFERROR(VLOOKUP($B55,Morning_Shift!$B$4:$BJ$61,MATCH(Both_Shift_Roster!AW$2,Morning_Shift!$B$2:$BJ$2,0),0),""))</f>
        <v>7:00-14:30</v>
      </c>
      <c r="AX55" s="2">
        <f t="shared" si="30"/>
        <v>1</v>
      </c>
      <c r="AY55" s="2">
        <f t="shared" si="31"/>
        <v>0</v>
      </c>
      <c r="AZ55" s="2">
        <f t="shared" si="32"/>
        <v>0</v>
      </c>
      <c r="BA55" s="2">
        <f t="shared" si="33"/>
        <v>0</v>
      </c>
      <c r="BB55" s="2">
        <f t="shared" si="34"/>
        <v>0</v>
      </c>
      <c r="BC55" s="2" t="str">
        <f>IF(IFERROR(VLOOKUP($B55,Morning_Shift!$B$4:$BJ$61,MATCH(Both_Shift_Roster!BC$2,Morning_Shift!$B$2:$BJ$2,0),0),"")="",IFERROR(VLOOKUP($B55,Evening_Shift!$B$4:$BJ$62,MATCH(Both_Shift_Roster!BC$2,Evening_Shift!$B$2:$BJ$2,0),0),""),IFERROR(VLOOKUP($B55,Morning_Shift!$B$4:$BJ$61,MATCH(Both_Shift_Roster!BC$2,Morning_Shift!$B$2:$BJ$2,0),0),""))</f>
        <v>7:00-14:30</v>
      </c>
      <c r="BD55" s="2" t="str">
        <f>IF(IFERROR(VLOOKUP($B55,Morning_Shift!$B$4:$BJ$61,MATCH(Both_Shift_Roster!BD$2,Morning_Shift!$B$2:$BJ$2,0),0),"")="",IFERROR(VLOOKUP($B55,Evening_Shift!$B$4:$BJ$62,MATCH(Both_Shift_Roster!BD$2,Evening_Shift!$B$2:$BJ$2,0),0),""),IFERROR(VLOOKUP($B55,Morning_Shift!$B$4:$BJ$61,MATCH(Both_Shift_Roster!BD$2,Morning_Shift!$B$2:$BJ$2,0),0),""))</f>
        <v>7:00-14:30</v>
      </c>
      <c r="BE55" s="2" t="str">
        <f>IF(IFERROR(VLOOKUP($B55,Morning_Shift!$B$4:$BJ$61,MATCH(Both_Shift_Roster!BE$2,Morning_Shift!$B$2:$BJ$2,0),0),"")="",IFERROR(VLOOKUP($B55,Evening_Shift!$B$4:$BJ$59,MATCH(Both_Shift_Roster!BE$2,Evening_Shift!$B$2:$BJ$2,0),0),""),IFERROR(VLOOKUP($B55,Morning_Shift!$B$4:$BJ$61,MATCH(Both_Shift_Roster!BE$2,Morning_Shift!$B$2:$BJ$2,0),0),""))</f>
        <v>7:00-14:30</v>
      </c>
      <c r="BF55" s="2">
        <f t="shared" si="35"/>
        <v>0</v>
      </c>
      <c r="BG55" s="2">
        <f t="shared" si="36"/>
        <v>0</v>
      </c>
      <c r="BH55" s="2">
        <f t="shared" si="37"/>
        <v>0</v>
      </c>
      <c r="BI55" s="2">
        <f t="shared" si="38"/>
        <v>0</v>
      </c>
      <c r="BJ55" s="2">
        <f t="shared" si="39"/>
        <v>0</v>
      </c>
    </row>
    <row r="56" spans="1:62">
      <c r="A56" s="17">
        <f t="shared" si="40"/>
        <v>53</v>
      </c>
      <c r="B56" s="16" t="str">
        <f>Morning_Shift!$B56</f>
        <v>Dritm20</v>
      </c>
      <c r="C56" s="21" t="str">
        <f>IF(IFERROR(VLOOKUP(B56,Morning_Shift!B:C,2,0),"")="",IFERROR(VLOOKUP(B56,Evening_Shift!B:C,2,0),""),IFERROR(VLOOKUP(B56,Morning_Shift!B:C,2,0),""))</f>
        <v>Suman</v>
      </c>
      <c r="D56" s="15" t="str">
        <f>IF(IFERROR(VLOOKUP(B56,Morning_Shift!B:D,3,0),"")="",IFERROR(VLOOKUP(B56,Evening_Shift!B:D,3,0),""),IFERROR(VLOOKUP(B56,Morning_Shift!B:D,3,0),""))</f>
        <v>Naina</v>
      </c>
      <c r="E56" s="4" t="str">
        <f>IF(IFERROR(VLOOKUP(B56,Morning_Shift!B:E,4,0),"")="",IFERROR(VLOOKUP(B56,Evening_Shift!B:E,4,0),""),IFERROR(VLOOKUP(B56,Morning_Shift!B:E,4,0),""))</f>
        <v>F</v>
      </c>
      <c r="F56" s="5" t="str">
        <f>IF(IFERROR(VLOOKUP(B56,Morning_Shift!B:F,5,0),"")="",IFERROR(VLOOKUP(B56,Evening_Shift!B:F,5,0),""),IFERROR(VLOOKUP(B56,Morning_Shift!B:F,5,0),""))</f>
        <v>Himseva manual preview</v>
      </c>
      <c r="G56" s="2" t="str">
        <f>IF(IFERROR(VLOOKUP($B56,Morning_Shift!$B$4:$BJ$61,MATCH(Both_Shift_Roster!G$2,Morning_Shift!$B$2:$BJ$2,0),0),"")="",IFERROR(VLOOKUP($B56,Evening_Shift!$B$4:$BJ$62,MATCH(Both_Shift_Roster!G$2,Evening_Shift!$B$2:$BJ$2,0),0),""),IFERROR(VLOOKUP($B56,Morning_Shift!$B$4:$BJ$61,MATCH(Both_Shift_Roster!G$2,Morning_Shift!$B$2:$BJ$2,0),0),""))</f>
        <v>7:00-14:30</v>
      </c>
      <c r="H56" s="2" t="str">
        <f>IF(IFERROR(VLOOKUP($B56,Morning_Shift!$B$4:$BJ$61,MATCH(Both_Shift_Roster!H$2,Morning_Shift!$B$2:$BJ$2,0),0),"")="",IFERROR(VLOOKUP($B56,Evening_Shift!$B$4:$BJ$62,MATCH(Both_Shift_Roster!H$2,Evening_Shift!$B$2:$BJ$2,0),0),""),IFERROR(VLOOKUP($B56,Morning_Shift!$B$4:$BJ$61,MATCH(Both_Shift_Roster!H$2,Morning_Shift!$B$2:$BJ$2,0),0),""))</f>
        <v>7:00-14:30</v>
      </c>
      <c r="I56" s="2" t="str">
        <f>IF(IFERROR(VLOOKUP($B56,Morning_Shift!$B$4:$BJ$61,MATCH(Both_Shift_Roster!I$2,Morning_Shift!$B$2:$BJ$2,0),0),"")="",IFERROR(VLOOKUP($B56,Evening_Shift!$B$4:$BJ$62,MATCH(Both_Shift_Roster!I$2,Evening_Shift!$B$2:$BJ$2,0),0),""),IFERROR(VLOOKUP($B56,Morning_Shift!$B$4:$BJ$61,MATCH(Both_Shift_Roster!I$2,Morning_Shift!$B$2:$BJ$2,0),0),""))</f>
        <v>7:00-14:30</v>
      </c>
      <c r="J56" s="2" t="str">
        <f>IF(IFERROR(VLOOKUP($B56,Morning_Shift!$B$4:$BJ$61,MATCH(Both_Shift_Roster!J$2,Morning_Shift!$B$2:$BJ$2,0),0),"")="",IFERROR(VLOOKUP($B56,Evening_Shift!$B$4:$BJ$62,MATCH(Both_Shift_Roster!J$2,Evening_Shift!$B$2:$BJ$2,0),0),""),IFERROR(VLOOKUP($B56,Morning_Shift!$B$4:$BJ$61,MATCH(Both_Shift_Roster!J$2,Morning_Shift!$B$2:$BJ$2,0),0),""))</f>
        <v>Agent Choice WO</v>
      </c>
      <c r="K56" s="2" t="str">
        <f>IF(IFERROR(VLOOKUP($B56,Morning_Shift!$B$4:$BJ$61,MATCH(Both_Shift_Roster!K$2,Morning_Shift!$B$2:$BJ$2,0),0),"")="",IFERROR(VLOOKUP($B56,Evening_Shift!$B$4:$BJ$62,MATCH(Both_Shift_Roster!K$2,Evening_Shift!$B$2:$BJ$2,0),0),""),IFERROR(VLOOKUP($B56,Morning_Shift!$B$4:$BJ$61,MATCH(Both_Shift_Roster!K$2,Morning_Shift!$B$2:$BJ$2,0),0),""))</f>
        <v>7:00-14:30</v>
      </c>
      <c r="L56" s="2" t="str">
        <f>IF(IFERROR(VLOOKUP($B56,Morning_Shift!$B$4:$BJ$61,MATCH(Both_Shift_Roster!L$2,Morning_Shift!$B$2:$BJ$2,0),0),"")="",IFERROR(VLOOKUP($B56,Evening_Shift!$B$4:$BJ$62,MATCH(Both_Shift_Roster!L$2,Evening_Shift!$B$2:$BJ$2,0),0),""),IFERROR(VLOOKUP($B56,Morning_Shift!$B$4:$BJ$61,MATCH(Both_Shift_Roster!L$2,Morning_Shift!$B$2:$BJ$2,0),0),""))</f>
        <v>7:00-14:30</v>
      </c>
      <c r="M56" s="2" t="str">
        <f>IF(IFERROR(VLOOKUP($B56,Morning_Shift!$B$4:$BJ$61,MATCH(Both_Shift_Roster!M$2,Morning_Shift!$B$2:$BJ$2,0),0),"")="",IFERROR(VLOOKUP($B56,Evening_Shift!$B$4:$BJ$62,MATCH(Both_Shift_Roster!M$2,Evening_Shift!$B$2:$BJ$2,0),0),""),IFERROR(VLOOKUP($B56,Morning_Shift!$B$4:$BJ$61,MATCH(Both_Shift_Roster!M$2,Morning_Shift!$B$2:$BJ$2,0),0),""))</f>
        <v>7:00-14:30</v>
      </c>
      <c r="N56" s="2">
        <f t="shared" si="15"/>
        <v>1</v>
      </c>
      <c r="O56" s="2">
        <f t="shared" si="16"/>
        <v>0</v>
      </c>
      <c r="P56" s="2">
        <f t="shared" si="17"/>
        <v>0</v>
      </c>
      <c r="Q56" s="2">
        <f t="shared" si="18"/>
        <v>0</v>
      </c>
      <c r="R56" s="2">
        <f t="shared" si="19"/>
        <v>0</v>
      </c>
      <c r="S56" s="2" t="str">
        <f>IF(IFERROR(VLOOKUP($B56,Morning_Shift!$B$4:$BJ$61,MATCH(Both_Shift_Roster!S$2,Morning_Shift!$B$2:$BJ$2,0),0),"")="",IFERROR(VLOOKUP($B56,Evening_Shift!$B$4:$BJ$62,MATCH(Both_Shift_Roster!S$2,Evening_Shift!$B$2:$BJ$2,0),0),""),IFERROR(VLOOKUP($B56,Morning_Shift!$B$4:$BJ$61,MATCH(Both_Shift_Roster!S$2,Morning_Shift!$B$2:$BJ$2,0),0),""))</f>
        <v>7:00-14:30</v>
      </c>
      <c r="T56" s="2" t="str">
        <f>IF(IFERROR(VLOOKUP($B56,Morning_Shift!$B$4:$BJ$61,MATCH(Both_Shift_Roster!T$2,Morning_Shift!$B$2:$BJ$2,0),0),"")="",IFERROR(VLOOKUP($B56,Evening_Shift!$B$4:$BJ$62,MATCH(Both_Shift_Roster!T$2,Evening_Shift!$B$2:$BJ$2,0),0),""),IFERROR(VLOOKUP($B56,Morning_Shift!$B$4:$BJ$61,MATCH(Both_Shift_Roster!T$2,Morning_Shift!$B$2:$BJ$2,0),0),""))</f>
        <v>7:00-14:30</v>
      </c>
      <c r="U56" s="2" t="str">
        <f>IF(IFERROR(VLOOKUP($B56,Morning_Shift!$B$4:$BJ$61,MATCH(Both_Shift_Roster!U$2,Morning_Shift!$B$2:$BJ$2,0),0),"")="",IFERROR(VLOOKUP($B56,Evening_Shift!$B$4:$BJ$62,MATCH(Both_Shift_Roster!U$2,Evening_Shift!$B$2:$BJ$2,0),0),""),IFERROR(VLOOKUP($B56,Morning_Shift!$B$4:$BJ$61,MATCH(Both_Shift_Roster!U$2,Morning_Shift!$B$2:$BJ$2,0),0),""))</f>
        <v>7:00-14:30</v>
      </c>
      <c r="V56" s="2" t="str">
        <f>IF(IFERROR(VLOOKUP($B56,Morning_Shift!$B$4:$BJ$61,MATCH(Both_Shift_Roster!V$2,Morning_Shift!$B$2:$BJ$2,0),0),"")="",IFERROR(VLOOKUP($B56,Evening_Shift!$B$4:$BJ$62,MATCH(Both_Shift_Roster!V$2,Evening_Shift!$B$2:$BJ$2,0),0),""),IFERROR(VLOOKUP($B56,Morning_Shift!$B$4:$BJ$61,MATCH(Both_Shift_Roster!V$2,Morning_Shift!$B$2:$BJ$2,0),0),""))</f>
        <v>7:00-14:30</v>
      </c>
      <c r="W56" s="2" t="str">
        <f>IF(IFERROR(VLOOKUP($B56,Morning_Shift!$B$4:$BJ$61,MATCH(Both_Shift_Roster!W$2,Morning_Shift!$B$2:$BJ$2,0),0),"")="",IFERROR(VLOOKUP($B56,Evening_Shift!$B$4:$BJ$62,MATCH(Both_Shift_Roster!W$2,Evening_Shift!$B$2:$BJ$2,0),0),""),IFERROR(VLOOKUP($B56,Morning_Shift!$B$4:$BJ$61,MATCH(Both_Shift_Roster!W$2,Morning_Shift!$B$2:$BJ$2,0),0),""))</f>
        <v>7:00-14:30</v>
      </c>
      <c r="X56" s="2" t="str">
        <f>IF(IFERROR(VLOOKUP($B56,Morning_Shift!$B$4:$BJ$61,MATCH(Both_Shift_Roster!X$2,Morning_Shift!$B$2:$BJ$2,0),0),"")="",IFERROR(VLOOKUP($B56,Evening_Shift!$B$4:$BJ$62,MATCH(Both_Shift_Roster!X$2,Evening_Shift!$B$2:$BJ$2,0),0),""),IFERROR(VLOOKUP($B56,Morning_Shift!$B$4:$BJ$61,MATCH(Both_Shift_Roster!X$2,Morning_Shift!$B$2:$BJ$2,0),0),""))</f>
        <v>7:00-14:30</v>
      </c>
      <c r="Y56" s="2" t="str">
        <f>IF(IFERROR(VLOOKUP($B56,Morning_Shift!$B$4:$BJ$61,MATCH(Both_Shift_Roster!Y$2,Morning_Shift!$B$2:$BJ$2,0),0),"")="",IFERROR(VLOOKUP($B56,Evening_Shift!$B$4:$BJ$62,MATCH(Both_Shift_Roster!Y$2,Evening_Shift!$B$2:$BJ$2,0),0),""),IFERROR(VLOOKUP($B56,Morning_Shift!$B$4:$BJ$61,MATCH(Both_Shift_Roster!Y$2,Morning_Shift!$B$2:$BJ$2,0),0),""))</f>
        <v>7:00-14:30</v>
      </c>
      <c r="Z56" s="2">
        <f t="shared" si="20"/>
        <v>0</v>
      </c>
      <c r="AA56" s="2">
        <f t="shared" si="21"/>
        <v>0</v>
      </c>
      <c r="AB56" s="2">
        <f t="shared" si="22"/>
        <v>0</v>
      </c>
      <c r="AC56" s="2">
        <f t="shared" si="23"/>
        <v>0</v>
      </c>
      <c r="AD56" s="2">
        <f t="shared" si="24"/>
        <v>0</v>
      </c>
      <c r="AE56" s="2" t="str">
        <f>IF(IFERROR(VLOOKUP($B56,Morning_Shift!$B$4:$BJ$61,MATCH(Both_Shift_Roster!AE$2,Morning_Shift!$B$2:$BJ$2,0),0),"")="",IFERROR(VLOOKUP($B56,Evening_Shift!$B$4:$BJ$62,MATCH(Both_Shift_Roster!AE$2,Evening_Shift!$B$2:$BJ$2,0),0),""),IFERROR(VLOOKUP($B56,Morning_Shift!$B$4:$BJ$61,MATCH(Both_Shift_Roster!AE$2,Morning_Shift!$B$2:$BJ$2,0),0),""))</f>
        <v>7:00-14:30</v>
      </c>
      <c r="AF56" s="2" t="str">
        <f>IF(IFERROR(VLOOKUP($B56,Morning_Shift!$B$4:$BJ$61,MATCH(Both_Shift_Roster!AF$2,Morning_Shift!$B$2:$BJ$2,0),0),"")="",IFERROR(VLOOKUP($B56,Evening_Shift!$B$4:$BJ$62,MATCH(Both_Shift_Roster!AF$2,Evening_Shift!$B$2:$BJ$2,0),0),""),IFERROR(VLOOKUP($B56,Morning_Shift!$B$4:$BJ$61,MATCH(Both_Shift_Roster!AF$2,Morning_Shift!$B$2:$BJ$2,0),0),""))</f>
        <v>7:00-14:30</v>
      </c>
      <c r="AG56" s="2" t="str">
        <f>IF(IFERROR(VLOOKUP($B56,Morning_Shift!$B$4:$BJ$61,MATCH(Both_Shift_Roster!AG$2,Morning_Shift!$B$2:$BJ$2,0),0),"")="",IFERROR(VLOOKUP($B56,Evening_Shift!$B$4:$BJ$62,MATCH(Both_Shift_Roster!AG$2,Evening_Shift!$B$2:$BJ$2,0),0),""),IFERROR(VLOOKUP($B56,Morning_Shift!$B$4:$BJ$61,MATCH(Both_Shift_Roster!AG$2,Morning_Shift!$B$2:$BJ$2,0),0),""))</f>
        <v>7:00-14:30</v>
      </c>
      <c r="AH56" s="2" t="str">
        <f>IF(IFERROR(VLOOKUP($B56,Morning_Shift!$B$4:$BJ$61,MATCH(Both_Shift_Roster!AH$2,Morning_Shift!$B$2:$BJ$2,0),0),"")="",IFERROR(VLOOKUP($B56,Evening_Shift!$B$4:$BJ$62,MATCH(Both_Shift_Roster!AH$2,Evening_Shift!$B$2:$BJ$2,0),0),""),IFERROR(VLOOKUP($B56,Morning_Shift!$B$4:$BJ$61,MATCH(Both_Shift_Roster!AH$2,Morning_Shift!$B$2:$BJ$2,0),0),""))</f>
        <v>7:00-14:30</v>
      </c>
      <c r="AI56" s="2" t="str">
        <f>IF(IFERROR(VLOOKUP($B56,Morning_Shift!$B$4:$BJ$61,MATCH(Both_Shift_Roster!AI$2,Morning_Shift!$B$2:$BJ$2,0),0),"")="",IFERROR(VLOOKUP($B56,Evening_Shift!$B$4:$BJ$62,MATCH(Both_Shift_Roster!AI$2,Evening_Shift!$B$2:$BJ$2,0),0),""),IFERROR(VLOOKUP($B56,Morning_Shift!$B$4:$BJ$61,MATCH(Both_Shift_Roster!AI$2,Morning_Shift!$B$2:$BJ$2,0),0),""))</f>
        <v>Agent Choice WO</v>
      </c>
      <c r="AJ56" s="2" t="str">
        <f>IF(IFERROR(VLOOKUP($B56,Morning_Shift!$B$4:$BJ$61,MATCH(Both_Shift_Roster!AJ$2,Morning_Shift!$B$2:$BJ$2,0),0),"")="",IFERROR(VLOOKUP($B56,Evening_Shift!$B$4:$BJ$62,MATCH(Both_Shift_Roster!AJ$2,Evening_Shift!$B$2:$BJ$2,0),0),""),IFERROR(VLOOKUP($B56,Morning_Shift!$B$4:$BJ$61,MATCH(Both_Shift_Roster!AJ$2,Morning_Shift!$B$2:$BJ$2,0),0),""))</f>
        <v>Agent Choice WO</v>
      </c>
      <c r="AK56" s="2" t="str">
        <f>IF(IFERROR(VLOOKUP($B56,Morning_Shift!$B$4:$BJ$61,MATCH(Both_Shift_Roster!AK$2,Morning_Shift!$B$2:$BJ$2,0),0),"")="",IFERROR(VLOOKUP($B56,Evening_Shift!$B$4:$BJ$62,MATCH(Both_Shift_Roster!AK$2,Evening_Shift!$B$2:$BJ$2,0),0),""),IFERROR(VLOOKUP($B56,Morning_Shift!$B$4:$BJ$61,MATCH(Both_Shift_Roster!AK$2,Morning_Shift!$B$2:$BJ$2,0),0),""))</f>
        <v>Agent Choice WO</v>
      </c>
      <c r="AL56" s="2">
        <f t="shared" si="25"/>
        <v>3</v>
      </c>
      <c r="AM56" s="2">
        <f t="shared" si="26"/>
        <v>0</v>
      </c>
      <c r="AN56" s="2">
        <f t="shared" si="27"/>
        <v>0</v>
      </c>
      <c r="AO56" s="2">
        <f t="shared" si="28"/>
        <v>0</v>
      </c>
      <c r="AP56" s="2">
        <f t="shared" si="29"/>
        <v>0</v>
      </c>
      <c r="AQ56" s="2" t="str">
        <f>IF(IFERROR(VLOOKUP($B56,Morning_Shift!$B$4:$BJ$61,MATCH(Both_Shift_Roster!AQ$2,Morning_Shift!$B$2:$BJ$2,0),0),"")="",IFERROR(VLOOKUP($B56,Evening_Shift!$B$4:$BJ$62,MATCH(Both_Shift_Roster!AQ$2,Evening_Shift!$B$2:$BJ$2,0),0),""),IFERROR(VLOOKUP($B56,Morning_Shift!$B$4:$BJ$61,MATCH(Both_Shift_Roster!AQ$2,Morning_Shift!$B$2:$BJ$2,0),0),""))</f>
        <v>CL</v>
      </c>
      <c r="AR56" s="2" t="str">
        <f>IF(IFERROR(VLOOKUP($B56,Morning_Shift!$B$4:$BJ$61,MATCH(Both_Shift_Roster!AR$2,Morning_Shift!$B$2:$BJ$2,0),0),"")="",IFERROR(VLOOKUP($B56,Evening_Shift!$B$4:$BJ$62,MATCH(Both_Shift_Roster!AR$2,Evening_Shift!$B$2:$BJ$2,0),0),""),IFERROR(VLOOKUP($B56,Morning_Shift!$B$4:$BJ$61,MATCH(Both_Shift_Roster!AR$2,Morning_Shift!$B$2:$BJ$2,0),0),""))</f>
        <v>7:00-14:30</v>
      </c>
      <c r="AS56" s="2" t="str">
        <f>IF(IFERROR(VLOOKUP($B56,Morning_Shift!$B$4:$BJ$61,MATCH(Both_Shift_Roster!AS$2,Morning_Shift!$B$2:$BJ$2,0),0),"")="",IFERROR(VLOOKUP($B56,Evening_Shift!$B$4:$BJ$62,MATCH(Both_Shift_Roster!AS$2,Evening_Shift!$B$2:$BJ$2,0),0),""),IFERROR(VLOOKUP($B56,Morning_Shift!$B$4:$BJ$61,MATCH(Both_Shift_Roster!AS$2,Morning_Shift!$B$2:$BJ$2,0),0),""))</f>
        <v>7:00-14:30</v>
      </c>
      <c r="AT56" s="2" t="str">
        <f>IF(IFERROR(VLOOKUP($B56,Morning_Shift!$B$4:$BJ$61,MATCH(Both_Shift_Roster!AT$2,Morning_Shift!$B$2:$BJ$2,0),0),"")="",IFERROR(VLOOKUP($B56,Evening_Shift!$B$4:$BJ$62,MATCH(Both_Shift_Roster!AT$2,Evening_Shift!$B$2:$BJ$2,0),0),""),IFERROR(VLOOKUP($B56,Morning_Shift!$B$4:$BJ$61,MATCH(Both_Shift_Roster!AT$2,Morning_Shift!$B$2:$BJ$2,0),0),""))</f>
        <v>7:00-14:30</v>
      </c>
      <c r="AU56" s="2" t="str">
        <f>IF(IFERROR(VLOOKUP($B56,Morning_Shift!$B$4:$BJ$61,MATCH(Both_Shift_Roster!AU$2,Morning_Shift!$B$2:$BJ$2,0),0),"")="",IFERROR(VLOOKUP($B56,Evening_Shift!$B$4:$BJ$62,MATCH(Both_Shift_Roster!AU$2,Evening_Shift!$B$2:$BJ$2,0),0),""),IFERROR(VLOOKUP($B56,Morning_Shift!$B$4:$BJ$61,MATCH(Both_Shift_Roster!AU$2,Morning_Shift!$B$2:$BJ$2,0),0),""))</f>
        <v>7:00-14:30</v>
      </c>
      <c r="AV56" s="2" t="str">
        <f>IF(IFERROR(VLOOKUP($B56,Morning_Shift!$B$4:$BJ$61,MATCH(Both_Shift_Roster!AV$2,Morning_Shift!$B$2:$BJ$2,0),0),"")="",IFERROR(VLOOKUP($B56,Evening_Shift!$B$4:$BJ$62,MATCH(Both_Shift_Roster!AV$2,Evening_Shift!$B$2:$BJ$2,0),0),""),IFERROR(VLOOKUP($B56,Morning_Shift!$B$4:$BJ$61,MATCH(Both_Shift_Roster!AV$2,Morning_Shift!$B$2:$BJ$2,0),0),""))</f>
        <v>7:00-14:30</v>
      </c>
      <c r="AW56" s="2" t="str">
        <f>IF(IFERROR(VLOOKUP($B56,Morning_Shift!$B$4:$BJ$61,MATCH(Both_Shift_Roster!AW$2,Morning_Shift!$B$2:$BJ$2,0),0),"")="",IFERROR(VLOOKUP($B56,Evening_Shift!$B$4:$BJ$62,MATCH(Both_Shift_Roster!AW$2,Evening_Shift!$B$2:$BJ$2,0),0),""),IFERROR(VLOOKUP($B56,Morning_Shift!$B$4:$BJ$61,MATCH(Both_Shift_Roster!AW$2,Morning_Shift!$B$2:$BJ$2,0),0),""))</f>
        <v>7:00-14:30</v>
      </c>
      <c r="AX56" s="2">
        <f t="shared" si="30"/>
        <v>0</v>
      </c>
      <c r="AY56" s="2">
        <f t="shared" si="31"/>
        <v>0</v>
      </c>
      <c r="AZ56" s="2">
        <f t="shared" si="32"/>
        <v>1</v>
      </c>
      <c r="BA56" s="2">
        <f t="shared" si="33"/>
        <v>0</v>
      </c>
      <c r="BB56" s="2">
        <f t="shared" si="34"/>
        <v>0</v>
      </c>
      <c r="BC56" s="2" t="str">
        <f>IF(IFERROR(VLOOKUP($B56,Morning_Shift!$B$4:$BJ$61,MATCH(Both_Shift_Roster!BC$2,Morning_Shift!$B$2:$BJ$2,0),0),"")="",IFERROR(VLOOKUP($B56,Evening_Shift!$B$4:$BJ$62,MATCH(Both_Shift_Roster!BC$2,Evening_Shift!$B$2:$BJ$2,0),0),""),IFERROR(VLOOKUP($B56,Morning_Shift!$B$4:$BJ$61,MATCH(Both_Shift_Roster!BC$2,Morning_Shift!$B$2:$BJ$2,0),0),""))</f>
        <v>7:00-14:30</v>
      </c>
      <c r="BD56" s="2" t="str">
        <f>IF(IFERROR(VLOOKUP($B56,Morning_Shift!$B$4:$BJ$61,MATCH(Both_Shift_Roster!BD$2,Morning_Shift!$B$2:$BJ$2,0),0),"")="",IFERROR(VLOOKUP($B56,Evening_Shift!$B$4:$BJ$62,MATCH(Both_Shift_Roster!BD$2,Evening_Shift!$B$2:$BJ$2,0),0),""),IFERROR(VLOOKUP($B56,Morning_Shift!$B$4:$BJ$61,MATCH(Both_Shift_Roster!BD$2,Morning_Shift!$B$2:$BJ$2,0),0),""))</f>
        <v>7:00-14:30</v>
      </c>
      <c r="BE56" s="2" t="str">
        <f>IF(IFERROR(VLOOKUP($B56,Morning_Shift!$B$4:$BJ$61,MATCH(Both_Shift_Roster!BE$2,Morning_Shift!$B$2:$BJ$2,0),0),"")="",IFERROR(VLOOKUP($B56,Evening_Shift!$B$4:$BJ$59,MATCH(Both_Shift_Roster!BE$2,Evening_Shift!$B$2:$BJ$2,0),0),""),IFERROR(VLOOKUP($B56,Morning_Shift!$B$4:$BJ$61,MATCH(Both_Shift_Roster!BE$2,Morning_Shift!$B$2:$BJ$2,0),0),""))</f>
        <v>7:00-14:30</v>
      </c>
      <c r="BF56" s="2">
        <f t="shared" si="35"/>
        <v>0</v>
      </c>
      <c r="BG56" s="2">
        <f t="shared" si="36"/>
        <v>0</v>
      </c>
      <c r="BH56" s="2">
        <f t="shared" si="37"/>
        <v>0</v>
      </c>
      <c r="BI56" s="2">
        <f t="shared" si="38"/>
        <v>0</v>
      </c>
      <c r="BJ56" s="2">
        <f t="shared" si="39"/>
        <v>0</v>
      </c>
    </row>
    <row r="57" spans="1:62">
      <c r="A57" s="17">
        <f t="shared" si="40"/>
        <v>54</v>
      </c>
      <c r="B57" s="16" t="str">
        <f>Morning_Shift!$B57</f>
        <v>Dritm69</v>
      </c>
      <c r="C57" s="21" t="str">
        <f>IF(IFERROR(VLOOKUP(B57,Morning_Shift!B:C,2,0),"")="",IFERROR(VLOOKUP(B57,Evening_Shift!B:C,2,0),""),IFERROR(VLOOKUP(B57,Morning_Shift!B:C,2,0),""))</f>
        <v>Suresh Kumar</v>
      </c>
      <c r="D57" s="15" t="str">
        <f>IF(IFERROR(VLOOKUP(B57,Morning_Shift!B:D,3,0),"")="",IFERROR(VLOOKUP(B57,Evening_Shift!B:D,3,0),""),IFERROR(VLOOKUP(B57,Morning_Shift!B:D,3,0),""))</f>
        <v>Naina</v>
      </c>
      <c r="E57" s="4" t="str">
        <f>IF(IFERROR(VLOOKUP(B57,Morning_Shift!B:E,4,0),"")="",IFERROR(VLOOKUP(B57,Evening_Shift!B:E,4,0),""),IFERROR(VLOOKUP(B57,Morning_Shift!B:E,4,0),""))</f>
        <v>M</v>
      </c>
      <c r="F57" s="5" t="str">
        <f>IF(IFERROR(VLOOKUP(B57,Morning_Shift!B:F,5,0),"")="",IFERROR(VLOOKUP(B57,Evening_Shift!B:F,5,0),""),IFERROR(VLOOKUP(B57,Morning_Shift!B:F,5,0),""))</f>
        <v>Inbound</v>
      </c>
      <c r="G57" s="2" t="str">
        <f>IF(IFERROR(VLOOKUP($B57,Morning_Shift!$B$4:$BJ$61,MATCH(Both_Shift_Roster!G$2,Morning_Shift!$B$2:$BJ$2,0),0),"")="",IFERROR(VLOOKUP($B57,Evening_Shift!$B$4:$BJ$62,MATCH(Both_Shift_Roster!G$2,Evening_Shift!$B$2:$BJ$2,0),0),""),IFERROR(VLOOKUP($B57,Morning_Shift!$B$4:$BJ$61,MATCH(Both_Shift_Roster!G$2,Morning_Shift!$B$2:$BJ$2,0),0),""))</f>
        <v>7:00-14:30</v>
      </c>
      <c r="H57" s="2" t="str">
        <f>IF(IFERROR(VLOOKUP($B57,Morning_Shift!$B$4:$BJ$61,MATCH(Both_Shift_Roster!H$2,Morning_Shift!$B$2:$BJ$2,0),0),"")="",IFERROR(VLOOKUP($B57,Evening_Shift!$B$4:$BJ$62,MATCH(Both_Shift_Roster!H$2,Evening_Shift!$B$2:$BJ$2,0),0),""),IFERROR(VLOOKUP($B57,Morning_Shift!$B$4:$BJ$61,MATCH(Both_Shift_Roster!H$2,Morning_Shift!$B$2:$BJ$2,0),0),""))</f>
        <v>7:00-14:30</v>
      </c>
      <c r="I57" s="2" t="str">
        <f>IF(IFERROR(VLOOKUP($B57,Morning_Shift!$B$4:$BJ$61,MATCH(Both_Shift_Roster!I$2,Morning_Shift!$B$2:$BJ$2,0),0),"")="",IFERROR(VLOOKUP($B57,Evening_Shift!$B$4:$BJ$62,MATCH(Both_Shift_Roster!I$2,Evening_Shift!$B$2:$BJ$2,0),0),""),IFERROR(VLOOKUP($B57,Morning_Shift!$B$4:$BJ$61,MATCH(Both_Shift_Roster!I$2,Morning_Shift!$B$2:$BJ$2,0),0),""))</f>
        <v>7:00-14:30</v>
      </c>
      <c r="J57" s="2" t="str">
        <f>IF(IFERROR(VLOOKUP($B57,Morning_Shift!$B$4:$BJ$61,MATCH(Both_Shift_Roster!J$2,Morning_Shift!$B$2:$BJ$2,0),0),"")="",IFERROR(VLOOKUP($B57,Evening_Shift!$B$4:$BJ$62,MATCH(Both_Shift_Roster!J$2,Evening_Shift!$B$2:$BJ$2,0),0),""),IFERROR(VLOOKUP($B57,Morning_Shift!$B$4:$BJ$61,MATCH(Both_Shift_Roster!J$2,Morning_Shift!$B$2:$BJ$2,0),0),""))</f>
        <v>7:00-14:30</v>
      </c>
      <c r="K57" s="2" t="str">
        <f>IF(IFERROR(VLOOKUP($B57,Morning_Shift!$B$4:$BJ$61,MATCH(Both_Shift_Roster!K$2,Morning_Shift!$B$2:$BJ$2,0),0),"")="",IFERROR(VLOOKUP($B57,Evening_Shift!$B$4:$BJ$62,MATCH(Both_Shift_Roster!K$2,Evening_Shift!$B$2:$BJ$2,0),0),""),IFERROR(VLOOKUP($B57,Morning_Shift!$B$4:$BJ$61,MATCH(Both_Shift_Roster!K$2,Morning_Shift!$B$2:$BJ$2,0),0),""))</f>
        <v>7:00-14:30</v>
      </c>
      <c r="L57" s="2" t="str">
        <f>IF(IFERROR(VLOOKUP($B57,Morning_Shift!$B$4:$BJ$61,MATCH(Both_Shift_Roster!L$2,Morning_Shift!$B$2:$BJ$2,0),0),"")="",IFERROR(VLOOKUP($B57,Evening_Shift!$B$4:$BJ$62,MATCH(Both_Shift_Roster!L$2,Evening_Shift!$B$2:$BJ$2,0),0),""),IFERROR(VLOOKUP($B57,Morning_Shift!$B$4:$BJ$61,MATCH(Both_Shift_Roster!L$2,Morning_Shift!$B$2:$BJ$2,0),0),""))</f>
        <v>7:00-14:30</v>
      </c>
      <c r="M57" s="2" t="str">
        <f>IF(IFERROR(VLOOKUP($B57,Morning_Shift!$B$4:$BJ$61,MATCH(Both_Shift_Roster!M$2,Morning_Shift!$B$2:$BJ$2,0),0),"")="",IFERROR(VLOOKUP($B57,Evening_Shift!$B$4:$BJ$62,MATCH(Both_Shift_Roster!M$2,Evening_Shift!$B$2:$BJ$2,0),0),""),IFERROR(VLOOKUP($B57,Morning_Shift!$B$4:$BJ$61,MATCH(Both_Shift_Roster!M$2,Morning_Shift!$B$2:$BJ$2,0),0),""))</f>
        <v>7:00-14:30</v>
      </c>
      <c r="N57" s="2">
        <f t="shared" si="15"/>
        <v>0</v>
      </c>
      <c r="O57" s="2">
        <f t="shared" si="16"/>
        <v>0</v>
      </c>
      <c r="P57" s="2">
        <f t="shared" si="17"/>
        <v>0</v>
      </c>
      <c r="Q57" s="2">
        <f t="shared" si="18"/>
        <v>0</v>
      </c>
      <c r="R57" s="2">
        <f t="shared" si="19"/>
        <v>0</v>
      </c>
      <c r="S57" s="2" t="str">
        <f>IF(IFERROR(VLOOKUP($B57,Morning_Shift!$B$4:$BJ$61,MATCH(Both_Shift_Roster!S$2,Morning_Shift!$B$2:$BJ$2,0),0),"")="",IFERROR(VLOOKUP($B57,Evening_Shift!$B$4:$BJ$62,MATCH(Both_Shift_Roster!S$2,Evening_Shift!$B$2:$BJ$2,0),0),""),IFERROR(VLOOKUP($B57,Morning_Shift!$B$4:$BJ$61,MATCH(Both_Shift_Roster!S$2,Morning_Shift!$B$2:$BJ$2,0),0),""))</f>
        <v>7:00-14:30</v>
      </c>
      <c r="T57" s="2" t="str">
        <f>IF(IFERROR(VLOOKUP($B57,Morning_Shift!$B$4:$BJ$61,MATCH(Both_Shift_Roster!T$2,Morning_Shift!$B$2:$BJ$2,0),0),"")="",IFERROR(VLOOKUP($B57,Evening_Shift!$B$4:$BJ$62,MATCH(Both_Shift_Roster!T$2,Evening_Shift!$B$2:$BJ$2,0),0),""),IFERROR(VLOOKUP($B57,Morning_Shift!$B$4:$BJ$61,MATCH(Both_Shift_Roster!T$2,Morning_Shift!$B$2:$BJ$2,0),0),""))</f>
        <v>7:00-14:30</v>
      </c>
      <c r="U57" s="2" t="str">
        <f>IF(IFERROR(VLOOKUP($B57,Morning_Shift!$B$4:$BJ$61,MATCH(Both_Shift_Roster!U$2,Morning_Shift!$B$2:$BJ$2,0),0),"")="",IFERROR(VLOOKUP($B57,Evening_Shift!$B$4:$BJ$62,MATCH(Both_Shift_Roster!U$2,Evening_Shift!$B$2:$BJ$2,0),0),""),IFERROR(VLOOKUP($B57,Morning_Shift!$B$4:$BJ$61,MATCH(Both_Shift_Roster!U$2,Morning_Shift!$B$2:$BJ$2,0),0),""))</f>
        <v>7:00-14:30</v>
      </c>
      <c r="V57" s="2" t="str">
        <f>IF(IFERROR(VLOOKUP($B57,Morning_Shift!$B$4:$BJ$61,MATCH(Both_Shift_Roster!V$2,Morning_Shift!$B$2:$BJ$2,0),0),"")="",IFERROR(VLOOKUP($B57,Evening_Shift!$B$4:$BJ$62,MATCH(Both_Shift_Roster!V$2,Evening_Shift!$B$2:$BJ$2,0),0),""),IFERROR(VLOOKUP($B57,Morning_Shift!$B$4:$BJ$61,MATCH(Both_Shift_Roster!V$2,Morning_Shift!$B$2:$BJ$2,0),0),""))</f>
        <v>7:00-14:30</v>
      </c>
      <c r="W57" s="2" t="str">
        <f>IF(IFERROR(VLOOKUP($B57,Morning_Shift!$B$4:$BJ$61,MATCH(Both_Shift_Roster!W$2,Morning_Shift!$B$2:$BJ$2,0),0),"")="",IFERROR(VLOOKUP($B57,Evening_Shift!$B$4:$BJ$62,MATCH(Both_Shift_Roster!W$2,Evening_Shift!$B$2:$BJ$2,0),0),""),IFERROR(VLOOKUP($B57,Morning_Shift!$B$4:$BJ$61,MATCH(Both_Shift_Roster!W$2,Morning_Shift!$B$2:$BJ$2,0),0),""))</f>
        <v>Agent Choice WO</v>
      </c>
      <c r="X57" s="2" t="str">
        <f>IF(IFERROR(VLOOKUP($B57,Morning_Shift!$B$4:$BJ$61,MATCH(Both_Shift_Roster!X$2,Morning_Shift!$B$2:$BJ$2,0),0),"")="",IFERROR(VLOOKUP($B57,Evening_Shift!$B$4:$BJ$62,MATCH(Both_Shift_Roster!X$2,Evening_Shift!$B$2:$BJ$2,0),0),""),IFERROR(VLOOKUP($B57,Morning_Shift!$B$4:$BJ$61,MATCH(Both_Shift_Roster!X$2,Morning_Shift!$B$2:$BJ$2,0),0),""))</f>
        <v>Agent Choice WO</v>
      </c>
      <c r="Y57" s="2" t="str">
        <f>IF(IFERROR(VLOOKUP($B57,Morning_Shift!$B$4:$BJ$61,MATCH(Both_Shift_Roster!Y$2,Morning_Shift!$B$2:$BJ$2,0),0),"")="",IFERROR(VLOOKUP($B57,Evening_Shift!$B$4:$BJ$62,MATCH(Both_Shift_Roster!Y$2,Evening_Shift!$B$2:$BJ$2,0),0),""),IFERROR(VLOOKUP($B57,Morning_Shift!$B$4:$BJ$61,MATCH(Both_Shift_Roster!Y$2,Morning_Shift!$B$2:$BJ$2,0),0),""))</f>
        <v>Agent Choice WO</v>
      </c>
      <c r="Z57" s="2">
        <f t="shared" si="20"/>
        <v>3</v>
      </c>
      <c r="AA57" s="2">
        <f t="shared" si="21"/>
        <v>0</v>
      </c>
      <c r="AB57" s="2">
        <f t="shared" si="22"/>
        <v>0</v>
      </c>
      <c r="AC57" s="2">
        <f t="shared" si="23"/>
        <v>0</v>
      </c>
      <c r="AD57" s="2">
        <f t="shared" si="24"/>
        <v>0</v>
      </c>
      <c r="AE57" s="2" t="str">
        <f>IF(IFERROR(VLOOKUP($B57,Morning_Shift!$B$4:$BJ$61,MATCH(Both_Shift_Roster!AE$2,Morning_Shift!$B$2:$BJ$2,0),0),"")="",IFERROR(VLOOKUP($B57,Evening_Shift!$B$4:$BJ$62,MATCH(Both_Shift_Roster!AE$2,Evening_Shift!$B$2:$BJ$2,0),0),""),IFERROR(VLOOKUP($B57,Morning_Shift!$B$4:$BJ$61,MATCH(Both_Shift_Roster!AE$2,Morning_Shift!$B$2:$BJ$2,0),0),""))</f>
        <v>Agent Choice WO</v>
      </c>
      <c r="AF57" s="2" t="str">
        <f>IF(IFERROR(VLOOKUP($B57,Morning_Shift!$B$4:$BJ$61,MATCH(Both_Shift_Roster!AF$2,Morning_Shift!$B$2:$BJ$2,0),0),"")="",IFERROR(VLOOKUP($B57,Evening_Shift!$B$4:$BJ$62,MATCH(Both_Shift_Roster!AF$2,Evening_Shift!$B$2:$BJ$2,0),0),""),IFERROR(VLOOKUP($B57,Morning_Shift!$B$4:$BJ$61,MATCH(Both_Shift_Roster!AF$2,Morning_Shift!$B$2:$BJ$2,0),0),""))</f>
        <v>CL</v>
      </c>
      <c r="AG57" s="2" t="str">
        <f>IF(IFERROR(VLOOKUP($B57,Morning_Shift!$B$4:$BJ$61,MATCH(Both_Shift_Roster!AG$2,Morning_Shift!$B$2:$BJ$2,0),0),"")="",IFERROR(VLOOKUP($B57,Evening_Shift!$B$4:$BJ$62,MATCH(Both_Shift_Roster!AG$2,Evening_Shift!$B$2:$BJ$2,0),0),""),IFERROR(VLOOKUP($B57,Morning_Shift!$B$4:$BJ$61,MATCH(Both_Shift_Roster!AG$2,Morning_Shift!$B$2:$BJ$2,0),0),""))</f>
        <v>7:00-14:30</v>
      </c>
      <c r="AH57" s="2" t="str">
        <f>IF(IFERROR(VLOOKUP($B57,Morning_Shift!$B$4:$BJ$61,MATCH(Both_Shift_Roster!AH$2,Morning_Shift!$B$2:$BJ$2,0),0),"")="",IFERROR(VLOOKUP($B57,Evening_Shift!$B$4:$BJ$62,MATCH(Both_Shift_Roster!AH$2,Evening_Shift!$B$2:$BJ$2,0),0),""),IFERROR(VLOOKUP($B57,Morning_Shift!$B$4:$BJ$61,MATCH(Both_Shift_Roster!AH$2,Morning_Shift!$B$2:$BJ$2,0),0),""))</f>
        <v>7:00-14:30</v>
      </c>
      <c r="AI57" s="2" t="str">
        <f>IF(IFERROR(VLOOKUP($B57,Morning_Shift!$B$4:$BJ$61,MATCH(Both_Shift_Roster!AI$2,Morning_Shift!$B$2:$BJ$2,0),0),"")="",IFERROR(VLOOKUP($B57,Evening_Shift!$B$4:$BJ$62,MATCH(Both_Shift_Roster!AI$2,Evening_Shift!$B$2:$BJ$2,0),0),""),IFERROR(VLOOKUP($B57,Morning_Shift!$B$4:$BJ$61,MATCH(Both_Shift_Roster!AI$2,Morning_Shift!$B$2:$BJ$2,0),0),""))</f>
        <v>7:00-14:30</v>
      </c>
      <c r="AJ57" s="2" t="str">
        <f>IF(IFERROR(VLOOKUP($B57,Morning_Shift!$B$4:$BJ$61,MATCH(Both_Shift_Roster!AJ$2,Morning_Shift!$B$2:$BJ$2,0),0),"")="",IFERROR(VLOOKUP($B57,Evening_Shift!$B$4:$BJ$62,MATCH(Both_Shift_Roster!AJ$2,Evening_Shift!$B$2:$BJ$2,0),0),""),IFERROR(VLOOKUP($B57,Morning_Shift!$B$4:$BJ$61,MATCH(Both_Shift_Roster!AJ$2,Morning_Shift!$B$2:$BJ$2,0),0),""))</f>
        <v>7:00-14:30</v>
      </c>
      <c r="AK57" s="2" t="str">
        <f>IF(IFERROR(VLOOKUP($B57,Morning_Shift!$B$4:$BJ$61,MATCH(Both_Shift_Roster!AK$2,Morning_Shift!$B$2:$BJ$2,0),0),"")="",IFERROR(VLOOKUP($B57,Evening_Shift!$B$4:$BJ$62,MATCH(Both_Shift_Roster!AK$2,Evening_Shift!$B$2:$BJ$2,0),0),""),IFERROR(VLOOKUP($B57,Morning_Shift!$B$4:$BJ$61,MATCH(Both_Shift_Roster!AK$2,Morning_Shift!$B$2:$BJ$2,0),0),""))</f>
        <v>7:00-14:30</v>
      </c>
      <c r="AL57" s="2">
        <f t="shared" si="25"/>
        <v>1</v>
      </c>
      <c r="AM57" s="2">
        <f t="shared" si="26"/>
        <v>0</v>
      </c>
      <c r="AN57" s="2">
        <f t="shared" si="27"/>
        <v>1</v>
      </c>
      <c r="AO57" s="2">
        <f t="shared" si="28"/>
        <v>0</v>
      </c>
      <c r="AP57" s="2">
        <f t="shared" si="29"/>
        <v>0</v>
      </c>
      <c r="AQ57" s="2" t="str">
        <f>IF(IFERROR(VLOOKUP($B57,Morning_Shift!$B$4:$BJ$61,MATCH(Both_Shift_Roster!AQ$2,Morning_Shift!$B$2:$BJ$2,0),0),"")="",IFERROR(VLOOKUP($B57,Evening_Shift!$B$4:$BJ$62,MATCH(Both_Shift_Roster!AQ$2,Evening_Shift!$B$2:$BJ$2,0),0),""),IFERROR(VLOOKUP($B57,Morning_Shift!$B$4:$BJ$61,MATCH(Both_Shift_Roster!AQ$2,Morning_Shift!$B$2:$BJ$2,0),0),""))</f>
        <v>7:00-14:30</v>
      </c>
      <c r="AR57" s="2" t="str">
        <f>IF(IFERROR(VLOOKUP($B57,Morning_Shift!$B$4:$BJ$61,MATCH(Both_Shift_Roster!AR$2,Morning_Shift!$B$2:$BJ$2,0),0),"")="",IFERROR(VLOOKUP($B57,Evening_Shift!$B$4:$BJ$62,MATCH(Both_Shift_Roster!AR$2,Evening_Shift!$B$2:$BJ$2,0),0),""),IFERROR(VLOOKUP($B57,Morning_Shift!$B$4:$BJ$61,MATCH(Both_Shift_Roster!AR$2,Morning_Shift!$B$2:$BJ$2,0),0),""))</f>
        <v>7:00-14:30</v>
      </c>
      <c r="AS57" s="2" t="str">
        <f>IF(IFERROR(VLOOKUP($B57,Morning_Shift!$B$4:$BJ$61,MATCH(Both_Shift_Roster!AS$2,Morning_Shift!$B$2:$BJ$2,0),0),"")="",IFERROR(VLOOKUP($B57,Evening_Shift!$B$4:$BJ$62,MATCH(Both_Shift_Roster!AS$2,Evening_Shift!$B$2:$BJ$2,0),0),""),IFERROR(VLOOKUP($B57,Morning_Shift!$B$4:$BJ$61,MATCH(Both_Shift_Roster!AS$2,Morning_Shift!$B$2:$BJ$2,0),0),""))</f>
        <v>7:00-14:30</v>
      </c>
      <c r="AT57" s="2" t="str">
        <f>IF(IFERROR(VLOOKUP($B57,Morning_Shift!$B$4:$BJ$61,MATCH(Both_Shift_Roster!AT$2,Morning_Shift!$B$2:$BJ$2,0),0),"")="",IFERROR(VLOOKUP($B57,Evening_Shift!$B$4:$BJ$62,MATCH(Both_Shift_Roster!AT$2,Evening_Shift!$B$2:$BJ$2,0),0),""),IFERROR(VLOOKUP($B57,Morning_Shift!$B$4:$BJ$61,MATCH(Both_Shift_Roster!AT$2,Morning_Shift!$B$2:$BJ$2,0),0),""))</f>
        <v>7:00-14:30</v>
      </c>
      <c r="AU57" s="2" t="str">
        <f>IF(IFERROR(VLOOKUP($B57,Morning_Shift!$B$4:$BJ$61,MATCH(Both_Shift_Roster!AU$2,Morning_Shift!$B$2:$BJ$2,0),0),"")="",IFERROR(VLOOKUP($B57,Evening_Shift!$B$4:$BJ$62,MATCH(Both_Shift_Roster!AU$2,Evening_Shift!$B$2:$BJ$2,0),0),""),IFERROR(VLOOKUP($B57,Morning_Shift!$B$4:$BJ$61,MATCH(Both_Shift_Roster!AU$2,Morning_Shift!$B$2:$BJ$2,0),0),""))</f>
        <v>7:00-14:30</v>
      </c>
      <c r="AV57" s="2" t="str">
        <f>IF(IFERROR(VLOOKUP($B57,Morning_Shift!$B$4:$BJ$61,MATCH(Both_Shift_Roster!AV$2,Morning_Shift!$B$2:$BJ$2,0),0),"")="",IFERROR(VLOOKUP($B57,Evening_Shift!$B$4:$BJ$62,MATCH(Both_Shift_Roster!AV$2,Evening_Shift!$B$2:$BJ$2,0),0),""),IFERROR(VLOOKUP($B57,Morning_Shift!$B$4:$BJ$61,MATCH(Both_Shift_Roster!AV$2,Morning_Shift!$B$2:$BJ$2,0),0),""))</f>
        <v>7:00-14:30</v>
      </c>
      <c r="AW57" s="2" t="str">
        <f>IF(IFERROR(VLOOKUP($B57,Morning_Shift!$B$4:$BJ$61,MATCH(Both_Shift_Roster!AW$2,Morning_Shift!$B$2:$BJ$2,0),0),"")="",IFERROR(VLOOKUP($B57,Evening_Shift!$B$4:$BJ$62,MATCH(Both_Shift_Roster!AW$2,Evening_Shift!$B$2:$BJ$2,0),0),""),IFERROR(VLOOKUP($B57,Morning_Shift!$B$4:$BJ$61,MATCH(Both_Shift_Roster!AW$2,Morning_Shift!$B$2:$BJ$2,0),0),""))</f>
        <v>7:00-14:30</v>
      </c>
      <c r="AX57" s="2">
        <f t="shared" si="30"/>
        <v>0</v>
      </c>
      <c r="AY57" s="2">
        <f t="shared" si="31"/>
        <v>0</v>
      </c>
      <c r="AZ57" s="2">
        <f t="shared" si="32"/>
        <v>0</v>
      </c>
      <c r="BA57" s="2">
        <f t="shared" si="33"/>
        <v>0</v>
      </c>
      <c r="BB57" s="2">
        <f t="shared" si="34"/>
        <v>0</v>
      </c>
      <c r="BC57" s="2" t="str">
        <f>IF(IFERROR(VLOOKUP($B57,Morning_Shift!$B$4:$BJ$61,MATCH(Both_Shift_Roster!BC$2,Morning_Shift!$B$2:$BJ$2,0),0),"")="",IFERROR(VLOOKUP($B57,Evening_Shift!$B$4:$BJ$62,MATCH(Both_Shift_Roster!BC$2,Evening_Shift!$B$2:$BJ$2,0),0),""),IFERROR(VLOOKUP($B57,Morning_Shift!$B$4:$BJ$61,MATCH(Both_Shift_Roster!BC$2,Morning_Shift!$B$2:$BJ$2,0),0),""))</f>
        <v>7:00-14:30</v>
      </c>
      <c r="BD57" s="2" t="str">
        <f>IF(IFERROR(VLOOKUP($B57,Morning_Shift!$B$4:$BJ$61,MATCH(Both_Shift_Roster!BD$2,Morning_Shift!$B$2:$BJ$2,0),0),"")="",IFERROR(VLOOKUP($B57,Evening_Shift!$B$4:$BJ$62,MATCH(Both_Shift_Roster!BD$2,Evening_Shift!$B$2:$BJ$2,0),0),""),IFERROR(VLOOKUP($B57,Morning_Shift!$B$4:$BJ$61,MATCH(Both_Shift_Roster!BD$2,Morning_Shift!$B$2:$BJ$2,0),0),""))</f>
        <v>7:00-14:30</v>
      </c>
      <c r="BE57" s="2" t="str">
        <f>IF(IFERROR(VLOOKUP($B57,Morning_Shift!$B$4:$BJ$61,MATCH(Both_Shift_Roster!BE$2,Morning_Shift!$B$2:$BJ$2,0),0),"")="",IFERROR(VLOOKUP($B57,Evening_Shift!$B$4:$BJ$59,MATCH(Both_Shift_Roster!BE$2,Evening_Shift!$B$2:$BJ$2,0),0),""),IFERROR(VLOOKUP($B57,Morning_Shift!$B$4:$BJ$61,MATCH(Both_Shift_Roster!BE$2,Morning_Shift!$B$2:$BJ$2,0),0),""))</f>
        <v>7:00-14:30</v>
      </c>
      <c r="BF57" s="2">
        <f t="shared" si="35"/>
        <v>0</v>
      </c>
      <c r="BG57" s="2">
        <f t="shared" si="36"/>
        <v>0</v>
      </c>
      <c r="BH57" s="2">
        <f t="shared" si="37"/>
        <v>0</v>
      </c>
      <c r="BI57" s="2">
        <f t="shared" si="38"/>
        <v>0</v>
      </c>
      <c r="BJ57" s="2">
        <f t="shared" si="39"/>
        <v>0</v>
      </c>
    </row>
    <row r="58" spans="1:62">
      <c r="A58" s="17">
        <f t="shared" si="40"/>
        <v>55</v>
      </c>
      <c r="B58" s="16" t="str">
        <f>Morning_Shift!$B58</f>
        <v>Dritm30</v>
      </c>
      <c r="C58" s="21" t="str">
        <f>IF(IFERROR(VLOOKUP(B58,Morning_Shift!B:C,2,0),"")="",IFERROR(VLOOKUP(B58,Evening_Shift!B:C,2,0),""),IFERROR(VLOOKUP(B58,Morning_Shift!B:C,2,0),""))</f>
        <v>Uma</v>
      </c>
      <c r="D58" s="15" t="str">
        <f>IF(IFERROR(VLOOKUP(B58,Morning_Shift!B:D,3,0),"")="",IFERROR(VLOOKUP(B58,Evening_Shift!B:D,3,0),""),IFERROR(VLOOKUP(B58,Morning_Shift!B:D,3,0),""))</f>
        <v>Naina</v>
      </c>
      <c r="E58" s="4" t="str">
        <f>IF(IFERROR(VLOOKUP(B58,Morning_Shift!B:E,4,0),"")="",IFERROR(VLOOKUP(B58,Evening_Shift!B:E,4,0),""),IFERROR(VLOOKUP(B58,Morning_Shift!B:E,4,0),""))</f>
        <v>F</v>
      </c>
      <c r="F58" s="5" t="str">
        <f>IF(IFERROR(VLOOKUP(B58,Morning_Shift!B:F,5,0),"")="",IFERROR(VLOOKUP(B58,Evening_Shift!B:F,5,0),""),IFERROR(VLOOKUP(B58,Morning_Shift!B:F,5,0),""))</f>
        <v>Himseva manual preview</v>
      </c>
      <c r="G58" s="2" t="str">
        <f>IF(IFERROR(VLOOKUP($B58,Morning_Shift!$B$4:$BJ$61,MATCH(Both_Shift_Roster!G$2,Morning_Shift!$B$2:$BJ$2,0),0),"")="",IFERROR(VLOOKUP($B58,Evening_Shift!$B$4:$BJ$62,MATCH(Both_Shift_Roster!G$2,Evening_Shift!$B$2:$BJ$2,0),0),""),IFERROR(VLOOKUP($B58,Morning_Shift!$B$4:$BJ$61,MATCH(Both_Shift_Roster!G$2,Morning_Shift!$B$2:$BJ$2,0),0),""))</f>
        <v>7:00-14:30</v>
      </c>
      <c r="H58" s="2" t="str">
        <f>IF(IFERROR(VLOOKUP($B58,Morning_Shift!$B$4:$BJ$61,MATCH(Both_Shift_Roster!H$2,Morning_Shift!$B$2:$BJ$2,0),0),"")="",IFERROR(VLOOKUP($B58,Evening_Shift!$B$4:$BJ$62,MATCH(Both_Shift_Roster!H$2,Evening_Shift!$B$2:$BJ$2,0),0),""),IFERROR(VLOOKUP($B58,Morning_Shift!$B$4:$BJ$61,MATCH(Both_Shift_Roster!H$2,Morning_Shift!$B$2:$BJ$2,0),0),""))</f>
        <v>7:00-14:30</v>
      </c>
      <c r="I58" s="2" t="str">
        <f>IF(IFERROR(VLOOKUP($B58,Morning_Shift!$B$4:$BJ$61,MATCH(Both_Shift_Roster!I$2,Morning_Shift!$B$2:$BJ$2,0),0),"")="",IFERROR(VLOOKUP($B58,Evening_Shift!$B$4:$BJ$62,MATCH(Both_Shift_Roster!I$2,Evening_Shift!$B$2:$BJ$2,0),0),""),IFERROR(VLOOKUP($B58,Morning_Shift!$B$4:$BJ$61,MATCH(Both_Shift_Roster!I$2,Morning_Shift!$B$2:$BJ$2,0),0),""))</f>
        <v>Agent Choice WO</v>
      </c>
      <c r="J58" s="2" t="str">
        <f>IF(IFERROR(VLOOKUP($B58,Morning_Shift!$B$4:$BJ$61,MATCH(Both_Shift_Roster!J$2,Morning_Shift!$B$2:$BJ$2,0),0),"")="",IFERROR(VLOOKUP($B58,Evening_Shift!$B$4:$BJ$62,MATCH(Both_Shift_Roster!J$2,Evening_Shift!$B$2:$BJ$2,0),0),""),IFERROR(VLOOKUP($B58,Morning_Shift!$B$4:$BJ$61,MATCH(Both_Shift_Roster!J$2,Morning_Shift!$B$2:$BJ$2,0),0),""))</f>
        <v>Agent Choice WO</v>
      </c>
      <c r="K58" s="2" t="str">
        <f>IF(IFERROR(VLOOKUP($B58,Morning_Shift!$B$4:$BJ$61,MATCH(Both_Shift_Roster!K$2,Morning_Shift!$B$2:$BJ$2,0),0),"")="",IFERROR(VLOOKUP($B58,Evening_Shift!$B$4:$BJ$62,MATCH(Both_Shift_Roster!K$2,Evening_Shift!$B$2:$BJ$2,0),0),""),IFERROR(VLOOKUP($B58,Morning_Shift!$B$4:$BJ$61,MATCH(Both_Shift_Roster!K$2,Morning_Shift!$B$2:$BJ$2,0),0),""))</f>
        <v>Agent Choice WO</v>
      </c>
      <c r="L58" s="2" t="str">
        <f>IF(IFERROR(VLOOKUP($B58,Morning_Shift!$B$4:$BJ$61,MATCH(Both_Shift_Roster!L$2,Morning_Shift!$B$2:$BJ$2,0),0),"")="",IFERROR(VLOOKUP($B58,Evening_Shift!$B$4:$BJ$62,MATCH(Both_Shift_Roster!L$2,Evening_Shift!$B$2:$BJ$2,0),0),""),IFERROR(VLOOKUP($B58,Morning_Shift!$B$4:$BJ$61,MATCH(Both_Shift_Roster!L$2,Morning_Shift!$B$2:$BJ$2,0),0),""))</f>
        <v>7:00-14:30</v>
      </c>
      <c r="M58" s="2" t="str">
        <f>IF(IFERROR(VLOOKUP($B58,Morning_Shift!$B$4:$BJ$61,MATCH(Both_Shift_Roster!M$2,Morning_Shift!$B$2:$BJ$2,0),0),"")="",IFERROR(VLOOKUP($B58,Evening_Shift!$B$4:$BJ$62,MATCH(Both_Shift_Roster!M$2,Evening_Shift!$B$2:$BJ$2,0),0),""),IFERROR(VLOOKUP($B58,Morning_Shift!$B$4:$BJ$61,MATCH(Both_Shift_Roster!M$2,Morning_Shift!$B$2:$BJ$2,0),0),""))</f>
        <v>7:00-14:30</v>
      </c>
      <c r="N58" s="2">
        <f t="shared" si="15"/>
        <v>3</v>
      </c>
      <c r="O58" s="2">
        <f t="shared" si="16"/>
        <v>0</v>
      </c>
      <c r="P58" s="2">
        <f t="shared" si="17"/>
        <v>0</v>
      </c>
      <c r="Q58" s="2">
        <f t="shared" si="18"/>
        <v>0</v>
      </c>
      <c r="R58" s="2">
        <f t="shared" si="19"/>
        <v>0</v>
      </c>
      <c r="S58" s="2" t="str">
        <f>IF(IFERROR(VLOOKUP($B58,Morning_Shift!$B$4:$BJ$61,MATCH(Both_Shift_Roster!S$2,Morning_Shift!$B$2:$BJ$2,0),0),"")="",IFERROR(VLOOKUP($B58,Evening_Shift!$B$4:$BJ$62,MATCH(Both_Shift_Roster!S$2,Evening_Shift!$B$2:$BJ$2,0),0),""),IFERROR(VLOOKUP($B58,Morning_Shift!$B$4:$BJ$61,MATCH(Both_Shift_Roster!S$2,Morning_Shift!$B$2:$BJ$2,0),0),""))</f>
        <v>7:00-14:30</v>
      </c>
      <c r="T58" s="2" t="str">
        <f>IF(IFERROR(VLOOKUP($B58,Morning_Shift!$B$4:$BJ$61,MATCH(Both_Shift_Roster!T$2,Morning_Shift!$B$2:$BJ$2,0),0),"")="",IFERROR(VLOOKUP($B58,Evening_Shift!$B$4:$BJ$62,MATCH(Both_Shift_Roster!T$2,Evening_Shift!$B$2:$BJ$2,0),0),""),IFERROR(VLOOKUP($B58,Morning_Shift!$B$4:$BJ$61,MATCH(Both_Shift_Roster!T$2,Morning_Shift!$B$2:$BJ$2,0),0),""))</f>
        <v>7:00-14:30</v>
      </c>
      <c r="U58" s="2" t="str">
        <f>IF(IFERROR(VLOOKUP($B58,Morning_Shift!$B$4:$BJ$61,MATCH(Both_Shift_Roster!U$2,Morning_Shift!$B$2:$BJ$2,0),0),"")="",IFERROR(VLOOKUP($B58,Evening_Shift!$B$4:$BJ$62,MATCH(Both_Shift_Roster!U$2,Evening_Shift!$B$2:$BJ$2,0),0),""),IFERROR(VLOOKUP($B58,Morning_Shift!$B$4:$BJ$61,MATCH(Both_Shift_Roster!U$2,Morning_Shift!$B$2:$BJ$2,0),0),""))</f>
        <v>7:00-14:30</v>
      </c>
      <c r="V58" s="2" t="str">
        <f>IF(IFERROR(VLOOKUP($B58,Morning_Shift!$B$4:$BJ$61,MATCH(Both_Shift_Roster!V$2,Morning_Shift!$B$2:$BJ$2,0),0),"")="",IFERROR(VLOOKUP($B58,Evening_Shift!$B$4:$BJ$62,MATCH(Both_Shift_Roster!V$2,Evening_Shift!$B$2:$BJ$2,0),0),""),IFERROR(VLOOKUP($B58,Morning_Shift!$B$4:$BJ$61,MATCH(Both_Shift_Roster!V$2,Morning_Shift!$B$2:$BJ$2,0),0),""))</f>
        <v>7:00-14:30</v>
      </c>
      <c r="W58" s="2" t="str">
        <f>IF(IFERROR(VLOOKUP($B58,Morning_Shift!$B$4:$BJ$61,MATCH(Both_Shift_Roster!W$2,Morning_Shift!$B$2:$BJ$2,0),0),"")="",IFERROR(VLOOKUP($B58,Evening_Shift!$B$4:$BJ$62,MATCH(Both_Shift_Roster!W$2,Evening_Shift!$B$2:$BJ$2,0),0),""),IFERROR(VLOOKUP($B58,Morning_Shift!$B$4:$BJ$61,MATCH(Both_Shift_Roster!W$2,Morning_Shift!$B$2:$BJ$2,0),0),""))</f>
        <v>7:00-14:30</v>
      </c>
      <c r="X58" s="2" t="str">
        <f>IF(IFERROR(VLOOKUP($B58,Morning_Shift!$B$4:$BJ$61,MATCH(Both_Shift_Roster!X$2,Morning_Shift!$B$2:$BJ$2,0),0),"")="",IFERROR(VLOOKUP($B58,Evening_Shift!$B$4:$BJ$62,MATCH(Both_Shift_Roster!X$2,Evening_Shift!$B$2:$BJ$2,0),0),""),IFERROR(VLOOKUP($B58,Morning_Shift!$B$4:$BJ$61,MATCH(Both_Shift_Roster!X$2,Morning_Shift!$B$2:$BJ$2,0),0),""))</f>
        <v>7:00-14:30</v>
      </c>
      <c r="Y58" s="2" t="str">
        <f>IF(IFERROR(VLOOKUP($B58,Morning_Shift!$B$4:$BJ$61,MATCH(Both_Shift_Roster!Y$2,Morning_Shift!$B$2:$BJ$2,0),0),"")="",IFERROR(VLOOKUP($B58,Evening_Shift!$B$4:$BJ$62,MATCH(Both_Shift_Roster!Y$2,Evening_Shift!$B$2:$BJ$2,0),0),""),IFERROR(VLOOKUP($B58,Morning_Shift!$B$4:$BJ$61,MATCH(Both_Shift_Roster!Y$2,Morning_Shift!$B$2:$BJ$2,0),0),""))</f>
        <v>7:00-14:30</v>
      </c>
      <c r="Z58" s="2">
        <f t="shared" si="20"/>
        <v>0</v>
      </c>
      <c r="AA58" s="2">
        <f t="shared" si="21"/>
        <v>0</v>
      </c>
      <c r="AB58" s="2">
        <f t="shared" si="22"/>
        <v>0</v>
      </c>
      <c r="AC58" s="2">
        <f t="shared" si="23"/>
        <v>0</v>
      </c>
      <c r="AD58" s="2">
        <f t="shared" si="24"/>
        <v>0</v>
      </c>
      <c r="AE58" s="2" t="str">
        <f>IF(IFERROR(VLOOKUP($B58,Morning_Shift!$B$4:$BJ$61,MATCH(Both_Shift_Roster!AE$2,Morning_Shift!$B$2:$BJ$2,0),0),"")="",IFERROR(VLOOKUP($B58,Evening_Shift!$B$4:$BJ$62,MATCH(Both_Shift_Roster!AE$2,Evening_Shift!$B$2:$BJ$2,0),0),""),IFERROR(VLOOKUP($B58,Morning_Shift!$B$4:$BJ$61,MATCH(Both_Shift_Roster!AE$2,Morning_Shift!$B$2:$BJ$2,0),0),""))</f>
        <v>7:00-14:30</v>
      </c>
      <c r="AF58" s="2" t="str">
        <f>IF(IFERROR(VLOOKUP($B58,Morning_Shift!$B$4:$BJ$61,MATCH(Both_Shift_Roster!AF$2,Morning_Shift!$B$2:$BJ$2,0),0),"")="",IFERROR(VLOOKUP($B58,Evening_Shift!$B$4:$BJ$62,MATCH(Both_Shift_Roster!AF$2,Evening_Shift!$B$2:$BJ$2,0),0),""),IFERROR(VLOOKUP($B58,Morning_Shift!$B$4:$BJ$61,MATCH(Both_Shift_Roster!AF$2,Morning_Shift!$B$2:$BJ$2,0),0),""))</f>
        <v>7:00-14:30</v>
      </c>
      <c r="AG58" s="2" t="str">
        <f>IF(IFERROR(VLOOKUP($B58,Morning_Shift!$B$4:$BJ$61,MATCH(Both_Shift_Roster!AG$2,Morning_Shift!$B$2:$BJ$2,0),0),"")="",IFERROR(VLOOKUP($B58,Evening_Shift!$B$4:$BJ$62,MATCH(Both_Shift_Roster!AG$2,Evening_Shift!$B$2:$BJ$2,0),0),""),IFERROR(VLOOKUP($B58,Morning_Shift!$B$4:$BJ$61,MATCH(Both_Shift_Roster!AG$2,Morning_Shift!$B$2:$BJ$2,0),0),""))</f>
        <v>7:00-14:30</v>
      </c>
      <c r="AH58" s="2" t="str">
        <f>IF(IFERROR(VLOOKUP($B58,Morning_Shift!$B$4:$BJ$61,MATCH(Both_Shift_Roster!AH$2,Morning_Shift!$B$2:$BJ$2,0),0),"")="",IFERROR(VLOOKUP($B58,Evening_Shift!$B$4:$BJ$62,MATCH(Both_Shift_Roster!AH$2,Evening_Shift!$B$2:$BJ$2,0),0),""),IFERROR(VLOOKUP($B58,Morning_Shift!$B$4:$BJ$61,MATCH(Both_Shift_Roster!AH$2,Morning_Shift!$B$2:$BJ$2,0),0),""))</f>
        <v>7:00-14:30</v>
      </c>
      <c r="AI58" s="2" t="str">
        <f>IF(IFERROR(VLOOKUP($B58,Morning_Shift!$B$4:$BJ$61,MATCH(Both_Shift_Roster!AI$2,Morning_Shift!$B$2:$BJ$2,0),0),"")="",IFERROR(VLOOKUP($B58,Evening_Shift!$B$4:$BJ$62,MATCH(Both_Shift_Roster!AI$2,Evening_Shift!$B$2:$BJ$2,0),0),""),IFERROR(VLOOKUP($B58,Morning_Shift!$B$4:$BJ$61,MATCH(Both_Shift_Roster!AI$2,Morning_Shift!$B$2:$BJ$2,0),0),""))</f>
        <v>7:00-14:30</v>
      </c>
      <c r="AJ58" s="2" t="str">
        <f>IF(IFERROR(VLOOKUP($B58,Morning_Shift!$B$4:$BJ$61,MATCH(Both_Shift_Roster!AJ$2,Morning_Shift!$B$2:$BJ$2,0),0),"")="",IFERROR(VLOOKUP($B58,Evening_Shift!$B$4:$BJ$62,MATCH(Both_Shift_Roster!AJ$2,Evening_Shift!$B$2:$BJ$2,0),0),""),IFERROR(VLOOKUP($B58,Morning_Shift!$B$4:$BJ$61,MATCH(Both_Shift_Roster!AJ$2,Morning_Shift!$B$2:$BJ$2,0),0),""))</f>
        <v>Agent Choice WO</v>
      </c>
      <c r="AK58" s="2" t="str">
        <f>IF(IFERROR(VLOOKUP($B58,Morning_Shift!$B$4:$BJ$61,MATCH(Both_Shift_Roster!AK$2,Morning_Shift!$B$2:$BJ$2,0),0),"")="",IFERROR(VLOOKUP($B58,Evening_Shift!$B$4:$BJ$62,MATCH(Both_Shift_Roster!AK$2,Evening_Shift!$B$2:$BJ$2,0),0),""),IFERROR(VLOOKUP($B58,Morning_Shift!$B$4:$BJ$61,MATCH(Both_Shift_Roster!AK$2,Morning_Shift!$B$2:$BJ$2,0),0),""))</f>
        <v>7:00-14:30</v>
      </c>
      <c r="AL58" s="2">
        <f t="shared" si="25"/>
        <v>1</v>
      </c>
      <c r="AM58" s="2">
        <f t="shared" si="26"/>
        <v>0</v>
      </c>
      <c r="AN58" s="2">
        <f t="shared" si="27"/>
        <v>0</v>
      </c>
      <c r="AO58" s="2">
        <f t="shared" si="28"/>
        <v>0</v>
      </c>
      <c r="AP58" s="2">
        <f t="shared" si="29"/>
        <v>0</v>
      </c>
      <c r="AQ58" s="2" t="str">
        <f>IF(IFERROR(VLOOKUP($B58,Morning_Shift!$B$4:$BJ$61,MATCH(Both_Shift_Roster!AQ$2,Morning_Shift!$B$2:$BJ$2,0),0),"")="",IFERROR(VLOOKUP($B58,Evening_Shift!$B$4:$BJ$62,MATCH(Both_Shift_Roster!AQ$2,Evening_Shift!$B$2:$BJ$2,0),0),""),IFERROR(VLOOKUP($B58,Morning_Shift!$B$4:$BJ$61,MATCH(Both_Shift_Roster!AQ$2,Morning_Shift!$B$2:$BJ$2,0),0),""))</f>
        <v>7:00-14:30</v>
      </c>
      <c r="AR58" s="2" t="str">
        <f>IF(IFERROR(VLOOKUP($B58,Morning_Shift!$B$4:$BJ$61,MATCH(Both_Shift_Roster!AR$2,Morning_Shift!$B$2:$BJ$2,0),0),"")="",IFERROR(VLOOKUP($B58,Evening_Shift!$B$4:$BJ$62,MATCH(Both_Shift_Roster!AR$2,Evening_Shift!$B$2:$BJ$2,0),0),""),IFERROR(VLOOKUP($B58,Morning_Shift!$B$4:$BJ$61,MATCH(Both_Shift_Roster!AR$2,Morning_Shift!$B$2:$BJ$2,0),0),""))</f>
        <v>7:00-14:30</v>
      </c>
      <c r="AS58" s="2" t="str">
        <f>IF(IFERROR(VLOOKUP($B58,Morning_Shift!$B$4:$BJ$61,MATCH(Both_Shift_Roster!AS$2,Morning_Shift!$B$2:$BJ$2,0),0),"")="",IFERROR(VLOOKUP($B58,Evening_Shift!$B$4:$BJ$62,MATCH(Both_Shift_Roster!AS$2,Evening_Shift!$B$2:$BJ$2,0),0),""),IFERROR(VLOOKUP($B58,Morning_Shift!$B$4:$BJ$61,MATCH(Both_Shift_Roster!AS$2,Morning_Shift!$B$2:$BJ$2,0),0),""))</f>
        <v>7:00-14:30</v>
      </c>
      <c r="AT58" s="2" t="str">
        <f>IF(IFERROR(VLOOKUP($B58,Morning_Shift!$B$4:$BJ$61,MATCH(Both_Shift_Roster!AT$2,Morning_Shift!$B$2:$BJ$2,0),0),"")="",IFERROR(VLOOKUP($B58,Evening_Shift!$B$4:$BJ$62,MATCH(Both_Shift_Roster!AT$2,Evening_Shift!$B$2:$BJ$2,0),0),""),IFERROR(VLOOKUP($B58,Morning_Shift!$B$4:$BJ$61,MATCH(Both_Shift_Roster!AT$2,Morning_Shift!$B$2:$BJ$2,0),0),""))</f>
        <v>7:00-14:30</v>
      </c>
      <c r="AU58" s="2" t="str">
        <f>IF(IFERROR(VLOOKUP($B58,Morning_Shift!$B$4:$BJ$61,MATCH(Both_Shift_Roster!AU$2,Morning_Shift!$B$2:$BJ$2,0),0),"")="",IFERROR(VLOOKUP($B58,Evening_Shift!$B$4:$BJ$62,MATCH(Both_Shift_Roster!AU$2,Evening_Shift!$B$2:$BJ$2,0),0),""),IFERROR(VLOOKUP($B58,Morning_Shift!$B$4:$BJ$61,MATCH(Both_Shift_Roster!AU$2,Morning_Shift!$B$2:$BJ$2,0),0),""))</f>
        <v>7:00-14:30</v>
      </c>
      <c r="AV58" s="2" t="str">
        <f>IF(IFERROR(VLOOKUP($B58,Morning_Shift!$B$4:$BJ$61,MATCH(Both_Shift_Roster!AV$2,Morning_Shift!$B$2:$BJ$2,0),0),"")="",IFERROR(VLOOKUP($B58,Evening_Shift!$B$4:$BJ$62,MATCH(Both_Shift_Roster!AV$2,Evening_Shift!$B$2:$BJ$2,0),0),""),IFERROR(VLOOKUP($B58,Morning_Shift!$B$4:$BJ$61,MATCH(Both_Shift_Roster!AV$2,Morning_Shift!$B$2:$BJ$2,0),0),""))</f>
        <v>7:00-14:30</v>
      </c>
      <c r="AW58" s="2" t="str">
        <f>IF(IFERROR(VLOOKUP($B58,Morning_Shift!$B$4:$BJ$61,MATCH(Both_Shift_Roster!AW$2,Morning_Shift!$B$2:$BJ$2,0),0),"")="",IFERROR(VLOOKUP($B58,Evening_Shift!$B$4:$BJ$62,MATCH(Both_Shift_Roster!AW$2,Evening_Shift!$B$2:$BJ$2,0),0),""),IFERROR(VLOOKUP($B58,Morning_Shift!$B$4:$BJ$61,MATCH(Both_Shift_Roster!AW$2,Morning_Shift!$B$2:$BJ$2,0),0),""))</f>
        <v>7:00-14:30</v>
      </c>
      <c r="AX58" s="2">
        <f t="shared" si="30"/>
        <v>0</v>
      </c>
      <c r="AY58" s="2">
        <f t="shared" si="31"/>
        <v>0</v>
      </c>
      <c r="AZ58" s="2">
        <f t="shared" si="32"/>
        <v>0</v>
      </c>
      <c r="BA58" s="2">
        <f t="shared" si="33"/>
        <v>0</v>
      </c>
      <c r="BB58" s="2">
        <f t="shared" si="34"/>
        <v>0</v>
      </c>
      <c r="BC58" s="2" t="str">
        <f>IF(IFERROR(VLOOKUP($B58,Morning_Shift!$B$4:$BJ$61,MATCH(Both_Shift_Roster!BC$2,Morning_Shift!$B$2:$BJ$2,0),0),"")="",IFERROR(VLOOKUP($B58,Evening_Shift!$B$4:$BJ$62,MATCH(Both_Shift_Roster!BC$2,Evening_Shift!$B$2:$BJ$2,0),0),""),IFERROR(VLOOKUP($B58,Morning_Shift!$B$4:$BJ$61,MATCH(Both_Shift_Roster!BC$2,Morning_Shift!$B$2:$BJ$2,0),0),""))</f>
        <v>Agent Choice WO</v>
      </c>
      <c r="BD58" s="2" t="str">
        <f>IF(IFERROR(VLOOKUP($B58,Morning_Shift!$B$4:$BJ$61,MATCH(Both_Shift_Roster!BD$2,Morning_Shift!$B$2:$BJ$2,0),0),"")="",IFERROR(VLOOKUP($B58,Evening_Shift!$B$4:$BJ$62,MATCH(Both_Shift_Roster!BD$2,Evening_Shift!$B$2:$BJ$2,0),0),""),IFERROR(VLOOKUP($B58,Morning_Shift!$B$4:$BJ$61,MATCH(Both_Shift_Roster!BD$2,Morning_Shift!$B$2:$BJ$2,0),0),""))</f>
        <v>7:00-14:30</v>
      </c>
      <c r="BE58" s="2" t="str">
        <f>IF(IFERROR(VLOOKUP($B58,Morning_Shift!$B$4:$BJ$61,MATCH(Both_Shift_Roster!BE$2,Morning_Shift!$B$2:$BJ$2,0),0),"")="",IFERROR(VLOOKUP($B58,Evening_Shift!$B$4:$BJ$59,MATCH(Both_Shift_Roster!BE$2,Evening_Shift!$B$2:$BJ$2,0),0),""),IFERROR(VLOOKUP($B58,Morning_Shift!$B$4:$BJ$61,MATCH(Both_Shift_Roster!BE$2,Morning_Shift!$B$2:$BJ$2,0),0),""))</f>
        <v>7:00-14:30</v>
      </c>
      <c r="BF58" s="2">
        <f t="shared" si="35"/>
        <v>1</v>
      </c>
      <c r="BG58" s="2">
        <f t="shared" si="36"/>
        <v>0</v>
      </c>
      <c r="BH58" s="2">
        <f t="shared" si="37"/>
        <v>0</v>
      </c>
      <c r="BI58" s="2">
        <f t="shared" si="38"/>
        <v>0</v>
      </c>
      <c r="BJ58" s="2">
        <f t="shared" si="39"/>
        <v>0</v>
      </c>
    </row>
    <row r="59" spans="1:62">
      <c r="A59" s="17">
        <f t="shared" si="40"/>
        <v>56</v>
      </c>
      <c r="B59" s="16" t="str">
        <f>Morning_Shift!$B59</f>
        <v xml:space="preserve"> Dritm168</v>
      </c>
      <c r="C59" s="21" t="str">
        <f>IF(IFERROR(VLOOKUP(B59,Morning_Shift!B:C,2,0),"")="",IFERROR(VLOOKUP(B59,Evening_Shift!B:C,2,0),""),IFERROR(VLOOKUP(B59,Morning_Shift!B:C,2,0),""))</f>
        <v>Anjali Rawat</v>
      </c>
      <c r="D59" s="15" t="str">
        <f>IF(IFERROR(VLOOKUP(B59,Morning_Shift!B:D,3,0),"")="",IFERROR(VLOOKUP(B59,Evening_Shift!B:D,3,0),""),IFERROR(VLOOKUP(B59,Morning_Shift!B:D,3,0),""))</f>
        <v>Naina</v>
      </c>
      <c r="E59" s="4" t="str">
        <f>IF(IFERROR(VLOOKUP(B59,Morning_Shift!B:E,4,0),"")="",IFERROR(VLOOKUP(B59,Evening_Shift!B:E,4,0),""),IFERROR(VLOOKUP(B59,Morning_Shift!B:E,4,0),""))</f>
        <v>F</v>
      </c>
      <c r="F59" s="5" t="str">
        <f>IF(IFERROR(VLOOKUP(B59,Morning_Shift!B:F,5,0),"")="",IFERROR(VLOOKUP(B59,Evening_Shift!B:F,5,0),""),IFERROR(VLOOKUP(B59,Morning_Shift!B:F,5,0),""))</f>
        <v>Inbound</v>
      </c>
      <c r="G59" s="2" t="str">
        <f>IF(IFERROR(VLOOKUP($B59,Morning_Shift!$B$4:$BJ$61,MATCH(Both_Shift_Roster!G$2,Morning_Shift!$B$2:$BJ$2,0),0),"")="",IFERROR(VLOOKUP($B59,Evening_Shift!$B$4:$BJ$62,MATCH(Both_Shift_Roster!G$2,Evening_Shift!$B$2:$BJ$2,0),0),""),IFERROR(VLOOKUP($B59,Morning_Shift!$B$4:$BJ$61,MATCH(Both_Shift_Roster!G$2,Morning_Shift!$B$2:$BJ$2,0),0),""))</f>
        <v>7:00-14:30</v>
      </c>
      <c r="H59" s="2" t="str">
        <f>IF(IFERROR(VLOOKUP($B59,Morning_Shift!$B$4:$BJ$61,MATCH(Both_Shift_Roster!H$2,Morning_Shift!$B$2:$BJ$2,0),0),"")="",IFERROR(VLOOKUP($B59,Evening_Shift!$B$4:$BJ$62,MATCH(Both_Shift_Roster!H$2,Evening_Shift!$B$2:$BJ$2,0),0),""),IFERROR(VLOOKUP($B59,Morning_Shift!$B$4:$BJ$61,MATCH(Both_Shift_Roster!H$2,Morning_Shift!$B$2:$BJ$2,0),0),""))</f>
        <v>Agent Choice WO</v>
      </c>
      <c r="I59" s="2" t="str">
        <f>IF(IFERROR(VLOOKUP($B59,Morning_Shift!$B$4:$BJ$61,MATCH(Both_Shift_Roster!I$2,Morning_Shift!$B$2:$BJ$2,0),0),"")="",IFERROR(VLOOKUP($B59,Evening_Shift!$B$4:$BJ$62,MATCH(Both_Shift_Roster!I$2,Evening_Shift!$B$2:$BJ$2,0),0),""),IFERROR(VLOOKUP($B59,Morning_Shift!$B$4:$BJ$61,MATCH(Both_Shift_Roster!I$2,Morning_Shift!$B$2:$BJ$2,0),0),""))</f>
        <v>7:00-14:30</v>
      </c>
      <c r="J59" s="2" t="str">
        <f>IF(IFERROR(VLOOKUP($B59,Morning_Shift!$B$4:$BJ$61,MATCH(Both_Shift_Roster!J$2,Morning_Shift!$B$2:$BJ$2,0),0),"")="",IFERROR(VLOOKUP($B59,Evening_Shift!$B$4:$BJ$62,MATCH(Both_Shift_Roster!J$2,Evening_Shift!$B$2:$BJ$2,0),0),""),IFERROR(VLOOKUP($B59,Morning_Shift!$B$4:$BJ$61,MATCH(Both_Shift_Roster!J$2,Morning_Shift!$B$2:$BJ$2,0),0),""))</f>
        <v>7:00-14:30</v>
      </c>
      <c r="K59" s="2" t="str">
        <f>IF(IFERROR(VLOOKUP($B59,Morning_Shift!$B$4:$BJ$61,MATCH(Both_Shift_Roster!K$2,Morning_Shift!$B$2:$BJ$2,0),0),"")="",IFERROR(VLOOKUP($B59,Evening_Shift!$B$4:$BJ$62,MATCH(Both_Shift_Roster!K$2,Evening_Shift!$B$2:$BJ$2,0),0),""),IFERROR(VLOOKUP($B59,Morning_Shift!$B$4:$BJ$61,MATCH(Both_Shift_Roster!K$2,Morning_Shift!$B$2:$BJ$2,0),0),""))</f>
        <v>7:00-14:30</v>
      </c>
      <c r="L59" s="2" t="str">
        <f>IF(IFERROR(VLOOKUP($B59,Morning_Shift!$B$4:$BJ$61,MATCH(Both_Shift_Roster!L$2,Morning_Shift!$B$2:$BJ$2,0),0),"")="",IFERROR(VLOOKUP($B59,Evening_Shift!$B$4:$BJ$62,MATCH(Both_Shift_Roster!L$2,Evening_Shift!$B$2:$BJ$2,0),0),""),IFERROR(VLOOKUP($B59,Morning_Shift!$B$4:$BJ$61,MATCH(Both_Shift_Roster!L$2,Morning_Shift!$B$2:$BJ$2,0),0),""))</f>
        <v>7:00-14:30</v>
      </c>
      <c r="M59" s="2" t="str">
        <f>IF(IFERROR(VLOOKUP($B59,Morning_Shift!$B$4:$BJ$61,MATCH(Both_Shift_Roster!M$2,Morning_Shift!$B$2:$BJ$2,0),0),"")="",IFERROR(VLOOKUP($B59,Evening_Shift!$B$4:$BJ$62,MATCH(Both_Shift_Roster!M$2,Evening_Shift!$B$2:$BJ$2,0),0),""),IFERROR(VLOOKUP($B59,Morning_Shift!$B$4:$BJ$61,MATCH(Both_Shift_Roster!M$2,Morning_Shift!$B$2:$BJ$2,0),0),""))</f>
        <v>7:00-14:30</v>
      </c>
      <c r="N59" s="2">
        <f t="shared" si="15"/>
        <v>1</v>
      </c>
      <c r="O59" s="2">
        <f t="shared" si="16"/>
        <v>0</v>
      </c>
      <c r="P59" s="2">
        <f t="shared" si="17"/>
        <v>0</v>
      </c>
      <c r="Q59" s="2">
        <f t="shared" si="18"/>
        <v>0</v>
      </c>
      <c r="R59" s="2">
        <f t="shared" si="19"/>
        <v>0</v>
      </c>
      <c r="S59" s="2" t="str">
        <f>IF(IFERROR(VLOOKUP($B59,Morning_Shift!$B$4:$BJ$61,MATCH(Both_Shift_Roster!S$2,Morning_Shift!$B$2:$BJ$2,0),0),"")="",IFERROR(VLOOKUP($B59,Evening_Shift!$B$4:$BJ$62,MATCH(Both_Shift_Roster!S$2,Evening_Shift!$B$2:$BJ$2,0),0),""),IFERROR(VLOOKUP($B59,Morning_Shift!$B$4:$BJ$61,MATCH(Both_Shift_Roster!S$2,Morning_Shift!$B$2:$BJ$2,0),0),""))</f>
        <v>7:00-14:30</v>
      </c>
      <c r="T59" s="2" t="str">
        <f>IF(IFERROR(VLOOKUP($B59,Morning_Shift!$B$4:$BJ$61,MATCH(Both_Shift_Roster!T$2,Morning_Shift!$B$2:$BJ$2,0),0),"")="",IFERROR(VLOOKUP($B59,Evening_Shift!$B$4:$BJ$62,MATCH(Both_Shift_Roster!T$2,Evening_Shift!$B$2:$BJ$2,0),0),""),IFERROR(VLOOKUP($B59,Morning_Shift!$B$4:$BJ$61,MATCH(Both_Shift_Roster!T$2,Morning_Shift!$B$2:$BJ$2,0),0),""))</f>
        <v>7:00-14:30</v>
      </c>
      <c r="U59" s="2" t="str">
        <f>IF(IFERROR(VLOOKUP($B59,Morning_Shift!$B$4:$BJ$61,MATCH(Both_Shift_Roster!U$2,Morning_Shift!$B$2:$BJ$2,0),0),"")="",IFERROR(VLOOKUP($B59,Evening_Shift!$B$4:$BJ$62,MATCH(Both_Shift_Roster!U$2,Evening_Shift!$B$2:$BJ$2,0),0),""),IFERROR(VLOOKUP($B59,Morning_Shift!$B$4:$BJ$61,MATCH(Both_Shift_Roster!U$2,Morning_Shift!$B$2:$BJ$2,0),0),""))</f>
        <v>7:00-14:30</v>
      </c>
      <c r="V59" s="2" t="str">
        <f>IF(IFERROR(VLOOKUP($B59,Morning_Shift!$B$4:$BJ$61,MATCH(Both_Shift_Roster!V$2,Morning_Shift!$B$2:$BJ$2,0),0),"")="",IFERROR(VLOOKUP($B59,Evening_Shift!$B$4:$BJ$62,MATCH(Both_Shift_Roster!V$2,Evening_Shift!$B$2:$BJ$2,0),0),""),IFERROR(VLOOKUP($B59,Morning_Shift!$B$4:$BJ$61,MATCH(Both_Shift_Roster!V$2,Morning_Shift!$B$2:$BJ$2,0),0),""))</f>
        <v>Agent Choice WO</v>
      </c>
      <c r="W59" s="2" t="str">
        <f>IF(IFERROR(VLOOKUP($B59,Morning_Shift!$B$4:$BJ$61,MATCH(Both_Shift_Roster!W$2,Morning_Shift!$B$2:$BJ$2,0),0),"")="",IFERROR(VLOOKUP($B59,Evening_Shift!$B$4:$BJ$62,MATCH(Both_Shift_Roster!W$2,Evening_Shift!$B$2:$BJ$2,0),0),""),IFERROR(VLOOKUP($B59,Morning_Shift!$B$4:$BJ$61,MATCH(Both_Shift_Roster!W$2,Morning_Shift!$B$2:$BJ$2,0),0),""))</f>
        <v>7:00-14:30</v>
      </c>
      <c r="X59" s="2" t="str">
        <f>IF(IFERROR(VLOOKUP($B59,Morning_Shift!$B$4:$BJ$61,MATCH(Both_Shift_Roster!X$2,Morning_Shift!$B$2:$BJ$2,0),0),"")="",IFERROR(VLOOKUP($B59,Evening_Shift!$B$4:$BJ$62,MATCH(Both_Shift_Roster!X$2,Evening_Shift!$B$2:$BJ$2,0),0),""),IFERROR(VLOOKUP($B59,Morning_Shift!$B$4:$BJ$61,MATCH(Both_Shift_Roster!X$2,Morning_Shift!$B$2:$BJ$2,0),0),""))</f>
        <v>7:00-14:30</v>
      </c>
      <c r="Y59" s="2" t="str">
        <f>IF(IFERROR(VLOOKUP($B59,Morning_Shift!$B$4:$BJ$61,MATCH(Both_Shift_Roster!Y$2,Morning_Shift!$B$2:$BJ$2,0),0),"")="",IFERROR(VLOOKUP($B59,Evening_Shift!$B$4:$BJ$62,MATCH(Both_Shift_Roster!Y$2,Evening_Shift!$B$2:$BJ$2,0),0),""),IFERROR(VLOOKUP($B59,Morning_Shift!$B$4:$BJ$61,MATCH(Both_Shift_Roster!Y$2,Morning_Shift!$B$2:$BJ$2,0),0),""))</f>
        <v>7:00-14:30</v>
      </c>
      <c r="Z59" s="2">
        <f t="shared" si="20"/>
        <v>1</v>
      </c>
      <c r="AA59" s="2">
        <f t="shared" si="21"/>
        <v>0</v>
      </c>
      <c r="AB59" s="2">
        <f t="shared" si="22"/>
        <v>0</v>
      </c>
      <c r="AC59" s="2">
        <f t="shared" si="23"/>
        <v>0</v>
      </c>
      <c r="AD59" s="2">
        <f t="shared" si="24"/>
        <v>0</v>
      </c>
      <c r="AE59" s="2" t="str">
        <f>IF(IFERROR(VLOOKUP($B59,Morning_Shift!$B$4:$BJ$61,MATCH(Both_Shift_Roster!AE$2,Morning_Shift!$B$2:$BJ$2,0),0),"")="",IFERROR(VLOOKUP($B59,Evening_Shift!$B$4:$BJ$62,MATCH(Both_Shift_Roster!AE$2,Evening_Shift!$B$2:$BJ$2,0),0),""),IFERROR(VLOOKUP($B59,Morning_Shift!$B$4:$BJ$61,MATCH(Both_Shift_Roster!AE$2,Morning_Shift!$B$2:$BJ$2,0),0),""))</f>
        <v>7:00-14:30</v>
      </c>
      <c r="AF59" s="2" t="str">
        <f>IF(IFERROR(VLOOKUP($B59,Morning_Shift!$B$4:$BJ$61,MATCH(Both_Shift_Roster!AF$2,Morning_Shift!$B$2:$BJ$2,0),0),"")="",IFERROR(VLOOKUP($B59,Evening_Shift!$B$4:$BJ$62,MATCH(Both_Shift_Roster!AF$2,Evening_Shift!$B$2:$BJ$2,0),0),""),IFERROR(VLOOKUP($B59,Morning_Shift!$B$4:$BJ$61,MATCH(Both_Shift_Roster!AF$2,Morning_Shift!$B$2:$BJ$2,0),0),""))</f>
        <v>7:00-14:30</v>
      </c>
      <c r="AG59" s="2" t="str">
        <f>IF(IFERROR(VLOOKUP($B59,Morning_Shift!$B$4:$BJ$61,MATCH(Both_Shift_Roster!AG$2,Morning_Shift!$B$2:$BJ$2,0),0),"")="",IFERROR(VLOOKUP($B59,Evening_Shift!$B$4:$BJ$62,MATCH(Both_Shift_Roster!AG$2,Evening_Shift!$B$2:$BJ$2,0),0),""),IFERROR(VLOOKUP($B59,Morning_Shift!$B$4:$BJ$61,MATCH(Both_Shift_Roster!AG$2,Morning_Shift!$B$2:$BJ$2,0),0),""))</f>
        <v>7:00-14:30</v>
      </c>
      <c r="AH59" s="2" t="str">
        <f>IF(IFERROR(VLOOKUP($B59,Morning_Shift!$B$4:$BJ$61,MATCH(Both_Shift_Roster!AH$2,Morning_Shift!$B$2:$BJ$2,0),0),"")="",IFERROR(VLOOKUP($B59,Evening_Shift!$B$4:$BJ$62,MATCH(Both_Shift_Roster!AH$2,Evening_Shift!$B$2:$BJ$2,0),0),""),IFERROR(VLOOKUP($B59,Morning_Shift!$B$4:$BJ$61,MATCH(Both_Shift_Roster!AH$2,Morning_Shift!$B$2:$BJ$2,0),0),""))</f>
        <v>7:00-14:30</v>
      </c>
      <c r="AI59" s="2" t="str">
        <f>IF(IFERROR(VLOOKUP($B59,Morning_Shift!$B$4:$BJ$61,MATCH(Both_Shift_Roster!AI$2,Morning_Shift!$B$2:$BJ$2,0),0),"")="",IFERROR(VLOOKUP($B59,Evening_Shift!$B$4:$BJ$62,MATCH(Both_Shift_Roster!AI$2,Evening_Shift!$B$2:$BJ$2,0),0),""),IFERROR(VLOOKUP($B59,Morning_Shift!$B$4:$BJ$61,MATCH(Both_Shift_Roster!AI$2,Morning_Shift!$B$2:$BJ$2,0),0),""))</f>
        <v>7:00-14:30</v>
      </c>
      <c r="AJ59" s="2" t="str">
        <f>IF(IFERROR(VLOOKUP($B59,Morning_Shift!$B$4:$BJ$61,MATCH(Both_Shift_Roster!AJ$2,Morning_Shift!$B$2:$BJ$2,0),0),"")="",IFERROR(VLOOKUP($B59,Evening_Shift!$B$4:$BJ$62,MATCH(Both_Shift_Roster!AJ$2,Evening_Shift!$B$2:$BJ$2,0),0),""),IFERROR(VLOOKUP($B59,Morning_Shift!$B$4:$BJ$61,MATCH(Both_Shift_Roster!AJ$2,Morning_Shift!$B$2:$BJ$2,0),0),""))</f>
        <v>7:00-14:30</v>
      </c>
      <c r="AK59" s="2" t="str">
        <f>IF(IFERROR(VLOOKUP($B59,Morning_Shift!$B$4:$BJ$61,MATCH(Both_Shift_Roster!AK$2,Morning_Shift!$B$2:$BJ$2,0),0),"")="",IFERROR(VLOOKUP($B59,Evening_Shift!$B$4:$BJ$62,MATCH(Both_Shift_Roster!AK$2,Evening_Shift!$B$2:$BJ$2,0),0),""),IFERROR(VLOOKUP($B59,Morning_Shift!$B$4:$BJ$61,MATCH(Both_Shift_Roster!AK$2,Morning_Shift!$B$2:$BJ$2,0),0),""))</f>
        <v>Agent Choice WO</v>
      </c>
      <c r="AL59" s="2">
        <f t="shared" si="25"/>
        <v>1</v>
      </c>
      <c r="AM59" s="2">
        <f t="shared" si="26"/>
        <v>0</v>
      </c>
      <c r="AN59" s="2">
        <f t="shared" si="27"/>
        <v>0</v>
      </c>
      <c r="AO59" s="2">
        <f t="shared" si="28"/>
        <v>0</v>
      </c>
      <c r="AP59" s="2">
        <f t="shared" si="29"/>
        <v>0</v>
      </c>
      <c r="AQ59" s="2" t="str">
        <f>IF(IFERROR(VLOOKUP($B59,Morning_Shift!$B$4:$BJ$61,MATCH(Both_Shift_Roster!AQ$2,Morning_Shift!$B$2:$BJ$2,0),0),"")="",IFERROR(VLOOKUP($B59,Evening_Shift!$B$4:$BJ$62,MATCH(Both_Shift_Roster!AQ$2,Evening_Shift!$B$2:$BJ$2,0),0),""),IFERROR(VLOOKUP($B59,Morning_Shift!$B$4:$BJ$61,MATCH(Both_Shift_Roster!AQ$2,Morning_Shift!$B$2:$BJ$2,0),0),""))</f>
        <v>Agent Choice WO</v>
      </c>
      <c r="AR59" s="2" t="str">
        <f>IF(IFERROR(VLOOKUP($B59,Morning_Shift!$B$4:$BJ$61,MATCH(Both_Shift_Roster!AR$2,Morning_Shift!$B$2:$BJ$2,0),0),"")="",IFERROR(VLOOKUP($B59,Evening_Shift!$B$4:$BJ$62,MATCH(Both_Shift_Roster!AR$2,Evening_Shift!$B$2:$BJ$2,0),0),""),IFERROR(VLOOKUP($B59,Morning_Shift!$B$4:$BJ$61,MATCH(Both_Shift_Roster!AR$2,Morning_Shift!$B$2:$BJ$2,0),0),""))</f>
        <v>Agent Choice WO</v>
      </c>
      <c r="AS59" s="2" t="str">
        <f>IF(IFERROR(VLOOKUP($B59,Morning_Shift!$B$4:$BJ$61,MATCH(Both_Shift_Roster!AS$2,Morning_Shift!$B$2:$BJ$2,0),0),"")="",IFERROR(VLOOKUP($B59,Evening_Shift!$B$4:$BJ$62,MATCH(Both_Shift_Roster!AS$2,Evening_Shift!$B$2:$BJ$2,0),0),""),IFERROR(VLOOKUP($B59,Morning_Shift!$B$4:$BJ$61,MATCH(Both_Shift_Roster!AS$2,Morning_Shift!$B$2:$BJ$2,0),0),""))</f>
        <v>7:00-14:30</v>
      </c>
      <c r="AT59" s="2" t="str">
        <f>IF(IFERROR(VLOOKUP($B59,Morning_Shift!$B$4:$BJ$61,MATCH(Both_Shift_Roster!AT$2,Morning_Shift!$B$2:$BJ$2,0),0),"")="",IFERROR(VLOOKUP($B59,Evening_Shift!$B$4:$BJ$62,MATCH(Both_Shift_Roster!AT$2,Evening_Shift!$B$2:$BJ$2,0),0),""),IFERROR(VLOOKUP($B59,Morning_Shift!$B$4:$BJ$61,MATCH(Both_Shift_Roster!AT$2,Morning_Shift!$B$2:$BJ$2,0),0),""))</f>
        <v>7:00-14:30</v>
      </c>
      <c r="AU59" s="2" t="str">
        <f>IF(IFERROR(VLOOKUP($B59,Morning_Shift!$B$4:$BJ$61,MATCH(Both_Shift_Roster!AU$2,Morning_Shift!$B$2:$BJ$2,0),0),"")="",IFERROR(VLOOKUP($B59,Evening_Shift!$B$4:$BJ$62,MATCH(Both_Shift_Roster!AU$2,Evening_Shift!$B$2:$BJ$2,0),0),""),IFERROR(VLOOKUP($B59,Morning_Shift!$B$4:$BJ$61,MATCH(Both_Shift_Roster!AU$2,Morning_Shift!$B$2:$BJ$2,0),0),""))</f>
        <v>7:00-14:30</v>
      </c>
      <c r="AV59" s="2" t="str">
        <f>IF(IFERROR(VLOOKUP($B59,Morning_Shift!$B$4:$BJ$61,MATCH(Both_Shift_Roster!AV$2,Morning_Shift!$B$2:$BJ$2,0),0),"")="",IFERROR(VLOOKUP($B59,Evening_Shift!$B$4:$BJ$62,MATCH(Both_Shift_Roster!AV$2,Evening_Shift!$B$2:$BJ$2,0),0),""),IFERROR(VLOOKUP($B59,Morning_Shift!$B$4:$BJ$61,MATCH(Both_Shift_Roster!AV$2,Morning_Shift!$B$2:$BJ$2,0),0),""))</f>
        <v>7:00-14:30</v>
      </c>
      <c r="AW59" s="2" t="str">
        <f>IF(IFERROR(VLOOKUP($B59,Morning_Shift!$B$4:$BJ$61,MATCH(Both_Shift_Roster!AW$2,Morning_Shift!$B$2:$BJ$2,0),0),"")="",IFERROR(VLOOKUP($B59,Evening_Shift!$B$4:$BJ$62,MATCH(Both_Shift_Roster!AW$2,Evening_Shift!$B$2:$BJ$2,0),0),""),IFERROR(VLOOKUP($B59,Morning_Shift!$B$4:$BJ$61,MATCH(Both_Shift_Roster!AW$2,Morning_Shift!$B$2:$BJ$2,0),0),""))</f>
        <v>7:00-14:30</v>
      </c>
      <c r="AX59" s="2">
        <f t="shared" si="30"/>
        <v>2</v>
      </c>
      <c r="AY59" s="2">
        <f t="shared" si="31"/>
        <v>0</v>
      </c>
      <c r="AZ59" s="2">
        <f t="shared" si="32"/>
        <v>0</v>
      </c>
      <c r="BA59" s="2">
        <f t="shared" si="33"/>
        <v>0</v>
      </c>
      <c r="BB59" s="2">
        <f t="shared" si="34"/>
        <v>0</v>
      </c>
      <c r="BC59" s="2" t="str">
        <f>IF(IFERROR(VLOOKUP($B59,Morning_Shift!$B$4:$BJ$61,MATCH(Both_Shift_Roster!BC$2,Morning_Shift!$B$2:$BJ$2,0),0),"")="",IFERROR(VLOOKUP($B59,Evening_Shift!$B$4:$BJ$62,MATCH(Both_Shift_Roster!BC$2,Evening_Shift!$B$2:$BJ$2,0),0),""),IFERROR(VLOOKUP($B59,Morning_Shift!$B$4:$BJ$61,MATCH(Both_Shift_Roster!BC$2,Morning_Shift!$B$2:$BJ$2,0),0),""))</f>
        <v>7:00-14:30</v>
      </c>
      <c r="BD59" s="2" t="str">
        <f>IF(IFERROR(VLOOKUP($B59,Morning_Shift!$B$4:$BJ$61,MATCH(Both_Shift_Roster!BD$2,Morning_Shift!$B$2:$BJ$2,0),0),"")="",IFERROR(VLOOKUP($B59,Evening_Shift!$B$4:$BJ$62,MATCH(Both_Shift_Roster!BD$2,Evening_Shift!$B$2:$BJ$2,0),0),""),IFERROR(VLOOKUP($B59,Morning_Shift!$B$4:$BJ$61,MATCH(Both_Shift_Roster!BD$2,Morning_Shift!$B$2:$BJ$2,0),0),""))</f>
        <v>7:00-14:30</v>
      </c>
      <c r="BE59" s="2" t="str">
        <f>IF(IFERROR(VLOOKUP($B59,Morning_Shift!$B$4:$BJ$61,MATCH(Both_Shift_Roster!BE$2,Morning_Shift!$B$2:$BJ$2,0),0),"")="",IFERROR(VLOOKUP($B59,Evening_Shift!$B$4:$BJ$59,MATCH(Both_Shift_Roster!BE$2,Evening_Shift!$B$2:$BJ$2,0),0),""),IFERROR(VLOOKUP($B59,Morning_Shift!$B$4:$BJ$61,MATCH(Both_Shift_Roster!BE$2,Morning_Shift!$B$2:$BJ$2,0),0),""))</f>
        <v>7:00-14:30</v>
      </c>
      <c r="BF59" s="2">
        <f t="shared" si="35"/>
        <v>0</v>
      </c>
      <c r="BG59" s="2">
        <f t="shared" si="36"/>
        <v>0</v>
      </c>
      <c r="BH59" s="2">
        <f t="shared" si="37"/>
        <v>0</v>
      </c>
      <c r="BI59" s="2">
        <f t="shared" si="38"/>
        <v>0</v>
      </c>
      <c r="BJ59" s="2">
        <f t="shared" si="39"/>
        <v>0</v>
      </c>
    </row>
    <row r="60" spans="1:62">
      <c r="A60" s="17">
        <f t="shared" si="40"/>
        <v>57</v>
      </c>
      <c r="B60" s="16" t="str">
        <f>Morning_Shift!$B60</f>
        <v xml:space="preserve"> Dritm171</v>
      </c>
      <c r="C60" s="21" t="str">
        <f>IF(IFERROR(VLOOKUP(B60,Morning_Shift!B:C,2,0),"")="",IFERROR(VLOOKUP(B60,Evening_Shift!B:C,2,0),""),IFERROR(VLOOKUP(B60,Morning_Shift!B:C,2,0),""))</f>
        <v xml:space="preserve">Preeti </v>
      </c>
      <c r="D60" s="15" t="str">
        <f>IF(IFERROR(VLOOKUP(B60,Morning_Shift!B:D,3,0),"")="",IFERROR(VLOOKUP(B60,Evening_Shift!B:D,3,0),""),IFERROR(VLOOKUP(B60,Morning_Shift!B:D,3,0),""))</f>
        <v>Naina</v>
      </c>
      <c r="E60" s="4" t="str">
        <f>IF(IFERROR(VLOOKUP(B60,Morning_Shift!B:E,4,0),"")="",IFERROR(VLOOKUP(B60,Evening_Shift!B:E,4,0),""),IFERROR(VLOOKUP(B60,Morning_Shift!B:E,4,0),""))</f>
        <v>F</v>
      </c>
      <c r="F60" s="5" t="str">
        <f>IF(IFERROR(VLOOKUP(B60,Morning_Shift!B:F,5,0),"")="",IFERROR(VLOOKUP(B60,Evening_Shift!B:F,5,0),""),IFERROR(VLOOKUP(B60,Morning_Shift!B:F,5,0),""))</f>
        <v>Inbound</v>
      </c>
      <c r="G60" s="2" t="str">
        <f>IF(IFERROR(VLOOKUP($B60,Morning_Shift!$B$4:$BJ$61,MATCH(Both_Shift_Roster!G$2,Morning_Shift!$B$2:$BJ$2,0),0),"")="",IFERROR(VLOOKUP($B60,Evening_Shift!$B$4:$BJ$62,MATCH(Both_Shift_Roster!G$2,Evening_Shift!$B$2:$BJ$2,0),0),""),IFERROR(VLOOKUP($B60,Morning_Shift!$B$4:$BJ$61,MATCH(Both_Shift_Roster!G$2,Morning_Shift!$B$2:$BJ$2,0),0),""))</f>
        <v>7:00-14:30</v>
      </c>
      <c r="H60" s="2" t="str">
        <f>IF(IFERROR(VLOOKUP($B60,Morning_Shift!$B$4:$BJ$61,MATCH(Both_Shift_Roster!H$2,Morning_Shift!$B$2:$BJ$2,0),0),"")="",IFERROR(VLOOKUP($B60,Evening_Shift!$B$4:$BJ$62,MATCH(Both_Shift_Roster!H$2,Evening_Shift!$B$2:$BJ$2,0),0),""),IFERROR(VLOOKUP($B60,Morning_Shift!$B$4:$BJ$61,MATCH(Both_Shift_Roster!H$2,Morning_Shift!$B$2:$BJ$2,0),0),""))</f>
        <v>7:00-14:30</v>
      </c>
      <c r="I60" s="2" t="str">
        <f>IF(IFERROR(VLOOKUP($B60,Morning_Shift!$B$4:$BJ$61,MATCH(Both_Shift_Roster!I$2,Morning_Shift!$B$2:$BJ$2,0),0),"")="",IFERROR(VLOOKUP($B60,Evening_Shift!$B$4:$BJ$62,MATCH(Both_Shift_Roster!I$2,Evening_Shift!$B$2:$BJ$2,0),0),""),IFERROR(VLOOKUP($B60,Morning_Shift!$B$4:$BJ$61,MATCH(Both_Shift_Roster!I$2,Morning_Shift!$B$2:$BJ$2,0),0),""))</f>
        <v>7:00-14:30</v>
      </c>
      <c r="J60" s="2" t="str">
        <f>IF(IFERROR(VLOOKUP($B60,Morning_Shift!$B$4:$BJ$61,MATCH(Both_Shift_Roster!J$2,Morning_Shift!$B$2:$BJ$2,0),0),"")="",IFERROR(VLOOKUP($B60,Evening_Shift!$B$4:$BJ$62,MATCH(Both_Shift_Roster!J$2,Evening_Shift!$B$2:$BJ$2,0),0),""),IFERROR(VLOOKUP($B60,Morning_Shift!$B$4:$BJ$61,MATCH(Both_Shift_Roster!J$2,Morning_Shift!$B$2:$BJ$2,0),0),""))</f>
        <v>7:00-14:30</v>
      </c>
      <c r="K60" s="2" t="str">
        <f>IF(IFERROR(VLOOKUP($B60,Morning_Shift!$B$4:$BJ$61,MATCH(Both_Shift_Roster!K$2,Morning_Shift!$B$2:$BJ$2,0),0),"")="",IFERROR(VLOOKUP($B60,Evening_Shift!$B$4:$BJ$62,MATCH(Both_Shift_Roster!K$2,Evening_Shift!$B$2:$BJ$2,0),0),""),IFERROR(VLOOKUP($B60,Morning_Shift!$B$4:$BJ$61,MATCH(Both_Shift_Roster!K$2,Morning_Shift!$B$2:$BJ$2,0),0),""))</f>
        <v>7:00-14:30</v>
      </c>
      <c r="L60" s="2" t="str">
        <f>IF(IFERROR(VLOOKUP($B60,Morning_Shift!$B$4:$BJ$61,MATCH(Both_Shift_Roster!L$2,Morning_Shift!$B$2:$BJ$2,0),0),"")="",IFERROR(VLOOKUP($B60,Evening_Shift!$B$4:$BJ$62,MATCH(Both_Shift_Roster!L$2,Evening_Shift!$B$2:$BJ$2,0),0),""),IFERROR(VLOOKUP($B60,Morning_Shift!$B$4:$BJ$61,MATCH(Both_Shift_Roster!L$2,Morning_Shift!$B$2:$BJ$2,0),0),""))</f>
        <v>7:00-14:30</v>
      </c>
      <c r="M60" s="2" t="str">
        <f>IF(IFERROR(VLOOKUP($B60,Morning_Shift!$B$4:$BJ$61,MATCH(Both_Shift_Roster!M$2,Morning_Shift!$B$2:$BJ$2,0),0),"")="",IFERROR(VLOOKUP($B60,Evening_Shift!$B$4:$BJ$62,MATCH(Both_Shift_Roster!M$2,Evening_Shift!$B$2:$BJ$2,0),0),""),IFERROR(VLOOKUP($B60,Morning_Shift!$B$4:$BJ$61,MATCH(Both_Shift_Roster!M$2,Morning_Shift!$B$2:$BJ$2,0),0),""))</f>
        <v>7:00-14:30</v>
      </c>
      <c r="N60" s="2">
        <f t="shared" si="15"/>
        <v>0</v>
      </c>
      <c r="O60" s="2">
        <f t="shared" si="16"/>
        <v>0</v>
      </c>
      <c r="P60" s="2">
        <f t="shared" si="17"/>
        <v>0</v>
      </c>
      <c r="Q60" s="2">
        <f t="shared" si="18"/>
        <v>0</v>
      </c>
      <c r="R60" s="2">
        <f t="shared" si="19"/>
        <v>0</v>
      </c>
      <c r="S60" s="2" t="str">
        <f>IF(IFERROR(VLOOKUP($B60,Morning_Shift!$B$4:$BJ$61,MATCH(Both_Shift_Roster!S$2,Morning_Shift!$B$2:$BJ$2,0),0),"")="",IFERROR(VLOOKUP($B60,Evening_Shift!$B$4:$BJ$62,MATCH(Both_Shift_Roster!S$2,Evening_Shift!$B$2:$BJ$2,0),0),""),IFERROR(VLOOKUP($B60,Morning_Shift!$B$4:$BJ$61,MATCH(Both_Shift_Roster!S$2,Morning_Shift!$B$2:$BJ$2,0),0),""))</f>
        <v>7:00-14:30</v>
      </c>
      <c r="T60" s="2" t="str">
        <f>IF(IFERROR(VLOOKUP($B60,Morning_Shift!$B$4:$BJ$61,MATCH(Both_Shift_Roster!T$2,Morning_Shift!$B$2:$BJ$2,0),0),"")="",IFERROR(VLOOKUP($B60,Evening_Shift!$B$4:$BJ$62,MATCH(Both_Shift_Roster!T$2,Evening_Shift!$B$2:$BJ$2,0),0),""),IFERROR(VLOOKUP($B60,Morning_Shift!$B$4:$BJ$61,MATCH(Both_Shift_Roster!T$2,Morning_Shift!$B$2:$BJ$2,0),0),""))</f>
        <v>7:00-14:30</v>
      </c>
      <c r="U60" s="2" t="str">
        <f>IF(IFERROR(VLOOKUP($B60,Morning_Shift!$B$4:$BJ$61,MATCH(Both_Shift_Roster!U$2,Morning_Shift!$B$2:$BJ$2,0),0),"")="",IFERROR(VLOOKUP($B60,Evening_Shift!$B$4:$BJ$62,MATCH(Both_Shift_Roster!U$2,Evening_Shift!$B$2:$BJ$2,0),0),""),IFERROR(VLOOKUP($B60,Morning_Shift!$B$4:$BJ$61,MATCH(Both_Shift_Roster!U$2,Morning_Shift!$B$2:$BJ$2,0),0),""))</f>
        <v>TL Choice WO</v>
      </c>
      <c r="V60" s="2" t="str">
        <f>IF(IFERROR(VLOOKUP($B60,Morning_Shift!$B$4:$BJ$61,MATCH(Both_Shift_Roster!V$2,Morning_Shift!$B$2:$BJ$2,0),0),"")="",IFERROR(VLOOKUP($B60,Evening_Shift!$B$4:$BJ$62,MATCH(Both_Shift_Roster!V$2,Evening_Shift!$B$2:$BJ$2,0),0),""),IFERROR(VLOOKUP($B60,Morning_Shift!$B$4:$BJ$61,MATCH(Both_Shift_Roster!V$2,Morning_Shift!$B$2:$BJ$2,0),0),""))</f>
        <v>7:00-14:30</v>
      </c>
      <c r="W60" s="2" t="str">
        <f>IF(IFERROR(VLOOKUP($B60,Morning_Shift!$B$4:$BJ$61,MATCH(Both_Shift_Roster!W$2,Morning_Shift!$B$2:$BJ$2,0),0),"")="",IFERROR(VLOOKUP($B60,Evening_Shift!$B$4:$BJ$62,MATCH(Both_Shift_Roster!W$2,Evening_Shift!$B$2:$BJ$2,0),0),""),IFERROR(VLOOKUP($B60,Morning_Shift!$B$4:$BJ$61,MATCH(Both_Shift_Roster!W$2,Morning_Shift!$B$2:$BJ$2,0),0),""))</f>
        <v>7:00-14:30</v>
      </c>
      <c r="X60" s="2" t="str">
        <f>IF(IFERROR(VLOOKUP($B60,Morning_Shift!$B$4:$BJ$61,MATCH(Both_Shift_Roster!X$2,Morning_Shift!$B$2:$BJ$2,0),0),"")="",IFERROR(VLOOKUP($B60,Evening_Shift!$B$4:$BJ$62,MATCH(Both_Shift_Roster!X$2,Evening_Shift!$B$2:$BJ$2,0),0),""),IFERROR(VLOOKUP($B60,Morning_Shift!$B$4:$BJ$61,MATCH(Both_Shift_Roster!X$2,Morning_Shift!$B$2:$BJ$2,0),0),""))</f>
        <v>7:00-14:30</v>
      </c>
      <c r="Y60" s="2" t="str">
        <f>IF(IFERROR(VLOOKUP($B60,Morning_Shift!$B$4:$BJ$61,MATCH(Both_Shift_Roster!Y$2,Morning_Shift!$B$2:$BJ$2,0),0),"")="",IFERROR(VLOOKUP($B60,Evening_Shift!$B$4:$BJ$62,MATCH(Both_Shift_Roster!Y$2,Evening_Shift!$B$2:$BJ$2,0),0),""),IFERROR(VLOOKUP($B60,Morning_Shift!$B$4:$BJ$61,MATCH(Both_Shift_Roster!Y$2,Morning_Shift!$B$2:$BJ$2,0),0),""))</f>
        <v>7:00-14:30</v>
      </c>
      <c r="Z60" s="2">
        <f t="shared" si="20"/>
        <v>0</v>
      </c>
      <c r="AA60" s="2">
        <f t="shared" si="21"/>
        <v>1</v>
      </c>
      <c r="AB60" s="2">
        <f t="shared" si="22"/>
        <v>0</v>
      </c>
      <c r="AC60" s="2">
        <f t="shared" si="23"/>
        <v>0</v>
      </c>
      <c r="AD60" s="2">
        <f t="shared" si="24"/>
        <v>0</v>
      </c>
      <c r="AE60" s="2" t="str">
        <f>IF(IFERROR(VLOOKUP($B60,Morning_Shift!$B$4:$BJ$61,MATCH(Both_Shift_Roster!AE$2,Morning_Shift!$B$2:$BJ$2,0),0),"")="",IFERROR(VLOOKUP($B60,Evening_Shift!$B$4:$BJ$62,MATCH(Both_Shift_Roster!AE$2,Evening_Shift!$B$2:$BJ$2,0),0),""),IFERROR(VLOOKUP($B60,Morning_Shift!$B$4:$BJ$61,MATCH(Both_Shift_Roster!AE$2,Morning_Shift!$B$2:$BJ$2,0),0),""))</f>
        <v>7:00-14:30</v>
      </c>
      <c r="AF60" s="2" t="str">
        <f>IF(IFERROR(VLOOKUP($B60,Morning_Shift!$B$4:$BJ$61,MATCH(Both_Shift_Roster!AF$2,Morning_Shift!$B$2:$BJ$2,0),0),"")="",IFERROR(VLOOKUP($B60,Evening_Shift!$B$4:$BJ$62,MATCH(Both_Shift_Roster!AF$2,Evening_Shift!$B$2:$BJ$2,0),0),""),IFERROR(VLOOKUP($B60,Morning_Shift!$B$4:$BJ$61,MATCH(Both_Shift_Roster!AF$2,Morning_Shift!$B$2:$BJ$2,0),0),""))</f>
        <v>7:00-14:30</v>
      </c>
      <c r="AG60" s="2" t="str">
        <f>IF(IFERROR(VLOOKUP($B60,Morning_Shift!$B$4:$BJ$61,MATCH(Both_Shift_Roster!AG$2,Morning_Shift!$B$2:$BJ$2,0),0),"")="",IFERROR(VLOOKUP($B60,Evening_Shift!$B$4:$BJ$62,MATCH(Both_Shift_Roster!AG$2,Evening_Shift!$B$2:$BJ$2,0),0),""),IFERROR(VLOOKUP($B60,Morning_Shift!$B$4:$BJ$61,MATCH(Both_Shift_Roster!AG$2,Morning_Shift!$B$2:$BJ$2,0),0),""))</f>
        <v>7:00-14:30</v>
      </c>
      <c r="AH60" s="2" t="str">
        <f>IF(IFERROR(VLOOKUP($B60,Morning_Shift!$B$4:$BJ$61,MATCH(Both_Shift_Roster!AH$2,Morning_Shift!$B$2:$BJ$2,0),0),"")="",IFERROR(VLOOKUP($B60,Evening_Shift!$B$4:$BJ$62,MATCH(Both_Shift_Roster!AH$2,Evening_Shift!$B$2:$BJ$2,0),0),""),IFERROR(VLOOKUP($B60,Morning_Shift!$B$4:$BJ$61,MATCH(Both_Shift_Roster!AH$2,Morning_Shift!$B$2:$BJ$2,0),0),""))</f>
        <v>Agent Choice WO</v>
      </c>
      <c r="AI60" s="2" t="str">
        <f>IF(IFERROR(VLOOKUP($B60,Morning_Shift!$B$4:$BJ$61,MATCH(Both_Shift_Roster!AI$2,Morning_Shift!$B$2:$BJ$2,0),0),"")="",IFERROR(VLOOKUP($B60,Evening_Shift!$B$4:$BJ$62,MATCH(Both_Shift_Roster!AI$2,Evening_Shift!$B$2:$BJ$2,0),0),""),IFERROR(VLOOKUP($B60,Morning_Shift!$B$4:$BJ$61,MATCH(Both_Shift_Roster!AI$2,Morning_Shift!$B$2:$BJ$2,0),0),""))</f>
        <v>7:00-14:30</v>
      </c>
      <c r="AJ60" s="2" t="str">
        <f>IF(IFERROR(VLOOKUP($B60,Morning_Shift!$B$4:$BJ$61,MATCH(Both_Shift_Roster!AJ$2,Morning_Shift!$B$2:$BJ$2,0),0),"")="",IFERROR(VLOOKUP($B60,Evening_Shift!$B$4:$BJ$62,MATCH(Both_Shift_Roster!AJ$2,Evening_Shift!$B$2:$BJ$2,0),0),""),IFERROR(VLOOKUP($B60,Morning_Shift!$B$4:$BJ$61,MATCH(Both_Shift_Roster!AJ$2,Morning_Shift!$B$2:$BJ$2,0),0),""))</f>
        <v>7:00-14:30</v>
      </c>
      <c r="AK60" s="2" t="str">
        <f>IF(IFERROR(VLOOKUP($B60,Morning_Shift!$B$4:$BJ$61,MATCH(Both_Shift_Roster!AK$2,Morning_Shift!$B$2:$BJ$2,0),0),"")="",IFERROR(VLOOKUP($B60,Evening_Shift!$B$4:$BJ$62,MATCH(Both_Shift_Roster!AK$2,Evening_Shift!$B$2:$BJ$2,0),0),""),IFERROR(VLOOKUP($B60,Morning_Shift!$B$4:$BJ$61,MATCH(Both_Shift_Roster!AK$2,Morning_Shift!$B$2:$BJ$2,0),0),""))</f>
        <v>Agent Choice WO</v>
      </c>
      <c r="AL60" s="2">
        <f t="shared" si="25"/>
        <v>2</v>
      </c>
      <c r="AM60" s="2">
        <f t="shared" si="26"/>
        <v>0</v>
      </c>
      <c r="AN60" s="2">
        <f t="shared" si="27"/>
        <v>0</v>
      </c>
      <c r="AO60" s="2">
        <f t="shared" si="28"/>
        <v>0</v>
      </c>
      <c r="AP60" s="2">
        <f t="shared" si="29"/>
        <v>0</v>
      </c>
      <c r="AQ60" s="2" t="str">
        <f>IF(IFERROR(VLOOKUP($B60,Morning_Shift!$B$4:$BJ$61,MATCH(Both_Shift_Roster!AQ$2,Morning_Shift!$B$2:$BJ$2,0),0),"")="",IFERROR(VLOOKUP($B60,Evening_Shift!$B$4:$BJ$62,MATCH(Both_Shift_Roster!AQ$2,Evening_Shift!$B$2:$BJ$2,0),0),""),IFERROR(VLOOKUP($B60,Morning_Shift!$B$4:$BJ$61,MATCH(Both_Shift_Roster!AQ$2,Morning_Shift!$B$2:$BJ$2,0),0),""))</f>
        <v>Agent Choice WO</v>
      </c>
      <c r="AR60" s="2" t="str">
        <f>IF(IFERROR(VLOOKUP($B60,Morning_Shift!$B$4:$BJ$61,MATCH(Both_Shift_Roster!AR$2,Morning_Shift!$B$2:$BJ$2,0),0),"")="",IFERROR(VLOOKUP($B60,Evening_Shift!$B$4:$BJ$62,MATCH(Both_Shift_Roster!AR$2,Evening_Shift!$B$2:$BJ$2,0),0),""),IFERROR(VLOOKUP($B60,Morning_Shift!$B$4:$BJ$61,MATCH(Both_Shift_Roster!AR$2,Morning_Shift!$B$2:$BJ$2,0),0),""))</f>
        <v>7:00-14:30</v>
      </c>
      <c r="AS60" s="2" t="str">
        <f>IF(IFERROR(VLOOKUP($B60,Morning_Shift!$B$4:$BJ$61,MATCH(Both_Shift_Roster!AS$2,Morning_Shift!$B$2:$BJ$2,0),0),"")="",IFERROR(VLOOKUP($B60,Evening_Shift!$B$4:$BJ$62,MATCH(Both_Shift_Roster!AS$2,Evening_Shift!$B$2:$BJ$2,0),0),""),IFERROR(VLOOKUP($B60,Morning_Shift!$B$4:$BJ$61,MATCH(Both_Shift_Roster!AS$2,Morning_Shift!$B$2:$BJ$2,0),0),""))</f>
        <v>7:00-14:30</v>
      </c>
      <c r="AT60" s="2" t="str">
        <f>IF(IFERROR(VLOOKUP($B60,Morning_Shift!$B$4:$BJ$61,MATCH(Both_Shift_Roster!AT$2,Morning_Shift!$B$2:$BJ$2,0),0),"")="",IFERROR(VLOOKUP($B60,Evening_Shift!$B$4:$BJ$62,MATCH(Both_Shift_Roster!AT$2,Evening_Shift!$B$2:$BJ$2,0),0),""),IFERROR(VLOOKUP($B60,Morning_Shift!$B$4:$BJ$61,MATCH(Both_Shift_Roster!AT$2,Morning_Shift!$B$2:$BJ$2,0),0),""))</f>
        <v>7:00-14:30</v>
      </c>
      <c r="AU60" s="2" t="str">
        <f>IF(IFERROR(VLOOKUP($B60,Morning_Shift!$B$4:$BJ$61,MATCH(Both_Shift_Roster!AU$2,Morning_Shift!$B$2:$BJ$2,0),0),"")="",IFERROR(VLOOKUP($B60,Evening_Shift!$B$4:$BJ$62,MATCH(Both_Shift_Roster!AU$2,Evening_Shift!$B$2:$BJ$2,0),0),""),IFERROR(VLOOKUP($B60,Morning_Shift!$B$4:$BJ$61,MATCH(Both_Shift_Roster!AU$2,Morning_Shift!$B$2:$BJ$2,0),0),""))</f>
        <v>7:00-14:30</v>
      </c>
      <c r="AV60" s="2" t="str">
        <f>IF(IFERROR(VLOOKUP($B60,Morning_Shift!$B$4:$BJ$61,MATCH(Both_Shift_Roster!AV$2,Morning_Shift!$B$2:$BJ$2,0),0),"")="",IFERROR(VLOOKUP($B60,Evening_Shift!$B$4:$BJ$62,MATCH(Both_Shift_Roster!AV$2,Evening_Shift!$B$2:$BJ$2,0),0),""),IFERROR(VLOOKUP($B60,Morning_Shift!$B$4:$BJ$61,MATCH(Both_Shift_Roster!AV$2,Morning_Shift!$B$2:$BJ$2,0),0),""))</f>
        <v>7:00-14:30</v>
      </c>
      <c r="AW60" s="2" t="str">
        <f>IF(IFERROR(VLOOKUP($B60,Morning_Shift!$B$4:$BJ$61,MATCH(Both_Shift_Roster!AW$2,Morning_Shift!$B$2:$BJ$2,0),0),"")="",IFERROR(VLOOKUP($B60,Evening_Shift!$B$4:$BJ$62,MATCH(Both_Shift_Roster!AW$2,Evening_Shift!$B$2:$BJ$2,0),0),""),IFERROR(VLOOKUP($B60,Morning_Shift!$B$4:$BJ$61,MATCH(Both_Shift_Roster!AW$2,Morning_Shift!$B$2:$BJ$2,0),0),""))</f>
        <v>7:00-14:30</v>
      </c>
      <c r="AX60" s="2">
        <f t="shared" si="30"/>
        <v>1</v>
      </c>
      <c r="AY60" s="2">
        <f t="shared" si="31"/>
        <v>0</v>
      </c>
      <c r="AZ60" s="2">
        <f t="shared" si="32"/>
        <v>0</v>
      </c>
      <c r="BA60" s="2">
        <f t="shared" si="33"/>
        <v>0</v>
      </c>
      <c r="BB60" s="2">
        <f t="shared" si="34"/>
        <v>0</v>
      </c>
      <c r="BC60" s="2" t="str">
        <f>IF(IFERROR(VLOOKUP($B60,Morning_Shift!$B$4:$BJ$61,MATCH(Both_Shift_Roster!BC$2,Morning_Shift!$B$2:$BJ$2,0),0),"")="",IFERROR(VLOOKUP($B60,Evening_Shift!$B$4:$BJ$62,MATCH(Both_Shift_Roster!BC$2,Evening_Shift!$B$2:$BJ$2,0),0),""),IFERROR(VLOOKUP($B60,Morning_Shift!$B$4:$BJ$61,MATCH(Both_Shift_Roster!BC$2,Morning_Shift!$B$2:$BJ$2,0),0),""))</f>
        <v>7:00-14:30</v>
      </c>
      <c r="BD60" s="2" t="str">
        <f>IF(IFERROR(VLOOKUP($B60,Morning_Shift!$B$4:$BJ$61,MATCH(Both_Shift_Roster!BD$2,Morning_Shift!$B$2:$BJ$2,0),0),"")="",IFERROR(VLOOKUP($B60,Evening_Shift!$B$4:$BJ$62,MATCH(Both_Shift_Roster!BD$2,Evening_Shift!$B$2:$BJ$2,0),0),""),IFERROR(VLOOKUP($B60,Morning_Shift!$B$4:$BJ$61,MATCH(Both_Shift_Roster!BD$2,Morning_Shift!$B$2:$BJ$2,0),0),""))</f>
        <v>7:00-14:30</v>
      </c>
      <c r="BE60" s="2" t="str">
        <f>IF(IFERROR(VLOOKUP($B60,Morning_Shift!$B$4:$BJ$61,MATCH(Both_Shift_Roster!BE$2,Morning_Shift!$B$2:$BJ$2,0),0),"")="",IFERROR(VLOOKUP($B60,Evening_Shift!$B$4:$BJ$59,MATCH(Both_Shift_Roster!BE$2,Evening_Shift!$B$2:$BJ$2,0),0),""),IFERROR(VLOOKUP($B60,Morning_Shift!$B$4:$BJ$61,MATCH(Both_Shift_Roster!BE$2,Morning_Shift!$B$2:$BJ$2,0),0),""))</f>
        <v>7:00-14:30</v>
      </c>
      <c r="BF60" s="2">
        <f t="shared" si="35"/>
        <v>0</v>
      </c>
      <c r="BG60" s="2">
        <f t="shared" si="36"/>
        <v>0</v>
      </c>
      <c r="BH60" s="2">
        <f t="shared" si="37"/>
        <v>0</v>
      </c>
      <c r="BI60" s="2">
        <f t="shared" si="38"/>
        <v>0</v>
      </c>
      <c r="BJ60" s="2">
        <f t="shared" si="39"/>
        <v>0</v>
      </c>
    </row>
    <row r="61" spans="1:62">
      <c r="A61" s="17">
        <f t="shared" si="40"/>
        <v>58</v>
      </c>
      <c r="B61" s="16" t="str">
        <f>Morning_Shift!$B61</f>
        <v xml:space="preserve"> Dritm173</v>
      </c>
      <c r="C61" s="21" t="str">
        <f>IF(IFERROR(VLOOKUP(B61,Morning_Shift!B:C,2,0),"")="",IFERROR(VLOOKUP(B61,Evening_Shift!B:C,2,0),""),IFERROR(VLOOKUP(B61,Morning_Shift!B:C,2,0),""))</f>
        <v xml:space="preserve">Shivani </v>
      </c>
      <c r="D61" s="15" t="str">
        <f>IF(IFERROR(VLOOKUP(B61,Morning_Shift!B:D,3,0),"")="",IFERROR(VLOOKUP(B61,Evening_Shift!B:D,3,0),""),IFERROR(VLOOKUP(B61,Morning_Shift!B:D,3,0),""))</f>
        <v>Naina</v>
      </c>
      <c r="E61" s="4" t="str">
        <f>IF(IFERROR(VLOOKUP(B61,Morning_Shift!B:E,4,0),"")="",IFERROR(VLOOKUP(B61,Evening_Shift!B:E,4,0),""),IFERROR(VLOOKUP(B61,Morning_Shift!B:E,4,0),""))</f>
        <v>F</v>
      </c>
      <c r="F61" s="5" t="str">
        <f>IF(IFERROR(VLOOKUP(B61,Morning_Shift!B:F,5,0),"")="",IFERROR(VLOOKUP(B61,Evening_Shift!B:F,5,0),""),IFERROR(VLOOKUP(B61,Morning_Shift!B:F,5,0),""))</f>
        <v>Inbound</v>
      </c>
      <c r="G61" s="2" t="str">
        <f>IF(IFERROR(VLOOKUP($B61,Morning_Shift!$B$4:$BJ$61,MATCH(Both_Shift_Roster!G$2,Morning_Shift!$B$2:$BJ$2,0),0),"")="",IFERROR(VLOOKUP($B61,Evening_Shift!$B$4:$BJ$62,MATCH(Both_Shift_Roster!G$2,Evening_Shift!$B$2:$BJ$2,0),0),""),IFERROR(VLOOKUP($B61,Morning_Shift!$B$4:$BJ$61,MATCH(Both_Shift_Roster!G$2,Morning_Shift!$B$2:$BJ$2,0),0),""))</f>
        <v>7:00-14:30</v>
      </c>
      <c r="H61" s="2" t="str">
        <f>IF(IFERROR(VLOOKUP($B61,Morning_Shift!$B$4:$BJ$61,MATCH(Both_Shift_Roster!H$2,Morning_Shift!$B$2:$BJ$2,0),0),"")="",IFERROR(VLOOKUP($B61,Evening_Shift!$B$4:$BJ$62,MATCH(Both_Shift_Roster!H$2,Evening_Shift!$B$2:$BJ$2,0),0),""),IFERROR(VLOOKUP($B61,Morning_Shift!$B$4:$BJ$61,MATCH(Both_Shift_Roster!H$2,Morning_Shift!$B$2:$BJ$2,0),0),""))</f>
        <v>7:00-14:30</v>
      </c>
      <c r="I61" s="2" t="str">
        <f>IF(IFERROR(VLOOKUP($B61,Morning_Shift!$B$4:$BJ$61,MATCH(Both_Shift_Roster!I$2,Morning_Shift!$B$2:$BJ$2,0),0),"")="",IFERROR(VLOOKUP($B61,Evening_Shift!$B$4:$BJ$62,MATCH(Both_Shift_Roster!I$2,Evening_Shift!$B$2:$BJ$2,0),0),""),IFERROR(VLOOKUP($B61,Morning_Shift!$B$4:$BJ$61,MATCH(Both_Shift_Roster!I$2,Morning_Shift!$B$2:$BJ$2,0),0),""))</f>
        <v>7:00-14:30</v>
      </c>
      <c r="J61" s="2" t="str">
        <f>IF(IFERROR(VLOOKUP($B61,Morning_Shift!$B$4:$BJ$61,MATCH(Both_Shift_Roster!J$2,Morning_Shift!$B$2:$BJ$2,0),0),"")="",IFERROR(VLOOKUP($B61,Evening_Shift!$B$4:$BJ$62,MATCH(Both_Shift_Roster!J$2,Evening_Shift!$B$2:$BJ$2,0),0),""),IFERROR(VLOOKUP($B61,Morning_Shift!$B$4:$BJ$61,MATCH(Both_Shift_Roster!J$2,Morning_Shift!$B$2:$BJ$2,0),0),""))</f>
        <v>7:00-14:30</v>
      </c>
      <c r="K61" s="2" t="str">
        <f>IF(IFERROR(VLOOKUP($B61,Morning_Shift!$B$4:$BJ$61,MATCH(Both_Shift_Roster!K$2,Morning_Shift!$B$2:$BJ$2,0),0),"")="",IFERROR(VLOOKUP($B61,Evening_Shift!$B$4:$BJ$62,MATCH(Both_Shift_Roster!K$2,Evening_Shift!$B$2:$BJ$2,0),0),""),IFERROR(VLOOKUP($B61,Morning_Shift!$B$4:$BJ$61,MATCH(Both_Shift_Roster!K$2,Morning_Shift!$B$2:$BJ$2,0),0),""))</f>
        <v>7:00-14:30</v>
      </c>
      <c r="L61" s="2" t="str">
        <f>IF(IFERROR(VLOOKUP($B61,Morning_Shift!$B$4:$BJ$61,MATCH(Both_Shift_Roster!L$2,Morning_Shift!$B$2:$BJ$2,0),0),"")="",IFERROR(VLOOKUP($B61,Evening_Shift!$B$4:$BJ$62,MATCH(Both_Shift_Roster!L$2,Evening_Shift!$B$2:$BJ$2,0),0),""),IFERROR(VLOOKUP($B61,Morning_Shift!$B$4:$BJ$61,MATCH(Both_Shift_Roster!L$2,Morning_Shift!$B$2:$BJ$2,0),0),""))</f>
        <v>7:00-14:30</v>
      </c>
      <c r="M61" s="2" t="str">
        <f>IF(IFERROR(VLOOKUP($B61,Morning_Shift!$B$4:$BJ$61,MATCH(Both_Shift_Roster!M$2,Morning_Shift!$B$2:$BJ$2,0),0),"")="",IFERROR(VLOOKUP($B61,Evening_Shift!$B$4:$BJ$62,MATCH(Both_Shift_Roster!M$2,Evening_Shift!$B$2:$BJ$2,0),0),""),IFERROR(VLOOKUP($B61,Morning_Shift!$B$4:$BJ$61,MATCH(Both_Shift_Roster!M$2,Morning_Shift!$B$2:$BJ$2,0),0),""))</f>
        <v>7:00-14:30</v>
      </c>
      <c r="N61" s="2">
        <f t="shared" si="15"/>
        <v>0</v>
      </c>
      <c r="O61" s="2">
        <f t="shared" si="16"/>
        <v>0</v>
      </c>
      <c r="P61" s="2">
        <f t="shared" si="17"/>
        <v>0</v>
      </c>
      <c r="Q61" s="2">
        <f t="shared" si="18"/>
        <v>0</v>
      </c>
      <c r="R61" s="2">
        <f t="shared" si="19"/>
        <v>0</v>
      </c>
      <c r="S61" s="2" t="str">
        <f>IF(IFERROR(VLOOKUP($B61,Morning_Shift!$B$4:$BJ$61,MATCH(Both_Shift_Roster!S$2,Morning_Shift!$B$2:$BJ$2,0),0),"")="",IFERROR(VLOOKUP($B61,Evening_Shift!$B$4:$BJ$62,MATCH(Both_Shift_Roster!S$2,Evening_Shift!$B$2:$BJ$2,0),0),""),IFERROR(VLOOKUP($B61,Morning_Shift!$B$4:$BJ$61,MATCH(Both_Shift_Roster!S$2,Morning_Shift!$B$2:$BJ$2,0),0),""))</f>
        <v>7:00-14:30</v>
      </c>
      <c r="T61" s="2" t="str">
        <f>IF(IFERROR(VLOOKUP($B61,Morning_Shift!$B$4:$BJ$61,MATCH(Both_Shift_Roster!T$2,Morning_Shift!$B$2:$BJ$2,0),0),"")="",IFERROR(VLOOKUP($B61,Evening_Shift!$B$4:$BJ$62,MATCH(Both_Shift_Roster!T$2,Evening_Shift!$B$2:$BJ$2,0),0),""),IFERROR(VLOOKUP($B61,Morning_Shift!$B$4:$BJ$61,MATCH(Both_Shift_Roster!T$2,Morning_Shift!$B$2:$BJ$2,0),0),""))</f>
        <v>7:00-14:30</v>
      </c>
      <c r="U61" s="2" t="str">
        <f>IF(IFERROR(VLOOKUP($B61,Morning_Shift!$B$4:$BJ$61,MATCH(Both_Shift_Roster!U$2,Morning_Shift!$B$2:$BJ$2,0),0),"")="",IFERROR(VLOOKUP($B61,Evening_Shift!$B$4:$BJ$62,MATCH(Both_Shift_Roster!U$2,Evening_Shift!$B$2:$BJ$2,0),0),""),IFERROR(VLOOKUP($B61,Morning_Shift!$B$4:$BJ$61,MATCH(Both_Shift_Roster!U$2,Morning_Shift!$B$2:$BJ$2,0),0),""))</f>
        <v/>
      </c>
      <c r="V61" s="2" t="str">
        <f>IF(IFERROR(VLOOKUP($B61,Morning_Shift!$B$4:$BJ$61,MATCH(Both_Shift_Roster!V$2,Morning_Shift!$B$2:$BJ$2,0),0),"")="",IFERROR(VLOOKUP($B61,Evening_Shift!$B$4:$BJ$62,MATCH(Both_Shift_Roster!V$2,Evening_Shift!$B$2:$BJ$2,0),0),""),IFERROR(VLOOKUP($B61,Morning_Shift!$B$4:$BJ$61,MATCH(Both_Shift_Roster!V$2,Morning_Shift!$B$2:$BJ$2,0),0),""))</f>
        <v>7:00-14:30</v>
      </c>
      <c r="W61" s="2" t="str">
        <f>IF(IFERROR(VLOOKUP($B61,Morning_Shift!$B$4:$BJ$61,MATCH(Both_Shift_Roster!W$2,Morning_Shift!$B$2:$BJ$2,0),0),"")="",IFERROR(VLOOKUP($B61,Evening_Shift!$B$4:$BJ$62,MATCH(Both_Shift_Roster!W$2,Evening_Shift!$B$2:$BJ$2,0),0),""),IFERROR(VLOOKUP($B61,Morning_Shift!$B$4:$BJ$61,MATCH(Both_Shift_Roster!W$2,Morning_Shift!$B$2:$BJ$2,0),0),""))</f>
        <v>7:00-14:30</v>
      </c>
      <c r="X61" s="2" t="str">
        <f>IF(IFERROR(VLOOKUP($B61,Morning_Shift!$B$4:$BJ$61,MATCH(Both_Shift_Roster!X$2,Morning_Shift!$B$2:$BJ$2,0),0),"")="",IFERROR(VLOOKUP($B61,Evening_Shift!$B$4:$BJ$62,MATCH(Both_Shift_Roster!X$2,Evening_Shift!$B$2:$BJ$2,0),0),""),IFERROR(VLOOKUP($B61,Morning_Shift!$B$4:$BJ$61,MATCH(Both_Shift_Roster!X$2,Morning_Shift!$B$2:$BJ$2,0),0),""))</f>
        <v>7:00-14:30</v>
      </c>
      <c r="Y61" s="2" t="str">
        <f>IF(IFERROR(VLOOKUP($B61,Morning_Shift!$B$4:$BJ$61,MATCH(Both_Shift_Roster!Y$2,Morning_Shift!$B$2:$BJ$2,0),0),"")="",IFERROR(VLOOKUP($B61,Evening_Shift!$B$4:$BJ$62,MATCH(Both_Shift_Roster!Y$2,Evening_Shift!$B$2:$BJ$2,0),0),""),IFERROR(VLOOKUP($B61,Morning_Shift!$B$4:$BJ$61,MATCH(Both_Shift_Roster!Y$2,Morning_Shift!$B$2:$BJ$2,0),0),""))</f>
        <v>7:00-14:30</v>
      </c>
      <c r="Z61" s="2">
        <f t="shared" si="20"/>
        <v>0</v>
      </c>
      <c r="AA61" s="2">
        <f t="shared" si="21"/>
        <v>0</v>
      </c>
      <c r="AB61" s="2">
        <f t="shared" si="22"/>
        <v>0</v>
      </c>
      <c r="AC61" s="2">
        <f t="shared" si="23"/>
        <v>0</v>
      </c>
      <c r="AD61" s="2">
        <f t="shared" si="24"/>
        <v>0</v>
      </c>
      <c r="AE61" s="2" t="str">
        <f>IF(IFERROR(VLOOKUP($B61,Morning_Shift!$B$4:$BJ$61,MATCH(Both_Shift_Roster!AE$2,Morning_Shift!$B$2:$BJ$2,0),0),"")="",IFERROR(VLOOKUP($B61,Evening_Shift!$B$4:$BJ$62,MATCH(Both_Shift_Roster!AE$2,Evening_Shift!$B$2:$BJ$2,0),0),""),IFERROR(VLOOKUP($B61,Morning_Shift!$B$4:$BJ$61,MATCH(Both_Shift_Roster!AE$2,Morning_Shift!$B$2:$BJ$2,0),0),""))</f>
        <v>7:00-14:30</v>
      </c>
      <c r="AF61" s="2" t="str">
        <f>IF(IFERROR(VLOOKUP($B61,Morning_Shift!$B$4:$BJ$61,MATCH(Both_Shift_Roster!AF$2,Morning_Shift!$B$2:$BJ$2,0),0),"")="",IFERROR(VLOOKUP($B61,Evening_Shift!$B$4:$BJ$62,MATCH(Both_Shift_Roster!AF$2,Evening_Shift!$B$2:$BJ$2,0),0),""),IFERROR(VLOOKUP($B61,Morning_Shift!$B$4:$BJ$61,MATCH(Both_Shift_Roster!AF$2,Morning_Shift!$B$2:$BJ$2,0),0),""))</f>
        <v>7:00-14:30</v>
      </c>
      <c r="AG61" s="2" t="str">
        <f>IF(IFERROR(VLOOKUP($B61,Morning_Shift!$B$4:$BJ$61,MATCH(Both_Shift_Roster!AG$2,Morning_Shift!$B$2:$BJ$2,0),0),"")="",IFERROR(VLOOKUP($B61,Evening_Shift!$B$4:$BJ$62,MATCH(Both_Shift_Roster!AG$2,Evening_Shift!$B$2:$BJ$2,0),0),""),IFERROR(VLOOKUP($B61,Morning_Shift!$B$4:$BJ$61,MATCH(Both_Shift_Roster!AG$2,Morning_Shift!$B$2:$BJ$2,0),0),""))</f>
        <v>7:00-14:30</v>
      </c>
      <c r="AH61" s="2" t="str">
        <f>IF(IFERROR(VLOOKUP($B61,Morning_Shift!$B$4:$BJ$61,MATCH(Both_Shift_Roster!AH$2,Morning_Shift!$B$2:$BJ$2,0),0),"")="",IFERROR(VLOOKUP($B61,Evening_Shift!$B$4:$BJ$62,MATCH(Both_Shift_Roster!AH$2,Evening_Shift!$B$2:$BJ$2,0),0),""),IFERROR(VLOOKUP($B61,Morning_Shift!$B$4:$BJ$61,MATCH(Both_Shift_Roster!AH$2,Morning_Shift!$B$2:$BJ$2,0),0),""))</f>
        <v>7:00-14:30</v>
      </c>
      <c r="AI61" s="2" t="str">
        <f>IF(IFERROR(VLOOKUP($B61,Morning_Shift!$B$4:$BJ$61,MATCH(Both_Shift_Roster!AI$2,Morning_Shift!$B$2:$BJ$2,0),0),"")="",IFERROR(VLOOKUP($B61,Evening_Shift!$B$4:$BJ$62,MATCH(Both_Shift_Roster!AI$2,Evening_Shift!$B$2:$BJ$2,0),0),""),IFERROR(VLOOKUP($B61,Morning_Shift!$B$4:$BJ$61,MATCH(Both_Shift_Roster!AI$2,Morning_Shift!$B$2:$BJ$2,0),0),""))</f>
        <v>7:00-14:30</v>
      </c>
      <c r="AJ61" s="2" t="str">
        <f>IF(IFERROR(VLOOKUP($B61,Morning_Shift!$B$4:$BJ$61,MATCH(Both_Shift_Roster!AJ$2,Morning_Shift!$B$2:$BJ$2,0),0),"")="",IFERROR(VLOOKUP($B61,Evening_Shift!$B$4:$BJ$62,MATCH(Both_Shift_Roster!AJ$2,Evening_Shift!$B$2:$BJ$2,0),0),""),IFERROR(VLOOKUP($B61,Morning_Shift!$B$4:$BJ$61,MATCH(Both_Shift_Roster!AJ$2,Morning_Shift!$B$2:$BJ$2,0),0),""))</f>
        <v>Agent Choice WO</v>
      </c>
      <c r="AK61" s="2" t="str">
        <f>IF(IFERROR(VLOOKUP($B61,Morning_Shift!$B$4:$BJ$61,MATCH(Both_Shift_Roster!AK$2,Morning_Shift!$B$2:$BJ$2,0),0),"")="",IFERROR(VLOOKUP($B61,Evening_Shift!$B$4:$BJ$62,MATCH(Both_Shift_Roster!AK$2,Evening_Shift!$B$2:$BJ$2,0),0),""),IFERROR(VLOOKUP($B61,Morning_Shift!$B$4:$BJ$61,MATCH(Both_Shift_Roster!AK$2,Morning_Shift!$B$2:$BJ$2,0),0),""))</f>
        <v>7:00-14:30</v>
      </c>
      <c r="AL61" s="2">
        <f t="shared" si="25"/>
        <v>1</v>
      </c>
      <c r="AM61" s="2">
        <f t="shared" si="26"/>
        <v>0</v>
      </c>
      <c r="AN61" s="2">
        <f t="shared" si="27"/>
        <v>0</v>
      </c>
      <c r="AO61" s="2">
        <f t="shared" si="28"/>
        <v>0</v>
      </c>
      <c r="AP61" s="2">
        <f t="shared" si="29"/>
        <v>0</v>
      </c>
      <c r="AQ61" s="2" t="str">
        <f>IF(IFERROR(VLOOKUP($B61,Morning_Shift!$B$4:$BJ$61,MATCH(Both_Shift_Roster!AQ$2,Morning_Shift!$B$2:$BJ$2,0),0),"")="",IFERROR(VLOOKUP($B61,Evening_Shift!$B$4:$BJ$62,MATCH(Both_Shift_Roster!AQ$2,Evening_Shift!$B$2:$BJ$2,0),0),""),IFERROR(VLOOKUP($B61,Morning_Shift!$B$4:$BJ$61,MATCH(Both_Shift_Roster!AQ$2,Morning_Shift!$B$2:$BJ$2,0),0),""))</f>
        <v>7:00-14:30</v>
      </c>
      <c r="AR61" s="2" t="str">
        <f>IF(IFERROR(VLOOKUP($B61,Morning_Shift!$B$4:$BJ$61,MATCH(Both_Shift_Roster!AR$2,Morning_Shift!$B$2:$BJ$2,0),0),"")="",IFERROR(VLOOKUP($B61,Evening_Shift!$B$4:$BJ$62,MATCH(Both_Shift_Roster!AR$2,Evening_Shift!$B$2:$BJ$2,0),0),""),IFERROR(VLOOKUP($B61,Morning_Shift!$B$4:$BJ$61,MATCH(Both_Shift_Roster!AR$2,Morning_Shift!$B$2:$BJ$2,0),0),""))</f>
        <v>7:00-14:30</v>
      </c>
      <c r="AS61" s="2" t="str">
        <f>IF(IFERROR(VLOOKUP($B61,Morning_Shift!$B$4:$BJ$61,MATCH(Both_Shift_Roster!AS$2,Morning_Shift!$B$2:$BJ$2,0),0),"")="",IFERROR(VLOOKUP($B61,Evening_Shift!$B$4:$BJ$62,MATCH(Both_Shift_Roster!AS$2,Evening_Shift!$B$2:$BJ$2,0),0),""),IFERROR(VLOOKUP($B61,Morning_Shift!$B$4:$BJ$61,MATCH(Both_Shift_Roster!AS$2,Morning_Shift!$B$2:$BJ$2,0),0),""))</f>
        <v>7:00-14:30</v>
      </c>
      <c r="AT61" s="2" t="str">
        <f>IF(IFERROR(VLOOKUP($B61,Morning_Shift!$B$4:$BJ$61,MATCH(Both_Shift_Roster!AT$2,Morning_Shift!$B$2:$BJ$2,0),0),"")="",IFERROR(VLOOKUP($B61,Evening_Shift!$B$4:$BJ$62,MATCH(Both_Shift_Roster!AT$2,Evening_Shift!$B$2:$BJ$2,0),0),""),IFERROR(VLOOKUP($B61,Morning_Shift!$B$4:$BJ$61,MATCH(Both_Shift_Roster!AT$2,Morning_Shift!$B$2:$BJ$2,0),0),""))</f>
        <v>Agent Choice WO</v>
      </c>
      <c r="AU61" s="2" t="str">
        <f>IF(IFERROR(VLOOKUP($B61,Morning_Shift!$B$4:$BJ$61,MATCH(Both_Shift_Roster!AU$2,Morning_Shift!$B$2:$BJ$2,0),0),"")="",IFERROR(VLOOKUP($B61,Evening_Shift!$B$4:$BJ$62,MATCH(Both_Shift_Roster!AU$2,Evening_Shift!$B$2:$BJ$2,0),0),""),IFERROR(VLOOKUP($B61,Morning_Shift!$B$4:$BJ$61,MATCH(Both_Shift_Roster!AU$2,Morning_Shift!$B$2:$BJ$2,0),0),""))</f>
        <v>7:00-14:30</v>
      </c>
      <c r="AV61" s="2" t="str">
        <f>IF(IFERROR(VLOOKUP($B61,Morning_Shift!$B$4:$BJ$61,MATCH(Both_Shift_Roster!AV$2,Morning_Shift!$B$2:$BJ$2,0),0),"")="",IFERROR(VLOOKUP($B61,Evening_Shift!$B$4:$BJ$62,MATCH(Both_Shift_Roster!AV$2,Evening_Shift!$B$2:$BJ$2,0),0),""),IFERROR(VLOOKUP($B61,Morning_Shift!$B$4:$BJ$61,MATCH(Both_Shift_Roster!AV$2,Morning_Shift!$B$2:$BJ$2,0),0),""))</f>
        <v>7:00-14:30</v>
      </c>
      <c r="AW61" s="2" t="str">
        <f>IF(IFERROR(VLOOKUP($B61,Morning_Shift!$B$4:$BJ$61,MATCH(Both_Shift_Roster!AW$2,Morning_Shift!$B$2:$BJ$2,0),0),"")="",IFERROR(VLOOKUP($B61,Evening_Shift!$B$4:$BJ$62,MATCH(Both_Shift_Roster!AW$2,Evening_Shift!$B$2:$BJ$2,0),0),""),IFERROR(VLOOKUP($B61,Morning_Shift!$B$4:$BJ$61,MATCH(Both_Shift_Roster!AW$2,Morning_Shift!$B$2:$BJ$2,0),0),""))</f>
        <v>7:00-14:30</v>
      </c>
      <c r="AX61" s="2">
        <f t="shared" si="30"/>
        <v>1</v>
      </c>
      <c r="AY61" s="2">
        <f t="shared" si="31"/>
        <v>0</v>
      </c>
      <c r="AZ61" s="2">
        <f t="shared" si="32"/>
        <v>0</v>
      </c>
      <c r="BA61" s="2">
        <f t="shared" si="33"/>
        <v>0</v>
      </c>
      <c r="BB61" s="2">
        <f t="shared" si="34"/>
        <v>0</v>
      </c>
      <c r="BC61" s="2" t="str">
        <f>IF(IFERROR(VLOOKUP($B61,Morning_Shift!$B$4:$BJ$61,MATCH(Both_Shift_Roster!BC$2,Morning_Shift!$B$2:$BJ$2,0),0),"")="",IFERROR(VLOOKUP($B61,Evening_Shift!$B$4:$BJ$62,MATCH(Both_Shift_Roster!BC$2,Evening_Shift!$B$2:$BJ$2,0),0),""),IFERROR(VLOOKUP($B61,Morning_Shift!$B$4:$BJ$61,MATCH(Both_Shift_Roster!BC$2,Morning_Shift!$B$2:$BJ$2,0),0),""))</f>
        <v>7:00-14:30</v>
      </c>
      <c r="BD61" s="2" t="str">
        <f>IF(IFERROR(VLOOKUP($B61,Morning_Shift!$B$4:$BJ$61,MATCH(Both_Shift_Roster!BD$2,Morning_Shift!$B$2:$BJ$2,0),0),"")="",IFERROR(VLOOKUP($B61,Evening_Shift!$B$4:$BJ$62,MATCH(Both_Shift_Roster!BD$2,Evening_Shift!$B$2:$BJ$2,0),0),""),IFERROR(VLOOKUP($B61,Morning_Shift!$B$4:$BJ$61,MATCH(Both_Shift_Roster!BD$2,Morning_Shift!$B$2:$BJ$2,0),0),""))</f>
        <v>7:00-14:30</v>
      </c>
      <c r="BE61" s="2" t="str">
        <f>IF(IFERROR(VLOOKUP($B61,Morning_Shift!$B$4:$BJ$61,MATCH(Both_Shift_Roster!BE$2,Morning_Shift!$B$2:$BJ$2,0),0),"")="",IFERROR(VLOOKUP($B61,Evening_Shift!$B$4:$BJ$59,MATCH(Both_Shift_Roster!BE$2,Evening_Shift!$B$2:$BJ$2,0),0),""),IFERROR(VLOOKUP($B61,Morning_Shift!$B$4:$BJ$61,MATCH(Both_Shift_Roster!BE$2,Morning_Shift!$B$2:$BJ$2,0),0),""))</f>
        <v>7:00-14:30</v>
      </c>
      <c r="BF61" s="2">
        <f t="shared" si="35"/>
        <v>0</v>
      </c>
      <c r="BG61" s="2">
        <f t="shared" si="36"/>
        <v>0</v>
      </c>
      <c r="BH61" s="2">
        <f t="shared" si="37"/>
        <v>0</v>
      </c>
      <c r="BI61" s="2">
        <f t="shared" si="38"/>
        <v>0</v>
      </c>
      <c r="BJ61" s="2">
        <f t="shared" si="39"/>
        <v>0</v>
      </c>
    </row>
    <row r="62" spans="1:62">
      <c r="A62" s="17">
        <f t="shared" si="40"/>
        <v>59</v>
      </c>
      <c r="B62" s="16" t="str">
        <f>Evening_Shift!$B4</f>
        <v>Dritm11</v>
      </c>
      <c r="C62" s="21" t="str">
        <f>IF(IFERROR(VLOOKUP(B62,Morning_Shift!B:C,2,0),"")="",IFERROR(VLOOKUP(B62,Evening_Shift!B:C,2,0),""),IFERROR(VLOOKUP(B62,Morning_Shift!B:C,2,0),""))</f>
        <v>Hiteshwar Sharma</v>
      </c>
      <c r="D62" s="15" t="str">
        <f>IF(IFERROR(VLOOKUP(B62,Morning_Shift!B:D,3,0),"")="",IFERROR(VLOOKUP(B62,Evening_Shift!B:D,3,0),""),IFERROR(VLOOKUP(B62,Morning_Shift!B:D,3,0),""))</f>
        <v xml:space="preserve">Sanjesh </v>
      </c>
      <c r="E62" s="4" t="str">
        <f>IF(IFERROR(VLOOKUP(B62,Morning_Shift!B:E,4,0),"")="",IFERROR(VLOOKUP(B62,Evening_Shift!B:E,4,0),""),IFERROR(VLOOKUP(B62,Morning_Shift!B:E,4,0),""))</f>
        <v>M</v>
      </c>
      <c r="F62" s="5" t="str">
        <f>IF(IFERROR(VLOOKUP(B62,Morning_Shift!B:F,5,0),"")="",IFERROR(VLOOKUP(B62,Evening_Shift!B:F,5,0),""),IFERROR(VLOOKUP(B62,Morning_Shift!B:F,5,0),""))</f>
        <v>Inbound</v>
      </c>
      <c r="G62" s="2" t="str">
        <f>IF(IFERROR(VLOOKUP($B62,Morning_Shift!$B$4:$BJ$61,MATCH(Both_Shift_Roster!G$2,Morning_Shift!$B$2:$BJ$2,0),0),"")="",IFERROR(VLOOKUP($B62,Evening_Shift!$B$4:$BJ$62,MATCH(Both_Shift_Roster!G$2,Evening_Shift!$B$2:$BJ$2,0),0),""),IFERROR(VLOOKUP($B62,Morning_Shift!$B$4:$BJ$61,MATCH(Both_Shift_Roster!G$2,Morning_Shift!$B$2:$BJ$2,0),0),""))</f>
        <v>14:30-22:00</v>
      </c>
      <c r="H62" s="2" t="str">
        <f>IF(IFERROR(VLOOKUP($B62,Morning_Shift!$B$4:$BJ$61,MATCH(Both_Shift_Roster!H$2,Morning_Shift!$B$2:$BJ$2,0),0),"")="",IFERROR(VLOOKUP($B62,Evening_Shift!$B$4:$BJ$62,MATCH(Both_Shift_Roster!H$2,Evening_Shift!$B$2:$BJ$2,0),0),""),IFERROR(VLOOKUP($B62,Morning_Shift!$B$4:$BJ$61,MATCH(Both_Shift_Roster!H$2,Morning_Shift!$B$2:$BJ$2,0),0),""))</f>
        <v>14:30-22:00</v>
      </c>
      <c r="I62" s="2" t="str">
        <f>IF(IFERROR(VLOOKUP($B62,Morning_Shift!$B$4:$BJ$61,MATCH(Both_Shift_Roster!I$2,Morning_Shift!$B$2:$BJ$2,0),0),"")="",IFERROR(VLOOKUP($B62,Evening_Shift!$B$4:$BJ$62,MATCH(Both_Shift_Roster!I$2,Evening_Shift!$B$2:$BJ$2,0),0),""),IFERROR(VLOOKUP($B62,Morning_Shift!$B$4:$BJ$61,MATCH(Both_Shift_Roster!I$2,Morning_Shift!$B$2:$BJ$2,0),0),""))</f>
        <v>14:30-22:00</v>
      </c>
      <c r="J62" s="2" t="str">
        <f>IF(IFERROR(VLOOKUP($B62,Morning_Shift!$B$4:$BJ$61,MATCH(Both_Shift_Roster!J$2,Morning_Shift!$B$2:$BJ$2,0),0),"")="",IFERROR(VLOOKUP($B62,Evening_Shift!$B$4:$BJ$62,MATCH(Both_Shift_Roster!J$2,Evening_Shift!$B$2:$BJ$2,0),0),""),IFERROR(VLOOKUP($B62,Morning_Shift!$B$4:$BJ$61,MATCH(Both_Shift_Roster!J$2,Morning_Shift!$B$2:$BJ$2,0),0),""))</f>
        <v>14:30-22:00</v>
      </c>
      <c r="K62" s="2" t="str">
        <f>IF(IFERROR(VLOOKUP($B62,Morning_Shift!$B$4:$BJ$61,MATCH(Both_Shift_Roster!K$2,Morning_Shift!$B$2:$BJ$2,0),0),"")="",IFERROR(VLOOKUP($B62,Evening_Shift!$B$4:$BJ$62,MATCH(Both_Shift_Roster!K$2,Evening_Shift!$B$2:$BJ$2,0),0),""),IFERROR(VLOOKUP($B62,Morning_Shift!$B$4:$BJ$61,MATCH(Both_Shift_Roster!K$2,Morning_Shift!$B$2:$BJ$2,0),0),""))</f>
        <v>14:30-22:00</v>
      </c>
      <c r="L62" s="2" t="str">
        <f>IF(IFERROR(VLOOKUP($B62,Morning_Shift!$B$4:$BJ$61,MATCH(Both_Shift_Roster!L$2,Morning_Shift!$B$2:$BJ$2,0),0),"")="",IFERROR(VLOOKUP($B62,Evening_Shift!$B$4:$BJ$62,MATCH(Both_Shift_Roster!L$2,Evening_Shift!$B$2:$BJ$2,0),0),""),IFERROR(VLOOKUP($B62,Morning_Shift!$B$4:$BJ$61,MATCH(Both_Shift_Roster!L$2,Morning_Shift!$B$2:$BJ$2,0),0),""))</f>
        <v>14:30-22:00</v>
      </c>
      <c r="M62" s="2" t="str">
        <f>IF(IFERROR(VLOOKUP($B62,Morning_Shift!$B$4:$BJ$61,MATCH(Both_Shift_Roster!M$2,Morning_Shift!$B$2:$BJ$2,0),0),"")="",IFERROR(VLOOKUP($B62,Evening_Shift!$B$4:$BJ$62,MATCH(Both_Shift_Roster!M$2,Evening_Shift!$B$2:$BJ$2,0),0),""),IFERROR(VLOOKUP($B62,Morning_Shift!$B$4:$BJ$61,MATCH(Both_Shift_Roster!M$2,Morning_Shift!$B$2:$BJ$2,0),0),""))</f>
        <v>14:30-22:00</v>
      </c>
      <c r="N62" s="2">
        <f t="shared" si="15"/>
        <v>0</v>
      </c>
      <c r="O62" s="2">
        <f t="shared" si="16"/>
        <v>0</v>
      </c>
      <c r="P62" s="2">
        <f t="shared" si="17"/>
        <v>0</v>
      </c>
      <c r="Q62" s="2">
        <f t="shared" si="18"/>
        <v>0</v>
      </c>
      <c r="R62" s="2">
        <f t="shared" si="19"/>
        <v>0</v>
      </c>
      <c r="S62" s="2" t="str">
        <f>IF(IFERROR(VLOOKUP($B62,Morning_Shift!$B$4:$BJ$61,MATCH(Both_Shift_Roster!S$2,Morning_Shift!$B$2:$BJ$2,0),0),"")="",IFERROR(VLOOKUP($B62,Evening_Shift!$B$4:$BJ$62,MATCH(Both_Shift_Roster!S$2,Evening_Shift!$B$2:$BJ$2,0),0),""),IFERROR(VLOOKUP($B62,Morning_Shift!$B$4:$BJ$61,MATCH(Both_Shift_Roster!S$2,Morning_Shift!$B$2:$BJ$2,0),0),""))</f>
        <v>14:30-22:00</v>
      </c>
      <c r="T62" s="2" t="str">
        <f>IF(IFERROR(VLOOKUP($B62,Morning_Shift!$B$4:$BJ$61,MATCH(Both_Shift_Roster!T$2,Morning_Shift!$B$2:$BJ$2,0),0),"")="",IFERROR(VLOOKUP($B62,Evening_Shift!$B$4:$BJ$62,MATCH(Both_Shift_Roster!T$2,Evening_Shift!$B$2:$BJ$2,0),0),""),IFERROR(VLOOKUP($B62,Morning_Shift!$B$4:$BJ$61,MATCH(Both_Shift_Roster!T$2,Morning_Shift!$B$2:$BJ$2,0),0),""))</f>
        <v>14:30-22:00</v>
      </c>
      <c r="U62" s="2" t="str">
        <f>IF(IFERROR(VLOOKUP($B62,Morning_Shift!$B$4:$BJ$61,MATCH(Both_Shift_Roster!U$2,Morning_Shift!$B$2:$BJ$2,0),0),"")="",IFERROR(VLOOKUP($B62,Evening_Shift!$B$4:$BJ$62,MATCH(Both_Shift_Roster!U$2,Evening_Shift!$B$2:$BJ$2,0),0),""),IFERROR(VLOOKUP($B62,Morning_Shift!$B$4:$BJ$61,MATCH(Both_Shift_Roster!U$2,Morning_Shift!$B$2:$BJ$2,0),0),""))</f>
        <v>14:30-22:00</v>
      </c>
      <c r="V62" s="2" t="str">
        <f>IF(IFERROR(VLOOKUP($B62,Morning_Shift!$B$4:$BJ$61,MATCH(Both_Shift_Roster!V$2,Morning_Shift!$B$2:$BJ$2,0),0),"")="",IFERROR(VLOOKUP($B62,Evening_Shift!$B$4:$BJ$62,MATCH(Both_Shift_Roster!V$2,Evening_Shift!$B$2:$BJ$2,0),0),""),IFERROR(VLOOKUP($B62,Morning_Shift!$B$4:$BJ$61,MATCH(Both_Shift_Roster!V$2,Morning_Shift!$B$2:$BJ$2,0),0),""))</f>
        <v>14:30-22:00</v>
      </c>
      <c r="W62" s="2" t="str">
        <f>IF(IFERROR(VLOOKUP($B62,Morning_Shift!$B$4:$BJ$61,MATCH(Both_Shift_Roster!W$2,Morning_Shift!$B$2:$BJ$2,0),0),"")="",IFERROR(VLOOKUP($B62,Evening_Shift!$B$4:$BJ$62,MATCH(Both_Shift_Roster!W$2,Evening_Shift!$B$2:$BJ$2,0),0),""),IFERROR(VLOOKUP($B62,Morning_Shift!$B$4:$BJ$61,MATCH(Both_Shift_Roster!W$2,Morning_Shift!$B$2:$BJ$2,0),0),""))</f>
        <v>14:30-22:00</v>
      </c>
      <c r="X62" s="2" t="str">
        <f>IF(IFERROR(VLOOKUP($B62,Morning_Shift!$B$4:$BJ$61,MATCH(Both_Shift_Roster!X$2,Morning_Shift!$B$2:$BJ$2,0),0),"")="",IFERROR(VLOOKUP($B62,Evening_Shift!$B$4:$BJ$62,MATCH(Both_Shift_Roster!X$2,Evening_Shift!$B$2:$BJ$2,0),0),""),IFERROR(VLOOKUP($B62,Morning_Shift!$B$4:$BJ$61,MATCH(Both_Shift_Roster!X$2,Morning_Shift!$B$2:$BJ$2,0),0),""))</f>
        <v>14:30-22:00</v>
      </c>
      <c r="Y62" s="2" t="str">
        <f>IF(IFERROR(VLOOKUP($B62,Morning_Shift!$B$4:$BJ$61,MATCH(Both_Shift_Roster!Y$2,Morning_Shift!$B$2:$BJ$2,0),0),"")="",IFERROR(VLOOKUP($B62,Evening_Shift!$B$4:$BJ$62,MATCH(Both_Shift_Roster!Y$2,Evening_Shift!$B$2:$BJ$2,0),0),""),IFERROR(VLOOKUP($B62,Morning_Shift!$B$4:$BJ$61,MATCH(Both_Shift_Roster!Y$2,Morning_Shift!$B$2:$BJ$2,0),0),""))</f>
        <v>14:30-22:00</v>
      </c>
      <c r="Z62" s="2">
        <f t="shared" si="20"/>
        <v>0</v>
      </c>
      <c r="AA62" s="2">
        <f t="shared" si="21"/>
        <v>0</v>
      </c>
      <c r="AB62" s="2">
        <f t="shared" si="22"/>
        <v>0</v>
      </c>
      <c r="AC62" s="2">
        <f t="shared" si="23"/>
        <v>0</v>
      </c>
      <c r="AD62" s="2">
        <f t="shared" si="24"/>
        <v>0</v>
      </c>
      <c r="AE62" s="2" t="str">
        <f>IF(IFERROR(VLOOKUP($B62,Morning_Shift!$B$4:$BJ$61,MATCH(Both_Shift_Roster!AE$2,Morning_Shift!$B$2:$BJ$2,0),0),"")="",IFERROR(VLOOKUP($B62,Evening_Shift!$B$4:$BJ$62,MATCH(Both_Shift_Roster!AE$2,Evening_Shift!$B$2:$BJ$2,0),0),""),IFERROR(VLOOKUP($B62,Morning_Shift!$B$4:$BJ$61,MATCH(Both_Shift_Roster!AE$2,Morning_Shift!$B$2:$BJ$2,0),0),""))</f>
        <v>14:30-22:00</v>
      </c>
      <c r="AF62" s="2" t="str">
        <f>IF(IFERROR(VLOOKUP($B62,Morning_Shift!$B$4:$BJ$61,MATCH(Both_Shift_Roster!AF$2,Morning_Shift!$B$2:$BJ$2,0),0),"")="",IFERROR(VLOOKUP($B62,Evening_Shift!$B$4:$BJ$62,MATCH(Both_Shift_Roster!AF$2,Evening_Shift!$B$2:$BJ$2,0),0),""),IFERROR(VLOOKUP($B62,Morning_Shift!$B$4:$BJ$61,MATCH(Both_Shift_Roster!AF$2,Morning_Shift!$B$2:$BJ$2,0),0),""))</f>
        <v>14:30-22:00</v>
      </c>
      <c r="AG62" s="2" t="str">
        <f>IF(IFERROR(VLOOKUP($B62,Morning_Shift!$B$4:$BJ$61,MATCH(Both_Shift_Roster!AG$2,Morning_Shift!$B$2:$BJ$2,0),0),"")="",IFERROR(VLOOKUP($B62,Evening_Shift!$B$4:$BJ$62,MATCH(Both_Shift_Roster!AG$2,Evening_Shift!$B$2:$BJ$2,0),0),""),IFERROR(VLOOKUP($B62,Morning_Shift!$B$4:$BJ$61,MATCH(Both_Shift_Roster!AG$2,Morning_Shift!$B$2:$BJ$2,0),0),""))</f>
        <v>14:30-22:00</v>
      </c>
      <c r="AH62" s="2" t="str">
        <f>IF(IFERROR(VLOOKUP($B62,Morning_Shift!$B$4:$BJ$61,MATCH(Both_Shift_Roster!AH$2,Morning_Shift!$B$2:$BJ$2,0),0),"")="",IFERROR(VLOOKUP($B62,Evening_Shift!$B$4:$BJ$62,MATCH(Both_Shift_Roster!AH$2,Evening_Shift!$B$2:$BJ$2,0),0),""),IFERROR(VLOOKUP($B62,Morning_Shift!$B$4:$BJ$61,MATCH(Both_Shift_Roster!AH$2,Morning_Shift!$B$2:$BJ$2,0),0),""))</f>
        <v>14:30-22:00</v>
      </c>
      <c r="AI62" s="2" t="str">
        <f>IF(IFERROR(VLOOKUP($B62,Morning_Shift!$B$4:$BJ$61,MATCH(Both_Shift_Roster!AI$2,Morning_Shift!$B$2:$BJ$2,0),0),"")="",IFERROR(VLOOKUP($B62,Evening_Shift!$B$4:$BJ$62,MATCH(Both_Shift_Roster!AI$2,Evening_Shift!$B$2:$BJ$2,0),0),""),IFERROR(VLOOKUP($B62,Morning_Shift!$B$4:$BJ$61,MATCH(Both_Shift_Roster!AI$2,Morning_Shift!$B$2:$BJ$2,0),0),""))</f>
        <v>14:30-22:00</v>
      </c>
      <c r="AJ62" s="2" t="str">
        <f>IF(IFERROR(VLOOKUP($B62,Morning_Shift!$B$4:$BJ$61,MATCH(Both_Shift_Roster!AJ$2,Morning_Shift!$B$2:$BJ$2,0),0),"")="",IFERROR(VLOOKUP($B62,Evening_Shift!$B$4:$BJ$62,MATCH(Both_Shift_Roster!AJ$2,Evening_Shift!$B$2:$BJ$2,0),0),""),IFERROR(VLOOKUP($B62,Morning_Shift!$B$4:$BJ$61,MATCH(Both_Shift_Roster!AJ$2,Morning_Shift!$B$2:$BJ$2,0),0),""))</f>
        <v>14:30-22:00</v>
      </c>
      <c r="AK62" s="2" t="str">
        <f>IF(IFERROR(VLOOKUP($B62,Morning_Shift!$B$4:$BJ$61,MATCH(Both_Shift_Roster!AK$2,Morning_Shift!$B$2:$BJ$2,0),0),"")="",IFERROR(VLOOKUP($B62,Evening_Shift!$B$4:$BJ$62,MATCH(Both_Shift_Roster!AK$2,Evening_Shift!$B$2:$BJ$2,0),0),""),IFERROR(VLOOKUP($B62,Morning_Shift!$B$4:$BJ$61,MATCH(Both_Shift_Roster!AK$2,Morning_Shift!$B$2:$BJ$2,0),0),""))</f>
        <v>14:30-22:00</v>
      </c>
      <c r="AL62" s="2">
        <f t="shared" si="25"/>
        <v>0</v>
      </c>
      <c r="AM62" s="2">
        <f t="shared" si="26"/>
        <v>0</v>
      </c>
      <c r="AN62" s="2">
        <f t="shared" si="27"/>
        <v>0</v>
      </c>
      <c r="AO62" s="2">
        <f t="shared" si="28"/>
        <v>0</v>
      </c>
      <c r="AP62" s="2">
        <f t="shared" si="29"/>
        <v>0</v>
      </c>
      <c r="AQ62" s="2" t="str">
        <f>IF(IFERROR(VLOOKUP($B62,Morning_Shift!$B$4:$BJ$61,MATCH(Both_Shift_Roster!AQ$2,Morning_Shift!$B$2:$BJ$2,0),0),"")="",IFERROR(VLOOKUP($B62,Evening_Shift!$B$4:$BJ$62,MATCH(Both_Shift_Roster!AQ$2,Evening_Shift!$B$2:$BJ$2,0),0),""),IFERROR(VLOOKUP($B62,Morning_Shift!$B$4:$BJ$61,MATCH(Both_Shift_Roster!AQ$2,Morning_Shift!$B$2:$BJ$2,0),0),""))</f>
        <v>14:30-22:00</v>
      </c>
      <c r="AR62" s="2" t="str">
        <f>IF(IFERROR(VLOOKUP($B62,Morning_Shift!$B$4:$BJ$61,MATCH(Both_Shift_Roster!AR$2,Morning_Shift!$B$2:$BJ$2,0),0),"")="",IFERROR(VLOOKUP($B62,Evening_Shift!$B$4:$BJ$62,MATCH(Both_Shift_Roster!AR$2,Evening_Shift!$B$2:$BJ$2,0),0),""),IFERROR(VLOOKUP($B62,Morning_Shift!$B$4:$BJ$61,MATCH(Both_Shift_Roster!AR$2,Morning_Shift!$B$2:$BJ$2,0),0),""))</f>
        <v>14:30-22:00</v>
      </c>
      <c r="AS62" s="2" t="str">
        <f>IF(IFERROR(VLOOKUP($B62,Morning_Shift!$B$4:$BJ$61,MATCH(Both_Shift_Roster!AS$2,Morning_Shift!$B$2:$BJ$2,0),0),"")="",IFERROR(VLOOKUP($B62,Evening_Shift!$B$4:$BJ$62,MATCH(Both_Shift_Roster!AS$2,Evening_Shift!$B$2:$BJ$2,0),0),""),IFERROR(VLOOKUP($B62,Morning_Shift!$B$4:$BJ$61,MATCH(Both_Shift_Roster!AS$2,Morning_Shift!$B$2:$BJ$2,0),0),""))</f>
        <v>14:30-22:00</v>
      </c>
      <c r="AT62" s="2" t="str">
        <f>IF(IFERROR(VLOOKUP($B62,Morning_Shift!$B$4:$BJ$61,MATCH(Both_Shift_Roster!AT$2,Morning_Shift!$B$2:$BJ$2,0),0),"")="",IFERROR(VLOOKUP($B62,Evening_Shift!$B$4:$BJ$62,MATCH(Both_Shift_Roster!AT$2,Evening_Shift!$B$2:$BJ$2,0),0),""),IFERROR(VLOOKUP($B62,Morning_Shift!$B$4:$BJ$61,MATCH(Both_Shift_Roster!AT$2,Morning_Shift!$B$2:$BJ$2,0),0),""))</f>
        <v>14:30-22:00</v>
      </c>
      <c r="AU62" s="2" t="str">
        <f>IF(IFERROR(VLOOKUP($B62,Morning_Shift!$B$4:$BJ$61,MATCH(Both_Shift_Roster!AU$2,Morning_Shift!$B$2:$BJ$2,0),0),"")="",IFERROR(VLOOKUP($B62,Evening_Shift!$B$4:$BJ$62,MATCH(Both_Shift_Roster!AU$2,Evening_Shift!$B$2:$BJ$2,0),0),""),IFERROR(VLOOKUP($B62,Morning_Shift!$B$4:$BJ$61,MATCH(Both_Shift_Roster!AU$2,Morning_Shift!$B$2:$BJ$2,0),0),""))</f>
        <v>14:30-22:00</v>
      </c>
      <c r="AV62" s="2" t="str">
        <f>IF(IFERROR(VLOOKUP($B62,Morning_Shift!$B$4:$BJ$61,MATCH(Both_Shift_Roster!AV$2,Morning_Shift!$B$2:$BJ$2,0),0),"")="",IFERROR(VLOOKUP($B62,Evening_Shift!$B$4:$BJ$62,MATCH(Both_Shift_Roster!AV$2,Evening_Shift!$B$2:$BJ$2,0),0),""),IFERROR(VLOOKUP($B62,Morning_Shift!$B$4:$BJ$61,MATCH(Both_Shift_Roster!AV$2,Morning_Shift!$B$2:$BJ$2,0),0),""))</f>
        <v>14:30-22:00</v>
      </c>
      <c r="AW62" s="2" t="str">
        <f>IF(IFERROR(VLOOKUP($B62,Morning_Shift!$B$4:$BJ$61,MATCH(Both_Shift_Roster!AW$2,Morning_Shift!$B$2:$BJ$2,0),0),"")="",IFERROR(VLOOKUP($B62,Evening_Shift!$B$4:$BJ$62,MATCH(Both_Shift_Roster!AW$2,Evening_Shift!$B$2:$BJ$2,0),0),""),IFERROR(VLOOKUP($B62,Morning_Shift!$B$4:$BJ$61,MATCH(Both_Shift_Roster!AW$2,Morning_Shift!$B$2:$BJ$2,0),0),""))</f>
        <v>Agent Choice WO</v>
      </c>
      <c r="AX62" s="2">
        <f t="shared" si="30"/>
        <v>1</v>
      </c>
      <c r="AY62" s="2">
        <f t="shared" si="31"/>
        <v>0</v>
      </c>
      <c r="AZ62" s="2">
        <f t="shared" si="32"/>
        <v>0</v>
      </c>
      <c r="BA62" s="2">
        <f t="shared" si="33"/>
        <v>0</v>
      </c>
      <c r="BB62" s="2">
        <f t="shared" si="34"/>
        <v>0</v>
      </c>
      <c r="BC62" s="2" t="str">
        <f>IF(IFERROR(VLOOKUP($B62,Morning_Shift!$B$4:$BJ$61,MATCH(Both_Shift_Roster!BC$2,Morning_Shift!$B$2:$BJ$2,0),0),"")="",IFERROR(VLOOKUP($B62,Evening_Shift!$B$4:$BJ$62,MATCH(Both_Shift_Roster!BC$2,Evening_Shift!$B$2:$BJ$2,0),0),""),IFERROR(VLOOKUP($B62,Morning_Shift!$B$4:$BJ$61,MATCH(Both_Shift_Roster!BC$2,Morning_Shift!$B$2:$BJ$2,0),0),""))</f>
        <v>Agent Choice WO</v>
      </c>
      <c r="BD62" s="2" t="str">
        <f>IF(IFERROR(VLOOKUP($B62,Morning_Shift!$B$4:$BJ$61,MATCH(Both_Shift_Roster!BD$2,Morning_Shift!$B$2:$BJ$2,0),0),"")="",IFERROR(VLOOKUP($B62,Evening_Shift!$B$4:$BJ$62,MATCH(Both_Shift_Roster!BD$2,Evening_Shift!$B$2:$BJ$2,0),0),""),IFERROR(VLOOKUP($B62,Morning_Shift!$B$4:$BJ$61,MATCH(Both_Shift_Roster!BD$2,Morning_Shift!$B$2:$BJ$2,0),0),""))</f>
        <v>Agent Choice WO</v>
      </c>
      <c r="BE62" s="2" t="str">
        <f>IF(IFERROR(VLOOKUP($B62,Morning_Shift!$B$4:$BJ$61,MATCH(Both_Shift_Roster!BE$2,Morning_Shift!$B$2:$BJ$2,0),0),"")="",IFERROR(VLOOKUP($B62,Evening_Shift!$B$4:$BJ$59,MATCH(Both_Shift_Roster!BE$2,Evening_Shift!$B$2:$BJ$2,0),0),""),IFERROR(VLOOKUP($B62,Morning_Shift!$B$4:$BJ$61,MATCH(Both_Shift_Roster!BE$2,Morning_Shift!$B$2:$BJ$2,0),0),""))</f>
        <v>14:30-22:00</v>
      </c>
      <c r="BF62" s="2">
        <f t="shared" si="35"/>
        <v>2</v>
      </c>
      <c r="BG62" s="2">
        <f t="shared" si="36"/>
        <v>0</v>
      </c>
      <c r="BH62" s="2">
        <f t="shared" si="37"/>
        <v>0</v>
      </c>
      <c r="BI62" s="2">
        <f t="shared" si="38"/>
        <v>0</v>
      </c>
      <c r="BJ62" s="2">
        <f t="shared" si="39"/>
        <v>0</v>
      </c>
    </row>
    <row r="63" spans="1:62">
      <c r="A63" s="17">
        <f t="shared" si="40"/>
        <v>60</v>
      </c>
      <c r="B63" s="16" t="str">
        <f>Evening_Shift!$B5</f>
        <v>Dritm12</v>
      </c>
      <c r="C63" s="21" t="str">
        <f>IF(IFERROR(VLOOKUP(B63,Morning_Shift!B:C,2,0),"")="",IFERROR(VLOOKUP(B63,Evening_Shift!B:C,2,0),""),IFERROR(VLOOKUP(B63,Morning_Shift!B:C,2,0),""))</f>
        <v>Labh Singh</v>
      </c>
      <c r="D63" s="15" t="str">
        <f>IF(IFERROR(VLOOKUP(B63,Morning_Shift!B:D,3,0),"")="",IFERROR(VLOOKUP(B63,Evening_Shift!B:D,3,0),""),IFERROR(VLOOKUP(B63,Morning_Shift!B:D,3,0),""))</f>
        <v xml:space="preserve">Sanjesh </v>
      </c>
      <c r="E63" s="4" t="str">
        <f>IF(IFERROR(VLOOKUP(B63,Morning_Shift!B:E,4,0),"")="",IFERROR(VLOOKUP(B63,Evening_Shift!B:E,4,0),""),IFERROR(VLOOKUP(B63,Morning_Shift!B:E,4,0),""))</f>
        <v>M</v>
      </c>
      <c r="F63" s="5" t="str">
        <f>IF(IFERROR(VLOOKUP(B63,Morning_Shift!B:F,5,0),"")="",IFERROR(VLOOKUP(B63,Evening_Shift!B:F,5,0),""),IFERROR(VLOOKUP(B63,Morning_Shift!B:F,5,0),""))</f>
        <v>Himseva manual preview</v>
      </c>
      <c r="G63" s="2" t="str">
        <f>IF(IFERROR(VLOOKUP($B63,Morning_Shift!$B$4:$BJ$61,MATCH(Both_Shift_Roster!G$2,Morning_Shift!$B$2:$BJ$2,0),0),"")="",IFERROR(VLOOKUP($B63,Evening_Shift!$B$4:$BJ$62,MATCH(Both_Shift_Roster!G$2,Evening_Shift!$B$2:$BJ$2,0),0),""),IFERROR(VLOOKUP($B63,Morning_Shift!$B$4:$BJ$61,MATCH(Both_Shift_Roster!G$2,Morning_Shift!$B$2:$BJ$2,0),0),""))</f>
        <v>14:30-22:00</v>
      </c>
      <c r="H63" s="2" t="str">
        <f>IF(IFERROR(VLOOKUP($B63,Morning_Shift!$B$4:$BJ$61,MATCH(Both_Shift_Roster!H$2,Morning_Shift!$B$2:$BJ$2,0),0),"")="",IFERROR(VLOOKUP($B63,Evening_Shift!$B$4:$BJ$62,MATCH(Both_Shift_Roster!H$2,Evening_Shift!$B$2:$BJ$2,0),0),""),IFERROR(VLOOKUP($B63,Morning_Shift!$B$4:$BJ$61,MATCH(Both_Shift_Roster!H$2,Morning_Shift!$B$2:$BJ$2,0),0),""))</f>
        <v>14:30-22:00</v>
      </c>
      <c r="I63" s="2" t="str">
        <f>IF(IFERROR(VLOOKUP($B63,Morning_Shift!$B$4:$BJ$61,MATCH(Both_Shift_Roster!I$2,Morning_Shift!$B$2:$BJ$2,0),0),"")="",IFERROR(VLOOKUP($B63,Evening_Shift!$B$4:$BJ$62,MATCH(Both_Shift_Roster!I$2,Evening_Shift!$B$2:$BJ$2,0),0),""),IFERROR(VLOOKUP($B63,Morning_Shift!$B$4:$BJ$61,MATCH(Both_Shift_Roster!I$2,Morning_Shift!$B$2:$BJ$2,0),0),""))</f>
        <v>14:30-22:00</v>
      </c>
      <c r="J63" s="2" t="str">
        <f>IF(IFERROR(VLOOKUP($B63,Morning_Shift!$B$4:$BJ$61,MATCH(Both_Shift_Roster!J$2,Morning_Shift!$B$2:$BJ$2,0),0),"")="",IFERROR(VLOOKUP($B63,Evening_Shift!$B$4:$BJ$62,MATCH(Both_Shift_Roster!J$2,Evening_Shift!$B$2:$BJ$2,0),0),""),IFERROR(VLOOKUP($B63,Morning_Shift!$B$4:$BJ$61,MATCH(Both_Shift_Roster!J$2,Morning_Shift!$B$2:$BJ$2,0),0),""))</f>
        <v>14:30-22:00</v>
      </c>
      <c r="K63" s="2" t="str">
        <f>IF(IFERROR(VLOOKUP($B63,Morning_Shift!$B$4:$BJ$61,MATCH(Both_Shift_Roster!K$2,Morning_Shift!$B$2:$BJ$2,0),0),"")="",IFERROR(VLOOKUP($B63,Evening_Shift!$B$4:$BJ$62,MATCH(Both_Shift_Roster!K$2,Evening_Shift!$B$2:$BJ$2,0),0),""),IFERROR(VLOOKUP($B63,Morning_Shift!$B$4:$BJ$61,MATCH(Both_Shift_Roster!K$2,Morning_Shift!$B$2:$BJ$2,0),0),""))</f>
        <v>14:30-22:00</v>
      </c>
      <c r="L63" s="2" t="str">
        <f>IF(IFERROR(VLOOKUP($B63,Morning_Shift!$B$4:$BJ$61,MATCH(Both_Shift_Roster!L$2,Morning_Shift!$B$2:$BJ$2,0),0),"")="",IFERROR(VLOOKUP($B63,Evening_Shift!$B$4:$BJ$62,MATCH(Both_Shift_Roster!L$2,Evening_Shift!$B$2:$BJ$2,0),0),""),IFERROR(VLOOKUP($B63,Morning_Shift!$B$4:$BJ$61,MATCH(Both_Shift_Roster!L$2,Morning_Shift!$B$2:$BJ$2,0),0),""))</f>
        <v>14:30-22:00</v>
      </c>
      <c r="M63" s="2" t="str">
        <f>IF(IFERROR(VLOOKUP($B63,Morning_Shift!$B$4:$BJ$61,MATCH(Both_Shift_Roster!M$2,Morning_Shift!$B$2:$BJ$2,0),0),"")="",IFERROR(VLOOKUP($B63,Evening_Shift!$B$4:$BJ$62,MATCH(Both_Shift_Roster!M$2,Evening_Shift!$B$2:$BJ$2,0),0),""),IFERROR(VLOOKUP($B63,Morning_Shift!$B$4:$BJ$61,MATCH(Both_Shift_Roster!M$2,Morning_Shift!$B$2:$BJ$2,0),0),""))</f>
        <v>14:30-22:00</v>
      </c>
      <c r="N63" s="2">
        <f t="shared" si="15"/>
        <v>0</v>
      </c>
      <c r="O63" s="2">
        <f t="shared" si="16"/>
        <v>0</v>
      </c>
      <c r="P63" s="2">
        <f t="shared" si="17"/>
        <v>0</v>
      </c>
      <c r="Q63" s="2">
        <f t="shared" si="18"/>
        <v>0</v>
      </c>
      <c r="R63" s="2">
        <f t="shared" si="19"/>
        <v>0</v>
      </c>
      <c r="S63" s="2" t="str">
        <f>IF(IFERROR(VLOOKUP($B63,Morning_Shift!$B$4:$BJ$61,MATCH(Both_Shift_Roster!S$2,Morning_Shift!$B$2:$BJ$2,0),0),"")="",IFERROR(VLOOKUP($B63,Evening_Shift!$B$4:$BJ$62,MATCH(Both_Shift_Roster!S$2,Evening_Shift!$B$2:$BJ$2,0),0),""),IFERROR(VLOOKUP($B63,Morning_Shift!$B$4:$BJ$61,MATCH(Both_Shift_Roster!S$2,Morning_Shift!$B$2:$BJ$2,0),0),""))</f>
        <v>14:30-22:00</v>
      </c>
      <c r="T63" s="2" t="str">
        <f>IF(IFERROR(VLOOKUP($B63,Morning_Shift!$B$4:$BJ$61,MATCH(Both_Shift_Roster!T$2,Morning_Shift!$B$2:$BJ$2,0),0),"")="",IFERROR(VLOOKUP($B63,Evening_Shift!$B$4:$BJ$62,MATCH(Both_Shift_Roster!T$2,Evening_Shift!$B$2:$BJ$2,0),0),""),IFERROR(VLOOKUP($B63,Morning_Shift!$B$4:$BJ$61,MATCH(Both_Shift_Roster!T$2,Morning_Shift!$B$2:$BJ$2,0),0),""))</f>
        <v>14:30-22:00</v>
      </c>
      <c r="U63" s="2" t="str">
        <f>IF(IFERROR(VLOOKUP($B63,Morning_Shift!$B$4:$BJ$61,MATCH(Both_Shift_Roster!U$2,Morning_Shift!$B$2:$BJ$2,0),0),"")="",IFERROR(VLOOKUP($B63,Evening_Shift!$B$4:$BJ$62,MATCH(Both_Shift_Roster!U$2,Evening_Shift!$B$2:$BJ$2,0),0),""),IFERROR(VLOOKUP($B63,Morning_Shift!$B$4:$BJ$61,MATCH(Both_Shift_Roster!U$2,Morning_Shift!$B$2:$BJ$2,0),0),""))</f>
        <v>14:30-22:00</v>
      </c>
      <c r="V63" s="2" t="str">
        <f>IF(IFERROR(VLOOKUP($B63,Morning_Shift!$B$4:$BJ$61,MATCH(Both_Shift_Roster!V$2,Morning_Shift!$B$2:$BJ$2,0),0),"")="",IFERROR(VLOOKUP($B63,Evening_Shift!$B$4:$BJ$62,MATCH(Both_Shift_Roster!V$2,Evening_Shift!$B$2:$BJ$2,0),0),""),IFERROR(VLOOKUP($B63,Morning_Shift!$B$4:$BJ$61,MATCH(Both_Shift_Roster!V$2,Morning_Shift!$B$2:$BJ$2,0),0),""))</f>
        <v>14:30-22:00</v>
      </c>
      <c r="W63" s="2" t="str">
        <f>IF(IFERROR(VLOOKUP($B63,Morning_Shift!$B$4:$BJ$61,MATCH(Both_Shift_Roster!W$2,Morning_Shift!$B$2:$BJ$2,0),0),"")="",IFERROR(VLOOKUP($B63,Evening_Shift!$B$4:$BJ$62,MATCH(Both_Shift_Roster!W$2,Evening_Shift!$B$2:$BJ$2,0),0),""),IFERROR(VLOOKUP($B63,Morning_Shift!$B$4:$BJ$61,MATCH(Both_Shift_Roster!W$2,Morning_Shift!$B$2:$BJ$2,0),0),""))</f>
        <v>14:30-22:00</v>
      </c>
      <c r="X63" s="2" t="str">
        <f>IF(IFERROR(VLOOKUP($B63,Morning_Shift!$B$4:$BJ$61,MATCH(Both_Shift_Roster!X$2,Morning_Shift!$B$2:$BJ$2,0),0),"")="",IFERROR(VLOOKUP($B63,Evening_Shift!$B$4:$BJ$62,MATCH(Both_Shift_Roster!X$2,Evening_Shift!$B$2:$BJ$2,0),0),""),IFERROR(VLOOKUP($B63,Morning_Shift!$B$4:$BJ$61,MATCH(Both_Shift_Roster!X$2,Morning_Shift!$B$2:$BJ$2,0),0),""))</f>
        <v>14:30-22:00</v>
      </c>
      <c r="Y63" s="2" t="str">
        <f>IF(IFERROR(VLOOKUP($B63,Morning_Shift!$B$4:$BJ$61,MATCH(Both_Shift_Roster!Y$2,Morning_Shift!$B$2:$BJ$2,0),0),"")="",IFERROR(VLOOKUP($B63,Evening_Shift!$B$4:$BJ$62,MATCH(Both_Shift_Roster!Y$2,Evening_Shift!$B$2:$BJ$2,0),0),""),IFERROR(VLOOKUP($B63,Morning_Shift!$B$4:$BJ$61,MATCH(Both_Shift_Roster!Y$2,Morning_Shift!$B$2:$BJ$2,0),0),""))</f>
        <v>14:30-22:00</v>
      </c>
      <c r="Z63" s="2">
        <f t="shared" si="20"/>
        <v>0</v>
      </c>
      <c r="AA63" s="2">
        <f t="shared" si="21"/>
        <v>0</v>
      </c>
      <c r="AB63" s="2">
        <f t="shared" si="22"/>
        <v>0</v>
      </c>
      <c r="AC63" s="2">
        <f t="shared" si="23"/>
        <v>0</v>
      </c>
      <c r="AD63" s="2">
        <f t="shared" si="24"/>
        <v>0</v>
      </c>
      <c r="AE63" s="2" t="str">
        <f>IF(IFERROR(VLOOKUP($B63,Morning_Shift!$B$4:$BJ$61,MATCH(Both_Shift_Roster!AE$2,Morning_Shift!$B$2:$BJ$2,0),0),"")="",IFERROR(VLOOKUP($B63,Evening_Shift!$B$4:$BJ$62,MATCH(Both_Shift_Roster!AE$2,Evening_Shift!$B$2:$BJ$2,0),0),""),IFERROR(VLOOKUP($B63,Morning_Shift!$B$4:$BJ$61,MATCH(Both_Shift_Roster!AE$2,Morning_Shift!$B$2:$BJ$2,0),0),""))</f>
        <v>14:30-22:00</v>
      </c>
      <c r="AF63" s="2" t="str">
        <f>IF(IFERROR(VLOOKUP($B63,Morning_Shift!$B$4:$BJ$61,MATCH(Both_Shift_Roster!AF$2,Morning_Shift!$B$2:$BJ$2,0),0),"")="",IFERROR(VLOOKUP($B63,Evening_Shift!$B$4:$BJ$62,MATCH(Both_Shift_Roster!AF$2,Evening_Shift!$B$2:$BJ$2,0),0),""),IFERROR(VLOOKUP($B63,Morning_Shift!$B$4:$BJ$61,MATCH(Both_Shift_Roster!AF$2,Morning_Shift!$B$2:$BJ$2,0),0),""))</f>
        <v>14:30-22:00</v>
      </c>
      <c r="AG63" s="2" t="str">
        <f>IF(IFERROR(VLOOKUP($B63,Morning_Shift!$B$4:$BJ$61,MATCH(Both_Shift_Roster!AG$2,Morning_Shift!$B$2:$BJ$2,0),0),"")="",IFERROR(VLOOKUP($B63,Evening_Shift!$B$4:$BJ$62,MATCH(Both_Shift_Roster!AG$2,Evening_Shift!$B$2:$BJ$2,0),0),""),IFERROR(VLOOKUP($B63,Morning_Shift!$B$4:$BJ$61,MATCH(Both_Shift_Roster!AG$2,Morning_Shift!$B$2:$BJ$2,0),0),""))</f>
        <v>14:30-22:00</v>
      </c>
      <c r="AH63" s="2" t="str">
        <f>IF(IFERROR(VLOOKUP($B63,Morning_Shift!$B$4:$BJ$61,MATCH(Both_Shift_Roster!AH$2,Morning_Shift!$B$2:$BJ$2,0),0),"")="",IFERROR(VLOOKUP($B63,Evening_Shift!$B$4:$BJ$62,MATCH(Both_Shift_Roster!AH$2,Evening_Shift!$B$2:$BJ$2,0),0),""),IFERROR(VLOOKUP($B63,Morning_Shift!$B$4:$BJ$61,MATCH(Both_Shift_Roster!AH$2,Morning_Shift!$B$2:$BJ$2,0),0),""))</f>
        <v>14:30-22:00</v>
      </c>
      <c r="AI63" s="2" t="str">
        <f>IF(IFERROR(VLOOKUP($B63,Morning_Shift!$B$4:$BJ$61,MATCH(Both_Shift_Roster!AI$2,Morning_Shift!$B$2:$BJ$2,0),0),"")="",IFERROR(VLOOKUP($B63,Evening_Shift!$B$4:$BJ$62,MATCH(Both_Shift_Roster!AI$2,Evening_Shift!$B$2:$BJ$2,0),0),""),IFERROR(VLOOKUP($B63,Morning_Shift!$B$4:$BJ$61,MATCH(Both_Shift_Roster!AI$2,Morning_Shift!$B$2:$BJ$2,0),0),""))</f>
        <v>14:30-22:00</v>
      </c>
      <c r="AJ63" s="2" t="str">
        <f>IF(IFERROR(VLOOKUP($B63,Morning_Shift!$B$4:$BJ$61,MATCH(Both_Shift_Roster!AJ$2,Morning_Shift!$B$2:$BJ$2,0),0),"")="",IFERROR(VLOOKUP($B63,Evening_Shift!$B$4:$BJ$62,MATCH(Both_Shift_Roster!AJ$2,Evening_Shift!$B$2:$BJ$2,0),0),""),IFERROR(VLOOKUP($B63,Morning_Shift!$B$4:$BJ$61,MATCH(Both_Shift_Roster!AJ$2,Morning_Shift!$B$2:$BJ$2,0),0),""))</f>
        <v>14:30-22:00</v>
      </c>
      <c r="AK63" s="2" t="str">
        <f>IF(IFERROR(VLOOKUP($B63,Morning_Shift!$B$4:$BJ$61,MATCH(Both_Shift_Roster!AK$2,Morning_Shift!$B$2:$BJ$2,0),0),"")="",IFERROR(VLOOKUP($B63,Evening_Shift!$B$4:$BJ$62,MATCH(Both_Shift_Roster!AK$2,Evening_Shift!$B$2:$BJ$2,0),0),""),IFERROR(VLOOKUP($B63,Morning_Shift!$B$4:$BJ$61,MATCH(Both_Shift_Roster!AK$2,Morning_Shift!$B$2:$BJ$2,0),0),""))</f>
        <v>14:30-22:00</v>
      </c>
      <c r="AL63" s="2">
        <f t="shared" si="25"/>
        <v>0</v>
      </c>
      <c r="AM63" s="2">
        <f t="shared" si="26"/>
        <v>0</v>
      </c>
      <c r="AN63" s="2">
        <f t="shared" si="27"/>
        <v>0</v>
      </c>
      <c r="AO63" s="2">
        <f t="shared" si="28"/>
        <v>0</v>
      </c>
      <c r="AP63" s="2">
        <f t="shared" si="29"/>
        <v>0</v>
      </c>
      <c r="AQ63" s="2" t="str">
        <f>IF(IFERROR(VLOOKUP($B63,Morning_Shift!$B$4:$BJ$61,MATCH(Both_Shift_Roster!AQ$2,Morning_Shift!$B$2:$BJ$2,0),0),"")="",IFERROR(VLOOKUP($B63,Evening_Shift!$B$4:$BJ$62,MATCH(Both_Shift_Roster!AQ$2,Evening_Shift!$B$2:$BJ$2,0),0),""),IFERROR(VLOOKUP($B63,Morning_Shift!$B$4:$BJ$61,MATCH(Both_Shift_Roster!AQ$2,Morning_Shift!$B$2:$BJ$2,0),0),""))</f>
        <v>14:30-22:00</v>
      </c>
      <c r="AR63" s="2" t="str">
        <f>IF(IFERROR(VLOOKUP($B63,Morning_Shift!$B$4:$BJ$61,MATCH(Both_Shift_Roster!AR$2,Morning_Shift!$B$2:$BJ$2,0),0),"")="",IFERROR(VLOOKUP($B63,Evening_Shift!$B$4:$BJ$62,MATCH(Both_Shift_Roster!AR$2,Evening_Shift!$B$2:$BJ$2,0),0),""),IFERROR(VLOOKUP($B63,Morning_Shift!$B$4:$BJ$61,MATCH(Both_Shift_Roster!AR$2,Morning_Shift!$B$2:$BJ$2,0),0),""))</f>
        <v>Agent Choice WO</v>
      </c>
      <c r="AS63" s="2" t="str">
        <f>IF(IFERROR(VLOOKUP($B63,Morning_Shift!$B$4:$BJ$61,MATCH(Both_Shift_Roster!AS$2,Morning_Shift!$B$2:$BJ$2,0),0),"")="",IFERROR(VLOOKUP($B63,Evening_Shift!$B$4:$BJ$62,MATCH(Both_Shift_Roster!AS$2,Evening_Shift!$B$2:$BJ$2,0),0),""),IFERROR(VLOOKUP($B63,Morning_Shift!$B$4:$BJ$61,MATCH(Both_Shift_Roster!AS$2,Morning_Shift!$B$2:$BJ$2,0),0),""))</f>
        <v>Agent Choice WO</v>
      </c>
      <c r="AT63" s="2" t="str">
        <f>IF(IFERROR(VLOOKUP($B63,Morning_Shift!$B$4:$BJ$61,MATCH(Both_Shift_Roster!AT$2,Morning_Shift!$B$2:$BJ$2,0),0),"")="",IFERROR(VLOOKUP($B63,Evening_Shift!$B$4:$BJ$62,MATCH(Both_Shift_Roster!AT$2,Evening_Shift!$B$2:$BJ$2,0),0),""),IFERROR(VLOOKUP($B63,Morning_Shift!$B$4:$BJ$61,MATCH(Both_Shift_Roster!AT$2,Morning_Shift!$B$2:$BJ$2,0),0),""))</f>
        <v>Agent Choice WO</v>
      </c>
      <c r="AU63" s="2" t="str">
        <f>IF(IFERROR(VLOOKUP($B63,Morning_Shift!$B$4:$BJ$61,MATCH(Both_Shift_Roster!AU$2,Morning_Shift!$B$2:$BJ$2,0),0),"")="",IFERROR(VLOOKUP($B63,Evening_Shift!$B$4:$BJ$62,MATCH(Both_Shift_Roster!AU$2,Evening_Shift!$B$2:$BJ$2,0),0),""),IFERROR(VLOOKUP($B63,Morning_Shift!$B$4:$BJ$61,MATCH(Both_Shift_Roster!AU$2,Morning_Shift!$B$2:$BJ$2,0),0),""))</f>
        <v>14:30-22:00</v>
      </c>
      <c r="AV63" s="2" t="str">
        <f>IF(IFERROR(VLOOKUP($B63,Morning_Shift!$B$4:$BJ$61,MATCH(Both_Shift_Roster!AV$2,Morning_Shift!$B$2:$BJ$2,0),0),"")="",IFERROR(VLOOKUP($B63,Evening_Shift!$B$4:$BJ$62,MATCH(Both_Shift_Roster!AV$2,Evening_Shift!$B$2:$BJ$2,0),0),""),IFERROR(VLOOKUP($B63,Morning_Shift!$B$4:$BJ$61,MATCH(Both_Shift_Roster!AV$2,Morning_Shift!$B$2:$BJ$2,0),0),""))</f>
        <v>14:30-22:00</v>
      </c>
      <c r="AW63" s="2" t="str">
        <f>IF(IFERROR(VLOOKUP($B63,Morning_Shift!$B$4:$BJ$61,MATCH(Both_Shift_Roster!AW$2,Morning_Shift!$B$2:$BJ$2,0),0),"")="",IFERROR(VLOOKUP($B63,Evening_Shift!$B$4:$BJ$62,MATCH(Both_Shift_Roster!AW$2,Evening_Shift!$B$2:$BJ$2,0),0),""),IFERROR(VLOOKUP($B63,Morning_Shift!$B$4:$BJ$61,MATCH(Both_Shift_Roster!AW$2,Morning_Shift!$B$2:$BJ$2,0),0),""))</f>
        <v>Agent Choice WO</v>
      </c>
      <c r="AX63" s="2">
        <f t="shared" si="30"/>
        <v>4</v>
      </c>
      <c r="AY63" s="2">
        <f t="shared" si="31"/>
        <v>0</v>
      </c>
      <c r="AZ63" s="2">
        <f t="shared" si="32"/>
        <v>0</v>
      </c>
      <c r="BA63" s="2">
        <f t="shared" si="33"/>
        <v>0</v>
      </c>
      <c r="BB63" s="2">
        <f t="shared" si="34"/>
        <v>0</v>
      </c>
      <c r="BC63" s="2" t="str">
        <f>IF(IFERROR(VLOOKUP($B63,Morning_Shift!$B$4:$BJ$61,MATCH(Both_Shift_Roster!BC$2,Morning_Shift!$B$2:$BJ$2,0),0),"")="",IFERROR(VLOOKUP($B63,Evening_Shift!$B$4:$BJ$62,MATCH(Both_Shift_Roster!BC$2,Evening_Shift!$B$2:$BJ$2,0),0),""),IFERROR(VLOOKUP($B63,Morning_Shift!$B$4:$BJ$61,MATCH(Both_Shift_Roster!BC$2,Morning_Shift!$B$2:$BJ$2,0),0),""))</f>
        <v>14:30-22:00</v>
      </c>
      <c r="BD63" s="2" t="str">
        <f>IF(IFERROR(VLOOKUP($B63,Morning_Shift!$B$4:$BJ$61,MATCH(Both_Shift_Roster!BD$2,Morning_Shift!$B$2:$BJ$2,0),0),"")="",IFERROR(VLOOKUP($B63,Evening_Shift!$B$4:$BJ$62,MATCH(Both_Shift_Roster!BD$2,Evening_Shift!$B$2:$BJ$2,0),0),""),IFERROR(VLOOKUP($B63,Morning_Shift!$B$4:$BJ$61,MATCH(Both_Shift_Roster!BD$2,Morning_Shift!$B$2:$BJ$2,0),0),""))</f>
        <v>14:30-22:00</v>
      </c>
      <c r="BE63" s="2" t="str">
        <f>IF(IFERROR(VLOOKUP($B63,Morning_Shift!$B$4:$BJ$61,MATCH(Both_Shift_Roster!BE$2,Morning_Shift!$B$2:$BJ$2,0),0),"")="",IFERROR(VLOOKUP($B63,Evening_Shift!$B$4:$BJ$59,MATCH(Both_Shift_Roster!BE$2,Evening_Shift!$B$2:$BJ$2,0),0),""),IFERROR(VLOOKUP($B63,Morning_Shift!$B$4:$BJ$61,MATCH(Both_Shift_Roster!BE$2,Morning_Shift!$B$2:$BJ$2,0),0),""))</f>
        <v>14:30-22:00</v>
      </c>
      <c r="BF63" s="2">
        <f t="shared" si="35"/>
        <v>0</v>
      </c>
      <c r="BG63" s="2">
        <f t="shared" si="36"/>
        <v>0</v>
      </c>
      <c r="BH63" s="2">
        <f t="shared" si="37"/>
        <v>0</v>
      </c>
      <c r="BI63" s="2">
        <f t="shared" si="38"/>
        <v>0</v>
      </c>
      <c r="BJ63" s="2">
        <f t="shared" si="39"/>
        <v>0</v>
      </c>
    </row>
    <row r="64" spans="1:62">
      <c r="A64" s="17">
        <f t="shared" si="40"/>
        <v>61</v>
      </c>
      <c r="B64" s="16" t="str">
        <f>Evening_Shift!$B6</f>
        <v>Dritm21</v>
      </c>
      <c r="C64" s="21" t="str">
        <f>IF(IFERROR(VLOOKUP(B64,Morning_Shift!B:C,2,0),"")="",IFERROR(VLOOKUP(B64,Evening_Shift!B:C,2,0),""),IFERROR(VLOOKUP(B64,Morning_Shift!B:C,2,0),""))</f>
        <v>Vishal Thakur</v>
      </c>
      <c r="D64" s="15" t="str">
        <f>IF(IFERROR(VLOOKUP(B64,Morning_Shift!B:D,3,0),"")="",IFERROR(VLOOKUP(B64,Evening_Shift!B:D,3,0),""),IFERROR(VLOOKUP(B64,Morning_Shift!B:D,3,0),""))</f>
        <v xml:space="preserve">Sanjesh </v>
      </c>
      <c r="E64" s="4" t="str">
        <f>IF(IFERROR(VLOOKUP(B64,Morning_Shift!B:E,4,0),"")="",IFERROR(VLOOKUP(B64,Evening_Shift!B:E,4,0),""),IFERROR(VLOOKUP(B64,Morning_Shift!B:E,4,0),""))</f>
        <v>M</v>
      </c>
      <c r="F64" s="5" t="str">
        <f>IF(IFERROR(VLOOKUP(B64,Morning_Shift!B:F,5,0),"")="",IFERROR(VLOOKUP(B64,Evening_Shift!B:F,5,0),""),IFERROR(VLOOKUP(B64,Morning_Shift!B:F,5,0),""))</f>
        <v>Himseva manual preview</v>
      </c>
      <c r="G64" s="2" t="str">
        <f>IF(IFERROR(VLOOKUP($B64,Morning_Shift!$B$4:$BJ$61,MATCH(Both_Shift_Roster!G$2,Morning_Shift!$B$2:$BJ$2,0),0),"")="",IFERROR(VLOOKUP($B64,Evening_Shift!$B$4:$BJ$62,MATCH(Both_Shift_Roster!G$2,Evening_Shift!$B$2:$BJ$2,0),0),""),IFERROR(VLOOKUP($B64,Morning_Shift!$B$4:$BJ$61,MATCH(Both_Shift_Roster!G$2,Morning_Shift!$B$2:$BJ$2,0),0),""))</f>
        <v>14:30-22:00</v>
      </c>
      <c r="H64" s="2" t="str">
        <f>IF(IFERROR(VLOOKUP($B64,Morning_Shift!$B$4:$BJ$61,MATCH(Both_Shift_Roster!H$2,Morning_Shift!$B$2:$BJ$2,0),0),"")="",IFERROR(VLOOKUP($B64,Evening_Shift!$B$4:$BJ$62,MATCH(Both_Shift_Roster!H$2,Evening_Shift!$B$2:$BJ$2,0),0),""),IFERROR(VLOOKUP($B64,Morning_Shift!$B$4:$BJ$61,MATCH(Both_Shift_Roster!H$2,Morning_Shift!$B$2:$BJ$2,0),0),""))</f>
        <v>Agent Choice WO</v>
      </c>
      <c r="I64" s="2" t="str">
        <f>IF(IFERROR(VLOOKUP($B64,Morning_Shift!$B$4:$BJ$61,MATCH(Both_Shift_Roster!I$2,Morning_Shift!$B$2:$BJ$2,0),0),"")="",IFERROR(VLOOKUP($B64,Evening_Shift!$B$4:$BJ$62,MATCH(Both_Shift_Roster!I$2,Evening_Shift!$B$2:$BJ$2,0),0),""),IFERROR(VLOOKUP($B64,Morning_Shift!$B$4:$BJ$61,MATCH(Both_Shift_Roster!I$2,Morning_Shift!$B$2:$BJ$2,0),0),""))</f>
        <v>14:30-22:00</v>
      </c>
      <c r="J64" s="2" t="str">
        <f>IF(IFERROR(VLOOKUP($B64,Morning_Shift!$B$4:$BJ$61,MATCH(Both_Shift_Roster!J$2,Morning_Shift!$B$2:$BJ$2,0),0),"")="",IFERROR(VLOOKUP($B64,Evening_Shift!$B$4:$BJ$62,MATCH(Both_Shift_Roster!J$2,Evening_Shift!$B$2:$BJ$2,0),0),""),IFERROR(VLOOKUP($B64,Morning_Shift!$B$4:$BJ$61,MATCH(Both_Shift_Roster!J$2,Morning_Shift!$B$2:$BJ$2,0),0),""))</f>
        <v>14:30-22:00</v>
      </c>
      <c r="K64" s="2" t="str">
        <f>IF(IFERROR(VLOOKUP($B64,Morning_Shift!$B$4:$BJ$61,MATCH(Both_Shift_Roster!K$2,Morning_Shift!$B$2:$BJ$2,0),0),"")="",IFERROR(VLOOKUP($B64,Evening_Shift!$B$4:$BJ$62,MATCH(Both_Shift_Roster!K$2,Evening_Shift!$B$2:$BJ$2,0),0),""),IFERROR(VLOOKUP($B64,Morning_Shift!$B$4:$BJ$61,MATCH(Both_Shift_Roster!K$2,Morning_Shift!$B$2:$BJ$2,0),0),""))</f>
        <v>14:30-22:00</v>
      </c>
      <c r="L64" s="2" t="str">
        <f>IF(IFERROR(VLOOKUP($B64,Morning_Shift!$B$4:$BJ$61,MATCH(Both_Shift_Roster!L$2,Morning_Shift!$B$2:$BJ$2,0),0),"")="",IFERROR(VLOOKUP($B64,Evening_Shift!$B$4:$BJ$62,MATCH(Both_Shift_Roster!L$2,Evening_Shift!$B$2:$BJ$2,0),0),""),IFERROR(VLOOKUP($B64,Morning_Shift!$B$4:$BJ$61,MATCH(Both_Shift_Roster!L$2,Morning_Shift!$B$2:$BJ$2,0),0),""))</f>
        <v>14:30-22:00</v>
      </c>
      <c r="M64" s="2" t="str">
        <f>IF(IFERROR(VLOOKUP($B64,Morning_Shift!$B$4:$BJ$61,MATCH(Both_Shift_Roster!M$2,Morning_Shift!$B$2:$BJ$2,0),0),"")="",IFERROR(VLOOKUP($B64,Evening_Shift!$B$4:$BJ$62,MATCH(Both_Shift_Roster!M$2,Evening_Shift!$B$2:$BJ$2,0),0),""),IFERROR(VLOOKUP($B64,Morning_Shift!$B$4:$BJ$61,MATCH(Both_Shift_Roster!M$2,Morning_Shift!$B$2:$BJ$2,0),0),""))</f>
        <v>14:30-22:00</v>
      </c>
      <c r="N64" s="2">
        <f t="shared" si="15"/>
        <v>1</v>
      </c>
      <c r="O64" s="2">
        <f t="shared" si="16"/>
        <v>0</v>
      </c>
      <c r="P64" s="2">
        <f t="shared" si="17"/>
        <v>0</v>
      </c>
      <c r="Q64" s="2">
        <f t="shared" si="18"/>
        <v>0</v>
      </c>
      <c r="R64" s="2">
        <f t="shared" si="19"/>
        <v>0</v>
      </c>
      <c r="S64" s="2" t="str">
        <f>IF(IFERROR(VLOOKUP($B64,Morning_Shift!$B$4:$BJ$61,MATCH(Both_Shift_Roster!S$2,Morning_Shift!$B$2:$BJ$2,0),0),"")="",IFERROR(VLOOKUP($B64,Evening_Shift!$B$4:$BJ$62,MATCH(Both_Shift_Roster!S$2,Evening_Shift!$B$2:$BJ$2,0),0),""),IFERROR(VLOOKUP($B64,Morning_Shift!$B$4:$BJ$61,MATCH(Both_Shift_Roster!S$2,Morning_Shift!$B$2:$BJ$2,0),0),""))</f>
        <v>14:30-22:00</v>
      </c>
      <c r="T64" s="2" t="str">
        <f>IF(IFERROR(VLOOKUP($B64,Morning_Shift!$B$4:$BJ$61,MATCH(Both_Shift_Roster!T$2,Morning_Shift!$B$2:$BJ$2,0),0),"")="",IFERROR(VLOOKUP($B64,Evening_Shift!$B$4:$BJ$62,MATCH(Both_Shift_Roster!T$2,Evening_Shift!$B$2:$BJ$2,0),0),""),IFERROR(VLOOKUP($B64,Morning_Shift!$B$4:$BJ$61,MATCH(Both_Shift_Roster!T$2,Morning_Shift!$B$2:$BJ$2,0),0),""))</f>
        <v>Agent Choice WO</v>
      </c>
      <c r="U64" s="2" t="str">
        <f>IF(IFERROR(VLOOKUP($B64,Morning_Shift!$B$4:$BJ$61,MATCH(Both_Shift_Roster!U$2,Morning_Shift!$B$2:$BJ$2,0),0),"")="",IFERROR(VLOOKUP($B64,Evening_Shift!$B$4:$BJ$62,MATCH(Both_Shift_Roster!U$2,Evening_Shift!$B$2:$BJ$2,0),0),""),IFERROR(VLOOKUP($B64,Morning_Shift!$B$4:$BJ$61,MATCH(Both_Shift_Roster!U$2,Morning_Shift!$B$2:$BJ$2,0),0),""))</f>
        <v>14:30-22:00</v>
      </c>
      <c r="V64" s="2" t="str">
        <f>IF(IFERROR(VLOOKUP($B64,Morning_Shift!$B$4:$BJ$61,MATCH(Both_Shift_Roster!V$2,Morning_Shift!$B$2:$BJ$2,0),0),"")="",IFERROR(VLOOKUP($B64,Evening_Shift!$B$4:$BJ$62,MATCH(Both_Shift_Roster!V$2,Evening_Shift!$B$2:$BJ$2,0),0),""),IFERROR(VLOOKUP($B64,Morning_Shift!$B$4:$BJ$61,MATCH(Both_Shift_Roster!V$2,Morning_Shift!$B$2:$BJ$2,0),0),""))</f>
        <v>14:30-22:00</v>
      </c>
      <c r="W64" s="2" t="str">
        <f>IF(IFERROR(VLOOKUP($B64,Morning_Shift!$B$4:$BJ$61,MATCH(Both_Shift_Roster!W$2,Morning_Shift!$B$2:$BJ$2,0),0),"")="",IFERROR(VLOOKUP($B64,Evening_Shift!$B$4:$BJ$62,MATCH(Both_Shift_Roster!W$2,Evening_Shift!$B$2:$BJ$2,0),0),""),IFERROR(VLOOKUP($B64,Morning_Shift!$B$4:$BJ$61,MATCH(Both_Shift_Roster!W$2,Morning_Shift!$B$2:$BJ$2,0),0),""))</f>
        <v>14:30-22:00</v>
      </c>
      <c r="X64" s="2" t="str">
        <f>IF(IFERROR(VLOOKUP($B64,Morning_Shift!$B$4:$BJ$61,MATCH(Both_Shift_Roster!X$2,Morning_Shift!$B$2:$BJ$2,0),0),"")="",IFERROR(VLOOKUP($B64,Evening_Shift!$B$4:$BJ$62,MATCH(Both_Shift_Roster!X$2,Evening_Shift!$B$2:$BJ$2,0),0),""),IFERROR(VLOOKUP($B64,Morning_Shift!$B$4:$BJ$61,MATCH(Both_Shift_Roster!X$2,Morning_Shift!$B$2:$BJ$2,0),0),""))</f>
        <v>14:30-22:00</v>
      </c>
      <c r="Y64" s="2" t="str">
        <f>IF(IFERROR(VLOOKUP($B64,Morning_Shift!$B$4:$BJ$61,MATCH(Both_Shift_Roster!Y$2,Morning_Shift!$B$2:$BJ$2,0),0),"")="",IFERROR(VLOOKUP($B64,Evening_Shift!$B$4:$BJ$62,MATCH(Both_Shift_Roster!Y$2,Evening_Shift!$B$2:$BJ$2,0),0),""),IFERROR(VLOOKUP($B64,Morning_Shift!$B$4:$BJ$61,MATCH(Both_Shift_Roster!Y$2,Morning_Shift!$B$2:$BJ$2,0),0),""))</f>
        <v>14:30-22:00</v>
      </c>
      <c r="Z64" s="2">
        <f t="shared" si="20"/>
        <v>1</v>
      </c>
      <c r="AA64" s="2">
        <f t="shared" si="21"/>
        <v>0</v>
      </c>
      <c r="AB64" s="2">
        <f t="shared" si="22"/>
        <v>0</v>
      </c>
      <c r="AC64" s="2">
        <f t="shared" si="23"/>
        <v>0</v>
      </c>
      <c r="AD64" s="2">
        <f t="shared" si="24"/>
        <v>0</v>
      </c>
      <c r="AE64" s="2" t="str">
        <f>IF(IFERROR(VLOOKUP($B64,Morning_Shift!$B$4:$BJ$61,MATCH(Both_Shift_Roster!AE$2,Morning_Shift!$B$2:$BJ$2,0),0),"")="",IFERROR(VLOOKUP($B64,Evening_Shift!$B$4:$BJ$62,MATCH(Both_Shift_Roster!AE$2,Evening_Shift!$B$2:$BJ$2,0),0),""),IFERROR(VLOOKUP($B64,Morning_Shift!$B$4:$BJ$61,MATCH(Both_Shift_Roster!AE$2,Morning_Shift!$B$2:$BJ$2,0),0),""))</f>
        <v>14:30-22:00</v>
      </c>
      <c r="AF64" s="2" t="str">
        <f>IF(IFERROR(VLOOKUP($B64,Morning_Shift!$B$4:$BJ$61,MATCH(Both_Shift_Roster!AF$2,Morning_Shift!$B$2:$BJ$2,0),0),"")="",IFERROR(VLOOKUP($B64,Evening_Shift!$B$4:$BJ$62,MATCH(Both_Shift_Roster!AF$2,Evening_Shift!$B$2:$BJ$2,0),0),""),IFERROR(VLOOKUP($B64,Morning_Shift!$B$4:$BJ$61,MATCH(Both_Shift_Roster!AF$2,Morning_Shift!$B$2:$BJ$2,0),0),""))</f>
        <v>14:30-22:00</v>
      </c>
      <c r="AG64" s="2" t="str">
        <f>IF(IFERROR(VLOOKUP($B64,Morning_Shift!$B$4:$BJ$61,MATCH(Both_Shift_Roster!AG$2,Morning_Shift!$B$2:$BJ$2,0),0),"")="",IFERROR(VLOOKUP($B64,Evening_Shift!$B$4:$BJ$62,MATCH(Both_Shift_Roster!AG$2,Evening_Shift!$B$2:$BJ$2,0),0),""),IFERROR(VLOOKUP($B64,Morning_Shift!$B$4:$BJ$61,MATCH(Both_Shift_Roster!AG$2,Morning_Shift!$B$2:$BJ$2,0),0),""))</f>
        <v>Agent Choice WO</v>
      </c>
      <c r="AH64" s="2" t="str">
        <f>IF(IFERROR(VLOOKUP($B64,Morning_Shift!$B$4:$BJ$61,MATCH(Both_Shift_Roster!AH$2,Morning_Shift!$B$2:$BJ$2,0),0),"")="",IFERROR(VLOOKUP($B64,Evening_Shift!$B$4:$BJ$62,MATCH(Both_Shift_Roster!AH$2,Evening_Shift!$B$2:$BJ$2,0),0),""),IFERROR(VLOOKUP($B64,Morning_Shift!$B$4:$BJ$61,MATCH(Both_Shift_Roster!AH$2,Morning_Shift!$B$2:$BJ$2,0),0),""))</f>
        <v>14:30-22:00</v>
      </c>
      <c r="AI64" s="2" t="str">
        <f>IF(IFERROR(VLOOKUP($B64,Morning_Shift!$B$4:$BJ$61,MATCH(Both_Shift_Roster!AI$2,Morning_Shift!$B$2:$BJ$2,0),0),"")="",IFERROR(VLOOKUP($B64,Evening_Shift!$B$4:$BJ$62,MATCH(Both_Shift_Roster!AI$2,Evening_Shift!$B$2:$BJ$2,0),0),""),IFERROR(VLOOKUP($B64,Morning_Shift!$B$4:$BJ$61,MATCH(Both_Shift_Roster!AI$2,Morning_Shift!$B$2:$BJ$2,0),0),""))</f>
        <v>14:30-22:00</v>
      </c>
      <c r="AJ64" s="2" t="str">
        <f>IF(IFERROR(VLOOKUP($B64,Morning_Shift!$B$4:$BJ$61,MATCH(Both_Shift_Roster!AJ$2,Morning_Shift!$B$2:$BJ$2,0),0),"")="",IFERROR(VLOOKUP($B64,Evening_Shift!$B$4:$BJ$62,MATCH(Both_Shift_Roster!AJ$2,Evening_Shift!$B$2:$BJ$2,0),0),""),IFERROR(VLOOKUP($B64,Morning_Shift!$B$4:$BJ$61,MATCH(Both_Shift_Roster!AJ$2,Morning_Shift!$B$2:$BJ$2,0),0),""))</f>
        <v>14:30-22:00</v>
      </c>
      <c r="AK64" s="2" t="str">
        <f>IF(IFERROR(VLOOKUP($B64,Morning_Shift!$B$4:$BJ$61,MATCH(Both_Shift_Roster!AK$2,Morning_Shift!$B$2:$BJ$2,0),0),"")="",IFERROR(VLOOKUP($B64,Evening_Shift!$B$4:$BJ$62,MATCH(Both_Shift_Roster!AK$2,Evening_Shift!$B$2:$BJ$2,0),0),""),IFERROR(VLOOKUP($B64,Morning_Shift!$B$4:$BJ$61,MATCH(Both_Shift_Roster!AK$2,Morning_Shift!$B$2:$BJ$2,0),0),""))</f>
        <v>14:30-22:00</v>
      </c>
      <c r="AL64" s="2">
        <f t="shared" si="25"/>
        <v>1</v>
      </c>
      <c r="AM64" s="2">
        <f t="shared" si="26"/>
        <v>0</v>
      </c>
      <c r="AN64" s="2">
        <f t="shared" si="27"/>
        <v>0</v>
      </c>
      <c r="AO64" s="2">
        <f t="shared" si="28"/>
        <v>0</v>
      </c>
      <c r="AP64" s="2">
        <f t="shared" si="29"/>
        <v>0</v>
      </c>
      <c r="AQ64" s="2" t="str">
        <f>IF(IFERROR(VLOOKUP($B64,Morning_Shift!$B$4:$BJ$61,MATCH(Both_Shift_Roster!AQ$2,Morning_Shift!$B$2:$BJ$2,0),0),"")="",IFERROR(VLOOKUP($B64,Evening_Shift!$B$4:$BJ$62,MATCH(Both_Shift_Roster!AQ$2,Evening_Shift!$B$2:$BJ$2,0),0),""),IFERROR(VLOOKUP($B64,Morning_Shift!$B$4:$BJ$61,MATCH(Both_Shift_Roster!AQ$2,Morning_Shift!$B$2:$BJ$2,0),0),""))</f>
        <v>14:30-22:00</v>
      </c>
      <c r="AR64" s="2" t="str">
        <f>IF(IFERROR(VLOOKUP($B64,Morning_Shift!$B$4:$BJ$61,MATCH(Both_Shift_Roster!AR$2,Morning_Shift!$B$2:$BJ$2,0),0),"")="",IFERROR(VLOOKUP($B64,Evening_Shift!$B$4:$BJ$62,MATCH(Both_Shift_Roster!AR$2,Evening_Shift!$B$2:$BJ$2,0),0),""),IFERROR(VLOOKUP($B64,Morning_Shift!$B$4:$BJ$61,MATCH(Both_Shift_Roster!AR$2,Morning_Shift!$B$2:$BJ$2,0),0),""))</f>
        <v>14:30-22:00</v>
      </c>
      <c r="AS64" s="2" t="str">
        <f>IF(IFERROR(VLOOKUP($B64,Morning_Shift!$B$4:$BJ$61,MATCH(Both_Shift_Roster!AS$2,Morning_Shift!$B$2:$BJ$2,0),0),"")="",IFERROR(VLOOKUP($B64,Evening_Shift!$B$4:$BJ$62,MATCH(Both_Shift_Roster!AS$2,Evening_Shift!$B$2:$BJ$2,0),0),""),IFERROR(VLOOKUP($B64,Morning_Shift!$B$4:$BJ$61,MATCH(Both_Shift_Roster!AS$2,Morning_Shift!$B$2:$BJ$2,0),0),""))</f>
        <v>Agent Choice WO</v>
      </c>
      <c r="AT64" s="2" t="str">
        <f>IF(IFERROR(VLOOKUP($B64,Morning_Shift!$B$4:$BJ$61,MATCH(Both_Shift_Roster!AT$2,Morning_Shift!$B$2:$BJ$2,0),0),"")="",IFERROR(VLOOKUP($B64,Evening_Shift!$B$4:$BJ$62,MATCH(Both_Shift_Roster!AT$2,Evening_Shift!$B$2:$BJ$2,0),0),""),IFERROR(VLOOKUP($B64,Morning_Shift!$B$4:$BJ$61,MATCH(Both_Shift_Roster!AT$2,Morning_Shift!$B$2:$BJ$2,0),0),""))</f>
        <v>14:30-22:00</v>
      </c>
      <c r="AU64" s="2" t="str">
        <f>IF(IFERROR(VLOOKUP($B64,Morning_Shift!$B$4:$BJ$61,MATCH(Both_Shift_Roster!AU$2,Morning_Shift!$B$2:$BJ$2,0),0),"")="",IFERROR(VLOOKUP($B64,Evening_Shift!$B$4:$BJ$62,MATCH(Both_Shift_Roster!AU$2,Evening_Shift!$B$2:$BJ$2,0),0),""),IFERROR(VLOOKUP($B64,Morning_Shift!$B$4:$BJ$61,MATCH(Both_Shift_Roster!AU$2,Morning_Shift!$B$2:$BJ$2,0),0),""))</f>
        <v>14:30-22:00</v>
      </c>
      <c r="AV64" s="2" t="str">
        <f>IF(IFERROR(VLOOKUP($B64,Morning_Shift!$B$4:$BJ$61,MATCH(Both_Shift_Roster!AV$2,Morning_Shift!$B$2:$BJ$2,0),0),"")="",IFERROR(VLOOKUP($B64,Evening_Shift!$B$4:$BJ$62,MATCH(Both_Shift_Roster!AV$2,Evening_Shift!$B$2:$BJ$2,0),0),""),IFERROR(VLOOKUP($B64,Morning_Shift!$B$4:$BJ$61,MATCH(Both_Shift_Roster!AV$2,Morning_Shift!$B$2:$BJ$2,0),0),""))</f>
        <v>14:30-22:00</v>
      </c>
      <c r="AW64" s="2" t="str">
        <f>IF(IFERROR(VLOOKUP($B64,Morning_Shift!$B$4:$BJ$61,MATCH(Both_Shift_Roster!AW$2,Morning_Shift!$B$2:$BJ$2,0),0),"")="",IFERROR(VLOOKUP($B64,Evening_Shift!$B$4:$BJ$62,MATCH(Both_Shift_Roster!AW$2,Evening_Shift!$B$2:$BJ$2,0),0),""),IFERROR(VLOOKUP($B64,Morning_Shift!$B$4:$BJ$61,MATCH(Both_Shift_Roster!AW$2,Morning_Shift!$B$2:$BJ$2,0),0),""))</f>
        <v>14:30-22:00</v>
      </c>
      <c r="AX64" s="2">
        <f t="shared" si="30"/>
        <v>1</v>
      </c>
      <c r="AY64" s="2">
        <f t="shared" si="31"/>
        <v>0</v>
      </c>
      <c r="AZ64" s="2">
        <f t="shared" si="32"/>
        <v>0</v>
      </c>
      <c r="BA64" s="2">
        <f t="shared" si="33"/>
        <v>0</v>
      </c>
      <c r="BB64" s="2">
        <f t="shared" si="34"/>
        <v>0</v>
      </c>
      <c r="BC64" s="2" t="str">
        <f>IF(IFERROR(VLOOKUP($B64,Morning_Shift!$B$4:$BJ$61,MATCH(Both_Shift_Roster!BC$2,Morning_Shift!$B$2:$BJ$2,0),0),"")="",IFERROR(VLOOKUP($B64,Evening_Shift!$B$4:$BJ$62,MATCH(Both_Shift_Roster!BC$2,Evening_Shift!$B$2:$BJ$2,0),0),""),IFERROR(VLOOKUP($B64,Morning_Shift!$B$4:$BJ$61,MATCH(Both_Shift_Roster!BC$2,Morning_Shift!$B$2:$BJ$2,0),0),""))</f>
        <v>14:30-22:00</v>
      </c>
      <c r="BD64" s="2" t="str">
        <f>IF(IFERROR(VLOOKUP($B64,Morning_Shift!$B$4:$BJ$61,MATCH(Both_Shift_Roster!BD$2,Morning_Shift!$B$2:$BJ$2,0),0),"")="",IFERROR(VLOOKUP($B64,Evening_Shift!$B$4:$BJ$62,MATCH(Both_Shift_Roster!BD$2,Evening_Shift!$B$2:$BJ$2,0),0),""),IFERROR(VLOOKUP($B64,Morning_Shift!$B$4:$BJ$61,MATCH(Both_Shift_Roster!BD$2,Morning_Shift!$B$2:$BJ$2,0),0),""))</f>
        <v>14:30-22:00</v>
      </c>
      <c r="BE64" s="2" t="str">
        <f>IF(IFERROR(VLOOKUP($B64,Morning_Shift!$B$4:$BJ$61,MATCH(Both_Shift_Roster!BE$2,Morning_Shift!$B$2:$BJ$2,0),0),"")="",IFERROR(VLOOKUP($B64,Evening_Shift!$B$4:$BJ$59,MATCH(Both_Shift_Roster!BE$2,Evening_Shift!$B$2:$BJ$2,0),0),""),IFERROR(VLOOKUP($B64,Morning_Shift!$B$4:$BJ$61,MATCH(Both_Shift_Roster!BE$2,Morning_Shift!$B$2:$BJ$2,0),0),""))</f>
        <v>14:30-22:00</v>
      </c>
      <c r="BF64" s="2">
        <f t="shared" si="35"/>
        <v>0</v>
      </c>
      <c r="BG64" s="2">
        <f t="shared" si="36"/>
        <v>0</v>
      </c>
      <c r="BH64" s="2">
        <f t="shared" si="37"/>
        <v>0</v>
      </c>
      <c r="BI64" s="2">
        <f t="shared" si="38"/>
        <v>0</v>
      </c>
      <c r="BJ64" s="2">
        <f t="shared" si="39"/>
        <v>0</v>
      </c>
    </row>
    <row r="65" spans="1:62">
      <c r="A65" s="17">
        <f t="shared" si="40"/>
        <v>62</v>
      </c>
      <c r="B65" s="16" t="str">
        <f>Evening_Shift!$B7</f>
        <v>Dritm22</v>
      </c>
      <c r="C65" s="21" t="str">
        <f>IF(IFERROR(VLOOKUP(B65,Morning_Shift!B:C,2,0),"")="",IFERROR(VLOOKUP(B65,Evening_Shift!B:C,2,0),""),IFERROR(VLOOKUP(B65,Morning_Shift!B:C,2,0),""))</f>
        <v xml:space="preserve">Arun Lal </v>
      </c>
      <c r="D65" s="15" t="str">
        <f>IF(IFERROR(VLOOKUP(B65,Morning_Shift!B:D,3,0),"")="",IFERROR(VLOOKUP(B65,Evening_Shift!B:D,3,0),""),IFERROR(VLOOKUP(B65,Morning_Shift!B:D,3,0),""))</f>
        <v xml:space="preserve">Sanjesh </v>
      </c>
      <c r="E65" s="4" t="str">
        <f>IF(IFERROR(VLOOKUP(B65,Morning_Shift!B:E,4,0),"")="",IFERROR(VLOOKUP(B65,Evening_Shift!B:E,4,0),""),IFERROR(VLOOKUP(B65,Morning_Shift!B:E,4,0),""))</f>
        <v>M</v>
      </c>
      <c r="F65" s="5" t="str">
        <f>IF(IFERROR(VLOOKUP(B65,Morning_Shift!B:F,5,0),"")="",IFERROR(VLOOKUP(B65,Evening_Shift!B:F,5,0),""),IFERROR(VLOOKUP(B65,Morning_Shift!B:F,5,0),""))</f>
        <v>HRTC</v>
      </c>
      <c r="G65" s="2" t="str">
        <f>IF(IFERROR(VLOOKUP($B65,Morning_Shift!$B$4:$BJ$61,MATCH(Both_Shift_Roster!G$2,Morning_Shift!$B$2:$BJ$2,0),0),"")="",IFERROR(VLOOKUP($B65,Evening_Shift!$B$4:$BJ$62,MATCH(Both_Shift_Roster!G$2,Evening_Shift!$B$2:$BJ$2,0),0),""),IFERROR(VLOOKUP($B65,Morning_Shift!$B$4:$BJ$61,MATCH(Both_Shift_Roster!G$2,Morning_Shift!$B$2:$BJ$2,0),0),""))</f>
        <v>14:30-22:00</v>
      </c>
      <c r="H65" s="2" t="str">
        <f>IF(IFERROR(VLOOKUP($B65,Morning_Shift!$B$4:$BJ$61,MATCH(Both_Shift_Roster!H$2,Morning_Shift!$B$2:$BJ$2,0),0),"")="",IFERROR(VLOOKUP($B65,Evening_Shift!$B$4:$BJ$62,MATCH(Both_Shift_Roster!H$2,Evening_Shift!$B$2:$BJ$2,0),0),""),IFERROR(VLOOKUP($B65,Morning_Shift!$B$4:$BJ$61,MATCH(Both_Shift_Roster!H$2,Morning_Shift!$B$2:$BJ$2,0),0),""))</f>
        <v>14:30-22:00</v>
      </c>
      <c r="I65" s="2" t="str">
        <f>IF(IFERROR(VLOOKUP($B65,Morning_Shift!$B$4:$BJ$61,MATCH(Both_Shift_Roster!I$2,Morning_Shift!$B$2:$BJ$2,0),0),"")="",IFERROR(VLOOKUP($B65,Evening_Shift!$B$4:$BJ$62,MATCH(Both_Shift_Roster!I$2,Evening_Shift!$B$2:$BJ$2,0),0),""),IFERROR(VLOOKUP($B65,Morning_Shift!$B$4:$BJ$61,MATCH(Both_Shift_Roster!I$2,Morning_Shift!$B$2:$BJ$2,0),0),""))</f>
        <v>14:30-22:00</v>
      </c>
      <c r="J65" s="2" t="str">
        <f>IF(IFERROR(VLOOKUP($B65,Morning_Shift!$B$4:$BJ$61,MATCH(Both_Shift_Roster!J$2,Morning_Shift!$B$2:$BJ$2,0),0),"")="",IFERROR(VLOOKUP($B65,Evening_Shift!$B$4:$BJ$62,MATCH(Both_Shift_Roster!J$2,Evening_Shift!$B$2:$BJ$2,0),0),""),IFERROR(VLOOKUP($B65,Morning_Shift!$B$4:$BJ$61,MATCH(Both_Shift_Roster!J$2,Morning_Shift!$B$2:$BJ$2,0),0),""))</f>
        <v>14:30-22:00</v>
      </c>
      <c r="K65" s="2" t="str">
        <f>IF(IFERROR(VLOOKUP($B65,Morning_Shift!$B$4:$BJ$61,MATCH(Both_Shift_Roster!K$2,Morning_Shift!$B$2:$BJ$2,0),0),"")="",IFERROR(VLOOKUP($B65,Evening_Shift!$B$4:$BJ$62,MATCH(Both_Shift_Roster!K$2,Evening_Shift!$B$2:$BJ$2,0),0),""),IFERROR(VLOOKUP($B65,Morning_Shift!$B$4:$BJ$61,MATCH(Both_Shift_Roster!K$2,Morning_Shift!$B$2:$BJ$2,0),0),""))</f>
        <v>14:30-22:00</v>
      </c>
      <c r="L65" s="2" t="str">
        <f>IF(IFERROR(VLOOKUP($B65,Morning_Shift!$B$4:$BJ$61,MATCH(Both_Shift_Roster!L$2,Morning_Shift!$B$2:$BJ$2,0),0),"")="",IFERROR(VLOOKUP($B65,Evening_Shift!$B$4:$BJ$62,MATCH(Both_Shift_Roster!L$2,Evening_Shift!$B$2:$BJ$2,0),0),""),IFERROR(VLOOKUP($B65,Morning_Shift!$B$4:$BJ$61,MATCH(Both_Shift_Roster!L$2,Morning_Shift!$B$2:$BJ$2,0),0),""))</f>
        <v>14:30-22:00</v>
      </c>
      <c r="M65" s="2" t="str">
        <f>IF(IFERROR(VLOOKUP($B65,Morning_Shift!$B$4:$BJ$61,MATCH(Both_Shift_Roster!M$2,Morning_Shift!$B$2:$BJ$2,0),0),"")="",IFERROR(VLOOKUP($B65,Evening_Shift!$B$4:$BJ$62,MATCH(Both_Shift_Roster!M$2,Evening_Shift!$B$2:$BJ$2,0),0),""),IFERROR(VLOOKUP($B65,Morning_Shift!$B$4:$BJ$61,MATCH(Both_Shift_Roster!M$2,Morning_Shift!$B$2:$BJ$2,0),0),""))</f>
        <v>14:30-22:00</v>
      </c>
      <c r="N65" s="2">
        <f t="shared" si="15"/>
        <v>0</v>
      </c>
      <c r="O65" s="2">
        <f t="shared" si="16"/>
        <v>0</v>
      </c>
      <c r="P65" s="2">
        <f t="shared" si="17"/>
        <v>0</v>
      </c>
      <c r="Q65" s="2">
        <f t="shared" si="18"/>
        <v>0</v>
      </c>
      <c r="R65" s="2">
        <f t="shared" si="19"/>
        <v>0</v>
      </c>
      <c r="S65" s="2" t="str">
        <f>IF(IFERROR(VLOOKUP($B65,Morning_Shift!$B$4:$BJ$61,MATCH(Both_Shift_Roster!S$2,Morning_Shift!$B$2:$BJ$2,0),0),"")="",IFERROR(VLOOKUP($B65,Evening_Shift!$B$4:$BJ$62,MATCH(Both_Shift_Roster!S$2,Evening_Shift!$B$2:$BJ$2,0),0),""),IFERROR(VLOOKUP($B65,Morning_Shift!$B$4:$BJ$61,MATCH(Both_Shift_Roster!S$2,Morning_Shift!$B$2:$BJ$2,0),0),""))</f>
        <v>14:30-22:00</v>
      </c>
      <c r="T65" s="2" t="str">
        <f>IF(IFERROR(VLOOKUP($B65,Morning_Shift!$B$4:$BJ$61,MATCH(Both_Shift_Roster!T$2,Morning_Shift!$B$2:$BJ$2,0),0),"")="",IFERROR(VLOOKUP($B65,Evening_Shift!$B$4:$BJ$62,MATCH(Both_Shift_Roster!T$2,Evening_Shift!$B$2:$BJ$2,0),0),""),IFERROR(VLOOKUP($B65,Morning_Shift!$B$4:$BJ$61,MATCH(Both_Shift_Roster!T$2,Morning_Shift!$B$2:$BJ$2,0),0),""))</f>
        <v>14:30-22:00</v>
      </c>
      <c r="U65" s="2" t="str">
        <f>IF(IFERROR(VLOOKUP($B65,Morning_Shift!$B$4:$BJ$61,MATCH(Both_Shift_Roster!U$2,Morning_Shift!$B$2:$BJ$2,0),0),"")="",IFERROR(VLOOKUP($B65,Evening_Shift!$B$4:$BJ$62,MATCH(Both_Shift_Roster!U$2,Evening_Shift!$B$2:$BJ$2,0),0),""),IFERROR(VLOOKUP($B65,Morning_Shift!$B$4:$BJ$61,MATCH(Both_Shift_Roster!U$2,Morning_Shift!$B$2:$BJ$2,0),0),""))</f>
        <v>14:30-22:00</v>
      </c>
      <c r="V65" s="2" t="str">
        <f>IF(IFERROR(VLOOKUP($B65,Morning_Shift!$B$4:$BJ$61,MATCH(Both_Shift_Roster!V$2,Morning_Shift!$B$2:$BJ$2,0),0),"")="",IFERROR(VLOOKUP($B65,Evening_Shift!$B$4:$BJ$62,MATCH(Both_Shift_Roster!V$2,Evening_Shift!$B$2:$BJ$2,0),0),""),IFERROR(VLOOKUP($B65,Morning_Shift!$B$4:$BJ$61,MATCH(Both_Shift_Roster!V$2,Morning_Shift!$B$2:$BJ$2,0),0),""))</f>
        <v>14:30-22:00</v>
      </c>
      <c r="W65" s="2" t="str">
        <f>IF(IFERROR(VLOOKUP($B65,Morning_Shift!$B$4:$BJ$61,MATCH(Both_Shift_Roster!W$2,Morning_Shift!$B$2:$BJ$2,0),0),"")="",IFERROR(VLOOKUP($B65,Evening_Shift!$B$4:$BJ$62,MATCH(Both_Shift_Roster!W$2,Evening_Shift!$B$2:$BJ$2,0),0),""),IFERROR(VLOOKUP($B65,Morning_Shift!$B$4:$BJ$61,MATCH(Both_Shift_Roster!W$2,Morning_Shift!$B$2:$BJ$2,0),0),""))</f>
        <v>14:30-22:00</v>
      </c>
      <c r="X65" s="2" t="str">
        <f>IF(IFERROR(VLOOKUP($B65,Morning_Shift!$B$4:$BJ$61,MATCH(Both_Shift_Roster!X$2,Morning_Shift!$B$2:$BJ$2,0),0),"")="",IFERROR(VLOOKUP($B65,Evening_Shift!$B$4:$BJ$62,MATCH(Both_Shift_Roster!X$2,Evening_Shift!$B$2:$BJ$2,0),0),""),IFERROR(VLOOKUP($B65,Morning_Shift!$B$4:$BJ$61,MATCH(Both_Shift_Roster!X$2,Morning_Shift!$B$2:$BJ$2,0),0),""))</f>
        <v>Agent Choice WO</v>
      </c>
      <c r="Y65" s="2" t="str">
        <f>IF(IFERROR(VLOOKUP($B65,Morning_Shift!$B$4:$BJ$61,MATCH(Both_Shift_Roster!Y$2,Morning_Shift!$B$2:$BJ$2,0),0),"")="",IFERROR(VLOOKUP($B65,Evening_Shift!$B$4:$BJ$62,MATCH(Both_Shift_Roster!Y$2,Evening_Shift!$B$2:$BJ$2,0),0),""),IFERROR(VLOOKUP($B65,Morning_Shift!$B$4:$BJ$61,MATCH(Both_Shift_Roster!Y$2,Morning_Shift!$B$2:$BJ$2,0),0),""))</f>
        <v>Agent Choice WO</v>
      </c>
      <c r="Z65" s="2">
        <f t="shared" si="20"/>
        <v>2</v>
      </c>
      <c r="AA65" s="2">
        <f t="shared" si="21"/>
        <v>0</v>
      </c>
      <c r="AB65" s="2">
        <f t="shared" si="22"/>
        <v>0</v>
      </c>
      <c r="AC65" s="2">
        <f t="shared" si="23"/>
        <v>0</v>
      </c>
      <c r="AD65" s="2">
        <f t="shared" si="24"/>
        <v>0</v>
      </c>
      <c r="AE65" s="2" t="str">
        <f>IF(IFERROR(VLOOKUP($B65,Morning_Shift!$B$4:$BJ$61,MATCH(Both_Shift_Roster!AE$2,Morning_Shift!$B$2:$BJ$2,0),0),"")="",IFERROR(VLOOKUP($B65,Evening_Shift!$B$4:$BJ$62,MATCH(Both_Shift_Roster!AE$2,Evening_Shift!$B$2:$BJ$2,0),0),""),IFERROR(VLOOKUP($B65,Morning_Shift!$B$4:$BJ$61,MATCH(Both_Shift_Roster!AE$2,Morning_Shift!$B$2:$BJ$2,0),0),""))</f>
        <v>14:30-22:00</v>
      </c>
      <c r="AF65" s="2" t="str">
        <f>IF(IFERROR(VLOOKUP($B65,Morning_Shift!$B$4:$BJ$61,MATCH(Both_Shift_Roster!AF$2,Morning_Shift!$B$2:$BJ$2,0),0),"")="",IFERROR(VLOOKUP($B65,Evening_Shift!$B$4:$BJ$62,MATCH(Both_Shift_Roster!AF$2,Evening_Shift!$B$2:$BJ$2,0),0),""),IFERROR(VLOOKUP($B65,Morning_Shift!$B$4:$BJ$61,MATCH(Both_Shift_Roster!AF$2,Morning_Shift!$B$2:$BJ$2,0),0),""))</f>
        <v>14:30-22:00</v>
      </c>
      <c r="AG65" s="2" t="str">
        <f>IF(IFERROR(VLOOKUP($B65,Morning_Shift!$B$4:$BJ$61,MATCH(Both_Shift_Roster!AG$2,Morning_Shift!$B$2:$BJ$2,0),0),"")="",IFERROR(VLOOKUP($B65,Evening_Shift!$B$4:$BJ$62,MATCH(Both_Shift_Roster!AG$2,Evening_Shift!$B$2:$BJ$2,0),0),""),IFERROR(VLOOKUP($B65,Morning_Shift!$B$4:$BJ$61,MATCH(Both_Shift_Roster!AG$2,Morning_Shift!$B$2:$BJ$2,0),0),""))</f>
        <v>14:30-22:00</v>
      </c>
      <c r="AH65" s="2" t="str">
        <f>IF(IFERROR(VLOOKUP($B65,Morning_Shift!$B$4:$BJ$61,MATCH(Both_Shift_Roster!AH$2,Morning_Shift!$B$2:$BJ$2,0),0),"")="",IFERROR(VLOOKUP($B65,Evening_Shift!$B$4:$BJ$62,MATCH(Both_Shift_Roster!AH$2,Evening_Shift!$B$2:$BJ$2,0),0),""),IFERROR(VLOOKUP($B65,Morning_Shift!$B$4:$BJ$61,MATCH(Both_Shift_Roster!AH$2,Morning_Shift!$B$2:$BJ$2,0),0),""))</f>
        <v>14:30-22:00</v>
      </c>
      <c r="AI65" s="2" t="str">
        <f>IF(IFERROR(VLOOKUP($B65,Morning_Shift!$B$4:$BJ$61,MATCH(Both_Shift_Roster!AI$2,Morning_Shift!$B$2:$BJ$2,0),0),"")="",IFERROR(VLOOKUP($B65,Evening_Shift!$B$4:$BJ$62,MATCH(Both_Shift_Roster!AI$2,Evening_Shift!$B$2:$BJ$2,0),0),""),IFERROR(VLOOKUP($B65,Morning_Shift!$B$4:$BJ$61,MATCH(Both_Shift_Roster!AI$2,Morning_Shift!$B$2:$BJ$2,0),0),""))</f>
        <v>14:30-22:00</v>
      </c>
      <c r="AJ65" s="2" t="str">
        <f>IF(IFERROR(VLOOKUP($B65,Morning_Shift!$B$4:$BJ$61,MATCH(Both_Shift_Roster!AJ$2,Morning_Shift!$B$2:$BJ$2,0),0),"")="",IFERROR(VLOOKUP($B65,Evening_Shift!$B$4:$BJ$62,MATCH(Both_Shift_Roster!AJ$2,Evening_Shift!$B$2:$BJ$2,0),0),""),IFERROR(VLOOKUP($B65,Morning_Shift!$B$4:$BJ$61,MATCH(Both_Shift_Roster!AJ$2,Morning_Shift!$B$2:$BJ$2,0),0),""))</f>
        <v>Agent Choice WO</v>
      </c>
      <c r="AK65" s="2" t="str">
        <f>IF(IFERROR(VLOOKUP($B65,Morning_Shift!$B$4:$BJ$61,MATCH(Both_Shift_Roster!AK$2,Morning_Shift!$B$2:$BJ$2,0),0),"")="",IFERROR(VLOOKUP($B65,Evening_Shift!$B$4:$BJ$62,MATCH(Both_Shift_Roster!AK$2,Evening_Shift!$B$2:$BJ$2,0),0),""),IFERROR(VLOOKUP($B65,Morning_Shift!$B$4:$BJ$61,MATCH(Both_Shift_Roster!AK$2,Morning_Shift!$B$2:$BJ$2,0),0),""))</f>
        <v>Agent Choice WO</v>
      </c>
      <c r="AL65" s="2">
        <f t="shared" si="25"/>
        <v>2</v>
      </c>
      <c r="AM65" s="2">
        <f t="shared" si="26"/>
        <v>0</v>
      </c>
      <c r="AN65" s="2">
        <f t="shared" si="27"/>
        <v>0</v>
      </c>
      <c r="AO65" s="2">
        <f t="shared" si="28"/>
        <v>0</v>
      </c>
      <c r="AP65" s="2">
        <f t="shared" si="29"/>
        <v>0</v>
      </c>
      <c r="AQ65" s="2" t="str">
        <f>IF(IFERROR(VLOOKUP($B65,Morning_Shift!$B$4:$BJ$61,MATCH(Both_Shift_Roster!AQ$2,Morning_Shift!$B$2:$BJ$2,0),0),"")="",IFERROR(VLOOKUP($B65,Evening_Shift!$B$4:$BJ$62,MATCH(Both_Shift_Roster!AQ$2,Evening_Shift!$B$2:$BJ$2,0),0),""),IFERROR(VLOOKUP($B65,Morning_Shift!$B$4:$BJ$61,MATCH(Both_Shift_Roster!AQ$2,Morning_Shift!$B$2:$BJ$2,0),0),""))</f>
        <v>14:30-22:00</v>
      </c>
      <c r="AR65" s="2" t="str">
        <f>IF(IFERROR(VLOOKUP($B65,Morning_Shift!$B$4:$BJ$61,MATCH(Both_Shift_Roster!AR$2,Morning_Shift!$B$2:$BJ$2,0),0),"")="",IFERROR(VLOOKUP($B65,Evening_Shift!$B$4:$BJ$62,MATCH(Both_Shift_Roster!AR$2,Evening_Shift!$B$2:$BJ$2,0),0),""),IFERROR(VLOOKUP($B65,Morning_Shift!$B$4:$BJ$61,MATCH(Both_Shift_Roster!AR$2,Morning_Shift!$B$2:$BJ$2,0),0),""))</f>
        <v>14:30-22:00</v>
      </c>
      <c r="AS65" s="2" t="str">
        <f>IF(IFERROR(VLOOKUP($B65,Morning_Shift!$B$4:$BJ$61,MATCH(Both_Shift_Roster!AS$2,Morning_Shift!$B$2:$BJ$2,0),0),"")="",IFERROR(VLOOKUP($B65,Evening_Shift!$B$4:$BJ$62,MATCH(Both_Shift_Roster!AS$2,Evening_Shift!$B$2:$BJ$2,0),0),""),IFERROR(VLOOKUP($B65,Morning_Shift!$B$4:$BJ$61,MATCH(Both_Shift_Roster!AS$2,Morning_Shift!$B$2:$BJ$2,0),0),""))</f>
        <v>14:30-22:00</v>
      </c>
      <c r="AT65" s="2" t="str">
        <f>IF(IFERROR(VLOOKUP($B65,Morning_Shift!$B$4:$BJ$61,MATCH(Both_Shift_Roster!AT$2,Morning_Shift!$B$2:$BJ$2,0),0),"")="",IFERROR(VLOOKUP($B65,Evening_Shift!$B$4:$BJ$62,MATCH(Both_Shift_Roster!AT$2,Evening_Shift!$B$2:$BJ$2,0),0),""),IFERROR(VLOOKUP($B65,Morning_Shift!$B$4:$BJ$61,MATCH(Both_Shift_Roster!AT$2,Morning_Shift!$B$2:$BJ$2,0),0),""))</f>
        <v>14:30-22:00</v>
      </c>
      <c r="AU65" s="2" t="str">
        <f>IF(IFERROR(VLOOKUP($B65,Morning_Shift!$B$4:$BJ$61,MATCH(Both_Shift_Roster!AU$2,Morning_Shift!$B$2:$BJ$2,0),0),"")="",IFERROR(VLOOKUP($B65,Evening_Shift!$B$4:$BJ$62,MATCH(Both_Shift_Roster!AU$2,Evening_Shift!$B$2:$BJ$2,0),0),""),IFERROR(VLOOKUP($B65,Morning_Shift!$B$4:$BJ$61,MATCH(Both_Shift_Roster!AU$2,Morning_Shift!$B$2:$BJ$2,0),0),""))</f>
        <v>14:30-22:00</v>
      </c>
      <c r="AV65" s="2" t="str">
        <f>IF(IFERROR(VLOOKUP($B65,Morning_Shift!$B$4:$BJ$61,MATCH(Both_Shift_Roster!AV$2,Morning_Shift!$B$2:$BJ$2,0),0),"")="",IFERROR(VLOOKUP($B65,Evening_Shift!$B$4:$BJ$62,MATCH(Both_Shift_Roster!AV$2,Evening_Shift!$B$2:$BJ$2,0),0),""),IFERROR(VLOOKUP($B65,Morning_Shift!$B$4:$BJ$61,MATCH(Both_Shift_Roster!AV$2,Morning_Shift!$B$2:$BJ$2,0),0),""))</f>
        <v>14:30-22:00</v>
      </c>
      <c r="AW65" s="2" t="str">
        <f>IF(IFERROR(VLOOKUP($B65,Morning_Shift!$B$4:$BJ$61,MATCH(Both_Shift_Roster!AW$2,Morning_Shift!$B$2:$BJ$2,0),0),"")="",IFERROR(VLOOKUP($B65,Evening_Shift!$B$4:$BJ$62,MATCH(Both_Shift_Roster!AW$2,Evening_Shift!$B$2:$BJ$2,0),0),""),IFERROR(VLOOKUP($B65,Morning_Shift!$B$4:$BJ$61,MATCH(Both_Shift_Roster!AW$2,Morning_Shift!$B$2:$BJ$2,0),0),""))</f>
        <v>14:30-22:00</v>
      </c>
      <c r="AX65" s="2">
        <f t="shared" si="30"/>
        <v>0</v>
      </c>
      <c r="AY65" s="2">
        <f t="shared" si="31"/>
        <v>0</v>
      </c>
      <c r="AZ65" s="2">
        <f t="shared" si="32"/>
        <v>0</v>
      </c>
      <c r="BA65" s="2">
        <f t="shared" si="33"/>
        <v>0</v>
      </c>
      <c r="BB65" s="2">
        <f t="shared" si="34"/>
        <v>0</v>
      </c>
      <c r="BC65" s="2" t="str">
        <f>IF(IFERROR(VLOOKUP($B65,Morning_Shift!$B$4:$BJ$61,MATCH(Both_Shift_Roster!BC$2,Morning_Shift!$B$2:$BJ$2,0),0),"")="",IFERROR(VLOOKUP($B65,Evening_Shift!$B$4:$BJ$62,MATCH(Both_Shift_Roster!BC$2,Evening_Shift!$B$2:$BJ$2,0),0),""),IFERROR(VLOOKUP($B65,Morning_Shift!$B$4:$BJ$61,MATCH(Both_Shift_Roster!BC$2,Morning_Shift!$B$2:$BJ$2,0),0),""))</f>
        <v>14:30-22:00</v>
      </c>
      <c r="BD65" s="2" t="str">
        <f>IF(IFERROR(VLOOKUP($B65,Morning_Shift!$B$4:$BJ$61,MATCH(Both_Shift_Roster!BD$2,Morning_Shift!$B$2:$BJ$2,0),0),"")="",IFERROR(VLOOKUP($B65,Evening_Shift!$B$4:$BJ$62,MATCH(Both_Shift_Roster!BD$2,Evening_Shift!$B$2:$BJ$2,0),0),""),IFERROR(VLOOKUP($B65,Morning_Shift!$B$4:$BJ$61,MATCH(Both_Shift_Roster!BD$2,Morning_Shift!$B$2:$BJ$2,0),0),""))</f>
        <v>14:30-22:00</v>
      </c>
      <c r="BE65" s="2" t="str">
        <f>IF(IFERROR(VLOOKUP($B65,Morning_Shift!$B$4:$BJ$61,MATCH(Both_Shift_Roster!BE$2,Morning_Shift!$B$2:$BJ$2,0),0),"")="",IFERROR(VLOOKUP($B65,Evening_Shift!$B$4:$BJ$59,MATCH(Both_Shift_Roster!BE$2,Evening_Shift!$B$2:$BJ$2,0),0),""),IFERROR(VLOOKUP($B65,Morning_Shift!$B$4:$BJ$61,MATCH(Both_Shift_Roster!BE$2,Morning_Shift!$B$2:$BJ$2,0),0),""))</f>
        <v>14:30-22:00</v>
      </c>
      <c r="BF65" s="2">
        <f t="shared" si="35"/>
        <v>0</v>
      </c>
      <c r="BG65" s="2">
        <f t="shared" si="36"/>
        <v>0</v>
      </c>
      <c r="BH65" s="2">
        <f t="shared" si="37"/>
        <v>0</v>
      </c>
      <c r="BI65" s="2">
        <f t="shared" si="38"/>
        <v>0</v>
      </c>
      <c r="BJ65" s="2">
        <f t="shared" si="39"/>
        <v>0</v>
      </c>
    </row>
    <row r="66" spans="1:62">
      <c r="A66" s="17">
        <f t="shared" si="40"/>
        <v>63</v>
      </c>
      <c r="B66" s="16" t="str">
        <f>Evening_Shift!$B8</f>
        <v>Dritm26</v>
      </c>
      <c r="C66" s="21" t="str">
        <f>IF(IFERROR(VLOOKUP(B66,Morning_Shift!B:C,2,0),"")="",IFERROR(VLOOKUP(B66,Evening_Shift!B:C,2,0),""),IFERROR(VLOOKUP(B66,Morning_Shift!B:C,2,0),""))</f>
        <v>Mohan Gopal</v>
      </c>
      <c r="D66" s="15" t="str">
        <f>IF(IFERROR(VLOOKUP(B66,Morning_Shift!B:D,3,0),"")="",IFERROR(VLOOKUP(B66,Evening_Shift!B:D,3,0),""),IFERROR(VLOOKUP(B66,Morning_Shift!B:D,3,0),""))</f>
        <v xml:space="preserve">Sanjesh </v>
      </c>
      <c r="E66" s="4" t="str">
        <f>IF(IFERROR(VLOOKUP(B66,Morning_Shift!B:E,4,0),"")="",IFERROR(VLOOKUP(B66,Evening_Shift!B:E,4,0),""),IFERROR(VLOOKUP(B66,Morning_Shift!B:E,4,0),""))</f>
        <v>M</v>
      </c>
      <c r="F66" s="5" t="str">
        <f>IF(IFERROR(VLOOKUP(B66,Morning_Shift!B:F,5,0),"")="",IFERROR(VLOOKUP(B66,Evening_Shift!B:F,5,0),""),IFERROR(VLOOKUP(B66,Morning_Shift!B:F,5,0),""))</f>
        <v>Himseva manual preview</v>
      </c>
      <c r="G66" s="2" t="str">
        <f>IF(IFERROR(VLOOKUP($B66,Morning_Shift!$B$4:$BJ$61,MATCH(Both_Shift_Roster!G$2,Morning_Shift!$B$2:$BJ$2,0),0),"")="",IFERROR(VLOOKUP($B66,Evening_Shift!$B$4:$BJ$62,MATCH(Both_Shift_Roster!G$2,Evening_Shift!$B$2:$BJ$2,0),0),""),IFERROR(VLOOKUP($B66,Morning_Shift!$B$4:$BJ$61,MATCH(Both_Shift_Roster!G$2,Morning_Shift!$B$2:$BJ$2,0),0),""))</f>
        <v>14:30-22:00</v>
      </c>
      <c r="H66" s="2" t="str">
        <f>IF(IFERROR(VLOOKUP($B66,Morning_Shift!$B$4:$BJ$61,MATCH(Both_Shift_Roster!H$2,Morning_Shift!$B$2:$BJ$2,0),0),"")="",IFERROR(VLOOKUP($B66,Evening_Shift!$B$4:$BJ$62,MATCH(Both_Shift_Roster!H$2,Evening_Shift!$B$2:$BJ$2,0),0),""),IFERROR(VLOOKUP($B66,Morning_Shift!$B$4:$BJ$61,MATCH(Both_Shift_Roster!H$2,Morning_Shift!$B$2:$BJ$2,0),0),""))</f>
        <v>14:30-22:00</v>
      </c>
      <c r="I66" s="2" t="str">
        <f>IF(IFERROR(VLOOKUP($B66,Morning_Shift!$B$4:$BJ$61,MATCH(Both_Shift_Roster!I$2,Morning_Shift!$B$2:$BJ$2,0),0),"")="",IFERROR(VLOOKUP($B66,Evening_Shift!$B$4:$BJ$62,MATCH(Both_Shift_Roster!I$2,Evening_Shift!$B$2:$BJ$2,0),0),""),IFERROR(VLOOKUP($B66,Morning_Shift!$B$4:$BJ$61,MATCH(Both_Shift_Roster!I$2,Morning_Shift!$B$2:$BJ$2,0),0),""))</f>
        <v>14:30-22:00</v>
      </c>
      <c r="J66" s="2" t="str">
        <f>IF(IFERROR(VLOOKUP($B66,Morning_Shift!$B$4:$BJ$61,MATCH(Both_Shift_Roster!J$2,Morning_Shift!$B$2:$BJ$2,0),0),"")="",IFERROR(VLOOKUP($B66,Evening_Shift!$B$4:$BJ$62,MATCH(Both_Shift_Roster!J$2,Evening_Shift!$B$2:$BJ$2,0),0),""),IFERROR(VLOOKUP($B66,Morning_Shift!$B$4:$BJ$61,MATCH(Both_Shift_Roster!J$2,Morning_Shift!$B$2:$BJ$2,0),0),""))</f>
        <v>14:30-22:00</v>
      </c>
      <c r="K66" s="2" t="str">
        <f>IF(IFERROR(VLOOKUP($B66,Morning_Shift!$B$4:$BJ$61,MATCH(Both_Shift_Roster!K$2,Morning_Shift!$B$2:$BJ$2,0),0),"")="",IFERROR(VLOOKUP($B66,Evening_Shift!$B$4:$BJ$62,MATCH(Both_Shift_Roster!K$2,Evening_Shift!$B$2:$BJ$2,0),0),""),IFERROR(VLOOKUP($B66,Morning_Shift!$B$4:$BJ$61,MATCH(Both_Shift_Roster!K$2,Morning_Shift!$B$2:$BJ$2,0),0),""))</f>
        <v>14:30-22:00</v>
      </c>
      <c r="L66" s="2" t="str">
        <f>IF(IFERROR(VLOOKUP($B66,Morning_Shift!$B$4:$BJ$61,MATCH(Both_Shift_Roster!L$2,Morning_Shift!$B$2:$BJ$2,0),0),"")="",IFERROR(VLOOKUP($B66,Evening_Shift!$B$4:$BJ$62,MATCH(Both_Shift_Roster!L$2,Evening_Shift!$B$2:$BJ$2,0),0),""),IFERROR(VLOOKUP($B66,Morning_Shift!$B$4:$BJ$61,MATCH(Both_Shift_Roster!L$2,Morning_Shift!$B$2:$BJ$2,0),0),""))</f>
        <v>14:30-22:00</v>
      </c>
      <c r="M66" s="2" t="str">
        <f>IF(IFERROR(VLOOKUP($B66,Morning_Shift!$B$4:$BJ$61,MATCH(Both_Shift_Roster!M$2,Morning_Shift!$B$2:$BJ$2,0),0),"")="",IFERROR(VLOOKUP($B66,Evening_Shift!$B$4:$BJ$62,MATCH(Both_Shift_Roster!M$2,Evening_Shift!$B$2:$BJ$2,0),0),""),IFERROR(VLOOKUP($B66,Morning_Shift!$B$4:$BJ$61,MATCH(Both_Shift_Roster!M$2,Morning_Shift!$B$2:$BJ$2,0),0),""))</f>
        <v>14:30-22:00</v>
      </c>
      <c r="N66" s="2">
        <f t="shared" si="15"/>
        <v>0</v>
      </c>
      <c r="O66" s="2">
        <f t="shared" si="16"/>
        <v>0</v>
      </c>
      <c r="P66" s="2">
        <f t="shared" si="17"/>
        <v>0</v>
      </c>
      <c r="Q66" s="2">
        <f t="shared" si="18"/>
        <v>0</v>
      </c>
      <c r="R66" s="2">
        <f t="shared" si="19"/>
        <v>0</v>
      </c>
      <c r="S66" s="2" t="str">
        <f>IF(IFERROR(VLOOKUP($B66,Morning_Shift!$B$4:$BJ$61,MATCH(Both_Shift_Roster!S$2,Morning_Shift!$B$2:$BJ$2,0),0),"")="",IFERROR(VLOOKUP($B66,Evening_Shift!$B$4:$BJ$62,MATCH(Both_Shift_Roster!S$2,Evening_Shift!$B$2:$BJ$2,0),0),""),IFERROR(VLOOKUP($B66,Morning_Shift!$B$4:$BJ$61,MATCH(Both_Shift_Roster!S$2,Morning_Shift!$B$2:$BJ$2,0),0),""))</f>
        <v>14:30-22:00</v>
      </c>
      <c r="T66" s="2" t="str">
        <f>IF(IFERROR(VLOOKUP($B66,Morning_Shift!$B$4:$BJ$61,MATCH(Both_Shift_Roster!T$2,Morning_Shift!$B$2:$BJ$2,0),0),"")="",IFERROR(VLOOKUP($B66,Evening_Shift!$B$4:$BJ$62,MATCH(Both_Shift_Roster!T$2,Evening_Shift!$B$2:$BJ$2,0),0),""),IFERROR(VLOOKUP($B66,Morning_Shift!$B$4:$BJ$61,MATCH(Both_Shift_Roster!T$2,Morning_Shift!$B$2:$BJ$2,0),0),""))</f>
        <v>14:30-22:00</v>
      </c>
      <c r="U66" s="2" t="str">
        <f>IF(IFERROR(VLOOKUP($B66,Morning_Shift!$B$4:$BJ$61,MATCH(Both_Shift_Roster!U$2,Morning_Shift!$B$2:$BJ$2,0),0),"")="",IFERROR(VLOOKUP($B66,Evening_Shift!$B$4:$BJ$62,MATCH(Both_Shift_Roster!U$2,Evening_Shift!$B$2:$BJ$2,0),0),""),IFERROR(VLOOKUP($B66,Morning_Shift!$B$4:$BJ$61,MATCH(Both_Shift_Roster!U$2,Morning_Shift!$B$2:$BJ$2,0),0),""))</f>
        <v>14:30-22:00</v>
      </c>
      <c r="V66" s="2" t="str">
        <f>IF(IFERROR(VLOOKUP($B66,Morning_Shift!$B$4:$BJ$61,MATCH(Both_Shift_Roster!V$2,Morning_Shift!$B$2:$BJ$2,0),0),"")="",IFERROR(VLOOKUP($B66,Evening_Shift!$B$4:$BJ$62,MATCH(Both_Shift_Roster!V$2,Evening_Shift!$B$2:$BJ$2,0),0),""),IFERROR(VLOOKUP($B66,Morning_Shift!$B$4:$BJ$61,MATCH(Both_Shift_Roster!V$2,Morning_Shift!$B$2:$BJ$2,0),0),""))</f>
        <v>14:30-22:00</v>
      </c>
      <c r="W66" s="2" t="str">
        <f>IF(IFERROR(VLOOKUP($B66,Morning_Shift!$B$4:$BJ$61,MATCH(Both_Shift_Roster!W$2,Morning_Shift!$B$2:$BJ$2,0),0),"")="",IFERROR(VLOOKUP($B66,Evening_Shift!$B$4:$BJ$62,MATCH(Both_Shift_Roster!W$2,Evening_Shift!$B$2:$BJ$2,0),0),""),IFERROR(VLOOKUP($B66,Morning_Shift!$B$4:$BJ$61,MATCH(Both_Shift_Roster!W$2,Morning_Shift!$B$2:$BJ$2,0),0),""))</f>
        <v>14:30-22:00</v>
      </c>
      <c r="X66" s="2" t="str">
        <f>IF(IFERROR(VLOOKUP($B66,Morning_Shift!$B$4:$BJ$61,MATCH(Both_Shift_Roster!X$2,Morning_Shift!$B$2:$BJ$2,0),0),"")="",IFERROR(VLOOKUP($B66,Evening_Shift!$B$4:$BJ$62,MATCH(Both_Shift_Roster!X$2,Evening_Shift!$B$2:$BJ$2,0),0),""),IFERROR(VLOOKUP($B66,Morning_Shift!$B$4:$BJ$61,MATCH(Both_Shift_Roster!X$2,Morning_Shift!$B$2:$BJ$2,0),0),""))</f>
        <v>14:30-22:00</v>
      </c>
      <c r="Y66" s="2" t="str">
        <f>IF(IFERROR(VLOOKUP($B66,Morning_Shift!$B$4:$BJ$61,MATCH(Both_Shift_Roster!Y$2,Morning_Shift!$B$2:$BJ$2,0),0),"")="",IFERROR(VLOOKUP($B66,Evening_Shift!$B$4:$BJ$62,MATCH(Both_Shift_Roster!Y$2,Evening_Shift!$B$2:$BJ$2,0),0),""),IFERROR(VLOOKUP($B66,Morning_Shift!$B$4:$BJ$61,MATCH(Both_Shift_Roster!Y$2,Morning_Shift!$B$2:$BJ$2,0),0),""))</f>
        <v>14:30-22:00</v>
      </c>
      <c r="Z66" s="2">
        <f t="shared" si="20"/>
        <v>0</v>
      </c>
      <c r="AA66" s="2">
        <f t="shared" si="21"/>
        <v>0</v>
      </c>
      <c r="AB66" s="2">
        <f t="shared" si="22"/>
        <v>0</v>
      </c>
      <c r="AC66" s="2">
        <f t="shared" si="23"/>
        <v>0</v>
      </c>
      <c r="AD66" s="2">
        <f t="shared" si="24"/>
        <v>0</v>
      </c>
      <c r="AE66" s="2" t="str">
        <f>IF(IFERROR(VLOOKUP($B66,Morning_Shift!$B$4:$BJ$61,MATCH(Both_Shift_Roster!AE$2,Morning_Shift!$B$2:$BJ$2,0),0),"")="",IFERROR(VLOOKUP($B66,Evening_Shift!$B$4:$BJ$62,MATCH(Both_Shift_Roster!AE$2,Evening_Shift!$B$2:$BJ$2,0),0),""),IFERROR(VLOOKUP($B66,Morning_Shift!$B$4:$BJ$61,MATCH(Both_Shift_Roster!AE$2,Morning_Shift!$B$2:$BJ$2,0),0),""))</f>
        <v>14:30-22:00</v>
      </c>
      <c r="AF66" s="2" t="str">
        <f>IF(IFERROR(VLOOKUP($B66,Morning_Shift!$B$4:$BJ$61,MATCH(Both_Shift_Roster!AF$2,Morning_Shift!$B$2:$BJ$2,0),0),"")="",IFERROR(VLOOKUP($B66,Evening_Shift!$B$4:$BJ$62,MATCH(Both_Shift_Roster!AF$2,Evening_Shift!$B$2:$BJ$2,0),0),""),IFERROR(VLOOKUP($B66,Morning_Shift!$B$4:$BJ$61,MATCH(Both_Shift_Roster!AF$2,Morning_Shift!$B$2:$BJ$2,0),0),""))</f>
        <v>14:30-22:00</v>
      </c>
      <c r="AG66" s="2" t="str">
        <f>IF(IFERROR(VLOOKUP($B66,Morning_Shift!$B$4:$BJ$61,MATCH(Both_Shift_Roster!AG$2,Morning_Shift!$B$2:$BJ$2,0),0),"")="",IFERROR(VLOOKUP($B66,Evening_Shift!$B$4:$BJ$62,MATCH(Both_Shift_Roster!AG$2,Evening_Shift!$B$2:$BJ$2,0),0),""),IFERROR(VLOOKUP($B66,Morning_Shift!$B$4:$BJ$61,MATCH(Both_Shift_Roster!AG$2,Morning_Shift!$B$2:$BJ$2,0),0),""))</f>
        <v>14:30-22:00</v>
      </c>
      <c r="AH66" s="2" t="str">
        <f>IF(IFERROR(VLOOKUP($B66,Morning_Shift!$B$4:$BJ$61,MATCH(Both_Shift_Roster!AH$2,Morning_Shift!$B$2:$BJ$2,0),0),"")="",IFERROR(VLOOKUP($B66,Evening_Shift!$B$4:$BJ$62,MATCH(Both_Shift_Roster!AH$2,Evening_Shift!$B$2:$BJ$2,0),0),""),IFERROR(VLOOKUP($B66,Morning_Shift!$B$4:$BJ$61,MATCH(Both_Shift_Roster!AH$2,Morning_Shift!$B$2:$BJ$2,0),0),""))</f>
        <v>14:30-22:00</v>
      </c>
      <c r="AI66" s="2" t="str">
        <f>IF(IFERROR(VLOOKUP($B66,Morning_Shift!$B$4:$BJ$61,MATCH(Both_Shift_Roster!AI$2,Morning_Shift!$B$2:$BJ$2,0),0),"")="",IFERROR(VLOOKUP($B66,Evening_Shift!$B$4:$BJ$62,MATCH(Both_Shift_Roster!AI$2,Evening_Shift!$B$2:$BJ$2,0),0),""),IFERROR(VLOOKUP($B66,Morning_Shift!$B$4:$BJ$61,MATCH(Both_Shift_Roster!AI$2,Morning_Shift!$B$2:$BJ$2,0),0),""))</f>
        <v>14:30-22:00</v>
      </c>
      <c r="AJ66" s="2" t="str">
        <f>IF(IFERROR(VLOOKUP($B66,Morning_Shift!$B$4:$BJ$61,MATCH(Both_Shift_Roster!AJ$2,Morning_Shift!$B$2:$BJ$2,0),0),"")="",IFERROR(VLOOKUP($B66,Evening_Shift!$B$4:$BJ$62,MATCH(Both_Shift_Roster!AJ$2,Evening_Shift!$B$2:$BJ$2,0),0),""),IFERROR(VLOOKUP($B66,Morning_Shift!$B$4:$BJ$61,MATCH(Both_Shift_Roster!AJ$2,Morning_Shift!$B$2:$BJ$2,0),0),""))</f>
        <v>14:30-22:00</v>
      </c>
      <c r="AK66" s="2" t="str">
        <f>IF(IFERROR(VLOOKUP($B66,Morning_Shift!$B$4:$BJ$61,MATCH(Both_Shift_Roster!AK$2,Morning_Shift!$B$2:$BJ$2,0),0),"")="",IFERROR(VLOOKUP($B66,Evening_Shift!$B$4:$BJ$62,MATCH(Both_Shift_Roster!AK$2,Evening_Shift!$B$2:$BJ$2,0),0),""),IFERROR(VLOOKUP($B66,Morning_Shift!$B$4:$BJ$61,MATCH(Both_Shift_Roster!AK$2,Morning_Shift!$B$2:$BJ$2,0),0),""))</f>
        <v>14:30-22:00</v>
      </c>
      <c r="AL66" s="2">
        <f t="shared" si="25"/>
        <v>0</v>
      </c>
      <c r="AM66" s="2">
        <f t="shared" si="26"/>
        <v>0</v>
      </c>
      <c r="AN66" s="2">
        <f t="shared" si="27"/>
        <v>0</v>
      </c>
      <c r="AO66" s="2">
        <f t="shared" si="28"/>
        <v>0</v>
      </c>
      <c r="AP66" s="2">
        <f t="shared" si="29"/>
        <v>0</v>
      </c>
      <c r="AQ66" s="2" t="str">
        <f>IF(IFERROR(VLOOKUP($B66,Morning_Shift!$B$4:$BJ$61,MATCH(Both_Shift_Roster!AQ$2,Morning_Shift!$B$2:$BJ$2,0),0),"")="",IFERROR(VLOOKUP($B66,Evening_Shift!$B$4:$BJ$62,MATCH(Both_Shift_Roster!AQ$2,Evening_Shift!$B$2:$BJ$2,0),0),""),IFERROR(VLOOKUP($B66,Morning_Shift!$B$4:$BJ$61,MATCH(Both_Shift_Roster!AQ$2,Morning_Shift!$B$2:$BJ$2,0),0),""))</f>
        <v>14:30-22:00</v>
      </c>
      <c r="AR66" s="2" t="str">
        <f>IF(IFERROR(VLOOKUP($B66,Morning_Shift!$B$4:$BJ$61,MATCH(Both_Shift_Roster!AR$2,Morning_Shift!$B$2:$BJ$2,0),0),"")="",IFERROR(VLOOKUP($B66,Evening_Shift!$B$4:$BJ$62,MATCH(Both_Shift_Roster!AR$2,Evening_Shift!$B$2:$BJ$2,0),0),""),IFERROR(VLOOKUP($B66,Morning_Shift!$B$4:$BJ$61,MATCH(Both_Shift_Roster!AR$2,Morning_Shift!$B$2:$BJ$2,0),0),""))</f>
        <v>Agent Choice WO</v>
      </c>
      <c r="AS66" s="2" t="str">
        <f>IF(IFERROR(VLOOKUP($B66,Morning_Shift!$B$4:$BJ$61,MATCH(Both_Shift_Roster!AS$2,Morning_Shift!$B$2:$BJ$2,0),0),"")="",IFERROR(VLOOKUP($B66,Evening_Shift!$B$4:$BJ$62,MATCH(Both_Shift_Roster!AS$2,Evening_Shift!$B$2:$BJ$2,0),0),""),IFERROR(VLOOKUP($B66,Morning_Shift!$B$4:$BJ$61,MATCH(Both_Shift_Roster!AS$2,Morning_Shift!$B$2:$BJ$2,0),0),""))</f>
        <v>Agent Choice WO</v>
      </c>
      <c r="AT66" s="2" t="str">
        <f>IF(IFERROR(VLOOKUP($B66,Morning_Shift!$B$4:$BJ$61,MATCH(Both_Shift_Roster!AT$2,Morning_Shift!$B$2:$BJ$2,0),0),"")="",IFERROR(VLOOKUP($B66,Evening_Shift!$B$4:$BJ$62,MATCH(Both_Shift_Roster!AT$2,Evening_Shift!$B$2:$BJ$2,0),0),""),IFERROR(VLOOKUP($B66,Morning_Shift!$B$4:$BJ$61,MATCH(Both_Shift_Roster!AT$2,Morning_Shift!$B$2:$BJ$2,0),0),""))</f>
        <v>14:30-22:00</v>
      </c>
      <c r="AU66" s="2" t="str">
        <f>IF(IFERROR(VLOOKUP($B66,Morning_Shift!$B$4:$BJ$61,MATCH(Both_Shift_Roster!AU$2,Morning_Shift!$B$2:$BJ$2,0),0),"")="",IFERROR(VLOOKUP($B66,Evening_Shift!$B$4:$BJ$62,MATCH(Both_Shift_Roster!AU$2,Evening_Shift!$B$2:$BJ$2,0),0),""),IFERROR(VLOOKUP($B66,Morning_Shift!$B$4:$BJ$61,MATCH(Both_Shift_Roster!AU$2,Morning_Shift!$B$2:$BJ$2,0),0),""))</f>
        <v>Agent Choice WO</v>
      </c>
      <c r="AV66" s="2" t="str">
        <f>IF(IFERROR(VLOOKUP($B66,Morning_Shift!$B$4:$BJ$61,MATCH(Both_Shift_Roster!AV$2,Morning_Shift!$B$2:$BJ$2,0),0),"")="",IFERROR(VLOOKUP($B66,Evening_Shift!$B$4:$BJ$62,MATCH(Both_Shift_Roster!AV$2,Evening_Shift!$B$2:$BJ$2,0),0),""),IFERROR(VLOOKUP($B66,Morning_Shift!$B$4:$BJ$61,MATCH(Both_Shift_Roster!AV$2,Morning_Shift!$B$2:$BJ$2,0),0),""))</f>
        <v>Agent Choice WO</v>
      </c>
      <c r="AW66" s="2" t="str">
        <f>IF(IFERROR(VLOOKUP($B66,Morning_Shift!$B$4:$BJ$61,MATCH(Both_Shift_Roster!AW$2,Morning_Shift!$B$2:$BJ$2,0),0),"")="",IFERROR(VLOOKUP($B66,Evening_Shift!$B$4:$BJ$62,MATCH(Both_Shift_Roster!AW$2,Evening_Shift!$B$2:$BJ$2,0),0),""),IFERROR(VLOOKUP($B66,Morning_Shift!$B$4:$BJ$61,MATCH(Both_Shift_Roster!AW$2,Morning_Shift!$B$2:$BJ$2,0),0),""))</f>
        <v>14:30-22:00</v>
      </c>
      <c r="AX66" s="2">
        <f t="shared" si="30"/>
        <v>4</v>
      </c>
      <c r="AY66" s="2">
        <f t="shared" si="31"/>
        <v>0</v>
      </c>
      <c r="AZ66" s="2">
        <f t="shared" si="32"/>
        <v>0</v>
      </c>
      <c r="BA66" s="2">
        <f t="shared" si="33"/>
        <v>0</v>
      </c>
      <c r="BB66" s="2">
        <f t="shared" si="34"/>
        <v>0</v>
      </c>
      <c r="BC66" s="2" t="str">
        <f>IF(IFERROR(VLOOKUP($B66,Morning_Shift!$B$4:$BJ$61,MATCH(Both_Shift_Roster!BC$2,Morning_Shift!$B$2:$BJ$2,0),0),"")="",IFERROR(VLOOKUP($B66,Evening_Shift!$B$4:$BJ$62,MATCH(Both_Shift_Roster!BC$2,Evening_Shift!$B$2:$BJ$2,0),0),""),IFERROR(VLOOKUP($B66,Morning_Shift!$B$4:$BJ$61,MATCH(Both_Shift_Roster!BC$2,Morning_Shift!$B$2:$BJ$2,0),0),""))</f>
        <v>14:30-22:00</v>
      </c>
      <c r="BD66" s="2" t="str">
        <f>IF(IFERROR(VLOOKUP($B66,Morning_Shift!$B$4:$BJ$61,MATCH(Both_Shift_Roster!BD$2,Morning_Shift!$B$2:$BJ$2,0),0),"")="",IFERROR(VLOOKUP($B66,Evening_Shift!$B$4:$BJ$62,MATCH(Both_Shift_Roster!BD$2,Evening_Shift!$B$2:$BJ$2,0),0),""),IFERROR(VLOOKUP($B66,Morning_Shift!$B$4:$BJ$61,MATCH(Both_Shift_Roster!BD$2,Morning_Shift!$B$2:$BJ$2,0),0),""))</f>
        <v>14:30-22:00</v>
      </c>
      <c r="BE66" s="2" t="str">
        <f>IF(IFERROR(VLOOKUP($B66,Morning_Shift!$B$4:$BJ$61,MATCH(Both_Shift_Roster!BE$2,Morning_Shift!$B$2:$BJ$2,0),0),"")="",IFERROR(VLOOKUP($B66,Evening_Shift!$B$4:$BJ$59,MATCH(Both_Shift_Roster!BE$2,Evening_Shift!$B$2:$BJ$2,0),0),""),IFERROR(VLOOKUP($B66,Morning_Shift!$B$4:$BJ$61,MATCH(Both_Shift_Roster!BE$2,Morning_Shift!$B$2:$BJ$2,0),0),""))</f>
        <v>14:30-22:00</v>
      </c>
      <c r="BF66" s="2">
        <f t="shared" si="35"/>
        <v>0</v>
      </c>
      <c r="BG66" s="2">
        <f t="shared" si="36"/>
        <v>0</v>
      </c>
      <c r="BH66" s="2">
        <f t="shared" si="37"/>
        <v>0</v>
      </c>
      <c r="BI66" s="2">
        <f t="shared" si="38"/>
        <v>0</v>
      </c>
      <c r="BJ66" s="2">
        <f t="shared" si="39"/>
        <v>0</v>
      </c>
    </row>
    <row r="67" spans="1:62">
      <c r="A67" s="17">
        <f t="shared" si="40"/>
        <v>64</v>
      </c>
      <c r="B67" s="16" t="str">
        <f>Evening_Shift!$B9</f>
        <v>Dritm42</v>
      </c>
      <c r="C67" s="21" t="str">
        <f>IF(IFERROR(VLOOKUP(B67,Morning_Shift!B:C,2,0),"")="",IFERROR(VLOOKUP(B67,Evening_Shift!B:C,2,0),""),IFERROR(VLOOKUP(B67,Morning_Shift!B:C,2,0),""))</f>
        <v>Puneet Chauhan</v>
      </c>
      <c r="D67" s="15" t="str">
        <f>IF(IFERROR(VLOOKUP(B67,Morning_Shift!B:D,3,0),"")="",IFERROR(VLOOKUP(B67,Evening_Shift!B:D,3,0),""),IFERROR(VLOOKUP(B67,Morning_Shift!B:D,3,0),""))</f>
        <v xml:space="preserve">Sanjesh </v>
      </c>
      <c r="E67" s="4" t="str">
        <f>IF(IFERROR(VLOOKUP(B67,Morning_Shift!B:E,4,0),"")="",IFERROR(VLOOKUP(B67,Evening_Shift!B:E,4,0),""),IFERROR(VLOOKUP(B67,Morning_Shift!B:E,4,0),""))</f>
        <v>M</v>
      </c>
      <c r="F67" s="5" t="str">
        <f>IF(IFERROR(VLOOKUP(B67,Morning_Shift!B:F,5,0),"")="",IFERROR(VLOOKUP(B67,Evening_Shift!B:F,5,0),""),IFERROR(VLOOKUP(B67,Morning_Shift!B:F,5,0),""))</f>
        <v>Himseva manual preview</v>
      </c>
      <c r="G67" s="2" t="str">
        <f>IF(IFERROR(VLOOKUP($B67,Morning_Shift!$B$4:$BJ$61,MATCH(Both_Shift_Roster!G$2,Morning_Shift!$B$2:$BJ$2,0),0),"")="",IFERROR(VLOOKUP($B67,Evening_Shift!$B$4:$BJ$62,MATCH(Both_Shift_Roster!G$2,Evening_Shift!$B$2:$BJ$2,0),0),""),IFERROR(VLOOKUP($B67,Morning_Shift!$B$4:$BJ$61,MATCH(Both_Shift_Roster!G$2,Morning_Shift!$B$2:$BJ$2,0),0),""))</f>
        <v>14:30-22:00</v>
      </c>
      <c r="H67" s="2" t="str">
        <f>IF(IFERROR(VLOOKUP($B67,Morning_Shift!$B$4:$BJ$61,MATCH(Both_Shift_Roster!H$2,Morning_Shift!$B$2:$BJ$2,0),0),"")="",IFERROR(VLOOKUP($B67,Evening_Shift!$B$4:$BJ$62,MATCH(Both_Shift_Roster!H$2,Evening_Shift!$B$2:$BJ$2,0),0),""),IFERROR(VLOOKUP($B67,Morning_Shift!$B$4:$BJ$61,MATCH(Both_Shift_Roster!H$2,Morning_Shift!$B$2:$BJ$2,0),0),""))</f>
        <v>14:30-22:00</v>
      </c>
      <c r="I67" s="2" t="str">
        <f>IF(IFERROR(VLOOKUP($B67,Morning_Shift!$B$4:$BJ$61,MATCH(Both_Shift_Roster!I$2,Morning_Shift!$B$2:$BJ$2,0),0),"")="",IFERROR(VLOOKUP($B67,Evening_Shift!$B$4:$BJ$62,MATCH(Both_Shift_Roster!I$2,Evening_Shift!$B$2:$BJ$2,0),0),""),IFERROR(VLOOKUP($B67,Morning_Shift!$B$4:$BJ$61,MATCH(Both_Shift_Roster!I$2,Morning_Shift!$B$2:$BJ$2,0),0),""))</f>
        <v>14:30-22:00</v>
      </c>
      <c r="J67" s="2" t="str">
        <f>IF(IFERROR(VLOOKUP($B67,Morning_Shift!$B$4:$BJ$61,MATCH(Both_Shift_Roster!J$2,Morning_Shift!$B$2:$BJ$2,0),0),"")="",IFERROR(VLOOKUP($B67,Evening_Shift!$B$4:$BJ$62,MATCH(Both_Shift_Roster!J$2,Evening_Shift!$B$2:$BJ$2,0),0),""),IFERROR(VLOOKUP($B67,Morning_Shift!$B$4:$BJ$61,MATCH(Both_Shift_Roster!J$2,Morning_Shift!$B$2:$BJ$2,0),0),""))</f>
        <v>14:30-22:00</v>
      </c>
      <c r="K67" s="2" t="str">
        <f>IF(IFERROR(VLOOKUP($B67,Morning_Shift!$B$4:$BJ$61,MATCH(Both_Shift_Roster!K$2,Morning_Shift!$B$2:$BJ$2,0),0),"")="",IFERROR(VLOOKUP($B67,Evening_Shift!$B$4:$BJ$62,MATCH(Both_Shift_Roster!K$2,Evening_Shift!$B$2:$BJ$2,0),0),""),IFERROR(VLOOKUP($B67,Morning_Shift!$B$4:$BJ$61,MATCH(Both_Shift_Roster!K$2,Morning_Shift!$B$2:$BJ$2,0),0),""))</f>
        <v>14:30-22:00</v>
      </c>
      <c r="L67" s="2" t="str">
        <f>IF(IFERROR(VLOOKUP($B67,Morning_Shift!$B$4:$BJ$61,MATCH(Both_Shift_Roster!L$2,Morning_Shift!$B$2:$BJ$2,0),0),"")="",IFERROR(VLOOKUP($B67,Evening_Shift!$B$4:$BJ$62,MATCH(Both_Shift_Roster!L$2,Evening_Shift!$B$2:$BJ$2,0),0),""),IFERROR(VLOOKUP($B67,Morning_Shift!$B$4:$BJ$61,MATCH(Both_Shift_Roster!L$2,Morning_Shift!$B$2:$BJ$2,0),0),""))</f>
        <v>14:30-22:00</v>
      </c>
      <c r="M67" s="2" t="str">
        <f>IF(IFERROR(VLOOKUP($B67,Morning_Shift!$B$4:$BJ$61,MATCH(Both_Shift_Roster!M$2,Morning_Shift!$B$2:$BJ$2,0),0),"")="",IFERROR(VLOOKUP($B67,Evening_Shift!$B$4:$BJ$62,MATCH(Both_Shift_Roster!M$2,Evening_Shift!$B$2:$BJ$2,0),0),""),IFERROR(VLOOKUP($B67,Morning_Shift!$B$4:$BJ$61,MATCH(Both_Shift_Roster!M$2,Morning_Shift!$B$2:$BJ$2,0),0),""))</f>
        <v>14:30-22:00</v>
      </c>
      <c r="N67" s="2">
        <f t="shared" si="15"/>
        <v>0</v>
      </c>
      <c r="O67" s="2">
        <f t="shared" si="16"/>
        <v>0</v>
      </c>
      <c r="P67" s="2">
        <f t="shared" si="17"/>
        <v>0</v>
      </c>
      <c r="Q67" s="2">
        <f t="shared" si="18"/>
        <v>0</v>
      </c>
      <c r="R67" s="2">
        <f t="shared" si="19"/>
        <v>0</v>
      </c>
      <c r="S67" s="2" t="str">
        <f>IF(IFERROR(VLOOKUP($B67,Morning_Shift!$B$4:$BJ$61,MATCH(Both_Shift_Roster!S$2,Morning_Shift!$B$2:$BJ$2,0),0),"")="",IFERROR(VLOOKUP($B67,Evening_Shift!$B$4:$BJ$62,MATCH(Both_Shift_Roster!S$2,Evening_Shift!$B$2:$BJ$2,0),0),""),IFERROR(VLOOKUP($B67,Morning_Shift!$B$4:$BJ$61,MATCH(Both_Shift_Roster!S$2,Morning_Shift!$B$2:$BJ$2,0),0),""))</f>
        <v>14:30-22:00</v>
      </c>
      <c r="T67" s="2" t="str">
        <f>IF(IFERROR(VLOOKUP($B67,Morning_Shift!$B$4:$BJ$61,MATCH(Both_Shift_Roster!T$2,Morning_Shift!$B$2:$BJ$2,0),0),"")="",IFERROR(VLOOKUP($B67,Evening_Shift!$B$4:$BJ$62,MATCH(Both_Shift_Roster!T$2,Evening_Shift!$B$2:$BJ$2,0),0),""),IFERROR(VLOOKUP($B67,Morning_Shift!$B$4:$BJ$61,MATCH(Both_Shift_Roster!T$2,Morning_Shift!$B$2:$BJ$2,0),0),""))</f>
        <v>14:30-22:00</v>
      </c>
      <c r="U67" s="2" t="str">
        <f>IF(IFERROR(VLOOKUP($B67,Morning_Shift!$B$4:$BJ$61,MATCH(Both_Shift_Roster!U$2,Morning_Shift!$B$2:$BJ$2,0),0),"")="",IFERROR(VLOOKUP($B67,Evening_Shift!$B$4:$BJ$62,MATCH(Both_Shift_Roster!U$2,Evening_Shift!$B$2:$BJ$2,0),0),""),IFERROR(VLOOKUP($B67,Morning_Shift!$B$4:$BJ$61,MATCH(Both_Shift_Roster!U$2,Morning_Shift!$B$2:$BJ$2,0),0),""))</f>
        <v>14:30-22:00</v>
      </c>
      <c r="V67" s="2" t="str">
        <f>IF(IFERROR(VLOOKUP($B67,Morning_Shift!$B$4:$BJ$61,MATCH(Both_Shift_Roster!V$2,Morning_Shift!$B$2:$BJ$2,0),0),"")="",IFERROR(VLOOKUP($B67,Evening_Shift!$B$4:$BJ$62,MATCH(Both_Shift_Roster!V$2,Evening_Shift!$B$2:$BJ$2,0),0),""),IFERROR(VLOOKUP($B67,Morning_Shift!$B$4:$BJ$61,MATCH(Both_Shift_Roster!V$2,Morning_Shift!$B$2:$BJ$2,0),0),""))</f>
        <v>14:30-22:00</v>
      </c>
      <c r="W67" s="2" t="str">
        <f>IF(IFERROR(VLOOKUP($B67,Morning_Shift!$B$4:$BJ$61,MATCH(Both_Shift_Roster!W$2,Morning_Shift!$B$2:$BJ$2,0),0),"")="",IFERROR(VLOOKUP($B67,Evening_Shift!$B$4:$BJ$62,MATCH(Both_Shift_Roster!W$2,Evening_Shift!$B$2:$BJ$2,0),0),""),IFERROR(VLOOKUP($B67,Morning_Shift!$B$4:$BJ$61,MATCH(Both_Shift_Roster!W$2,Morning_Shift!$B$2:$BJ$2,0),0),""))</f>
        <v>14:30-22:00</v>
      </c>
      <c r="X67" s="2" t="str">
        <f>IF(IFERROR(VLOOKUP($B67,Morning_Shift!$B$4:$BJ$61,MATCH(Both_Shift_Roster!X$2,Morning_Shift!$B$2:$BJ$2,0),0),"")="",IFERROR(VLOOKUP($B67,Evening_Shift!$B$4:$BJ$62,MATCH(Both_Shift_Roster!X$2,Evening_Shift!$B$2:$BJ$2,0),0),""),IFERROR(VLOOKUP($B67,Morning_Shift!$B$4:$BJ$61,MATCH(Both_Shift_Roster!X$2,Morning_Shift!$B$2:$BJ$2,0),0),""))</f>
        <v>Agent Choice WO</v>
      </c>
      <c r="Y67" s="2" t="str">
        <f>IF(IFERROR(VLOOKUP($B67,Morning_Shift!$B$4:$BJ$61,MATCH(Both_Shift_Roster!Y$2,Morning_Shift!$B$2:$BJ$2,0),0),"")="",IFERROR(VLOOKUP($B67,Evening_Shift!$B$4:$BJ$62,MATCH(Both_Shift_Roster!Y$2,Evening_Shift!$B$2:$BJ$2,0),0),""),IFERROR(VLOOKUP($B67,Morning_Shift!$B$4:$BJ$61,MATCH(Both_Shift_Roster!Y$2,Morning_Shift!$B$2:$BJ$2,0),0),""))</f>
        <v>Agent Choice WO</v>
      </c>
      <c r="Z67" s="2">
        <f t="shared" si="20"/>
        <v>2</v>
      </c>
      <c r="AA67" s="2">
        <f t="shared" si="21"/>
        <v>0</v>
      </c>
      <c r="AB67" s="2">
        <f t="shared" si="22"/>
        <v>0</v>
      </c>
      <c r="AC67" s="2">
        <f t="shared" si="23"/>
        <v>0</v>
      </c>
      <c r="AD67" s="2">
        <f t="shared" si="24"/>
        <v>0</v>
      </c>
      <c r="AE67" s="2" t="str">
        <f>IF(IFERROR(VLOOKUP($B67,Morning_Shift!$B$4:$BJ$61,MATCH(Both_Shift_Roster!AE$2,Morning_Shift!$B$2:$BJ$2,0),0),"")="",IFERROR(VLOOKUP($B67,Evening_Shift!$B$4:$BJ$62,MATCH(Both_Shift_Roster!AE$2,Evening_Shift!$B$2:$BJ$2,0),0),""),IFERROR(VLOOKUP($B67,Morning_Shift!$B$4:$BJ$61,MATCH(Both_Shift_Roster!AE$2,Morning_Shift!$B$2:$BJ$2,0),0),""))</f>
        <v>Agent Choice WO</v>
      </c>
      <c r="AF67" s="2" t="str">
        <f>IF(IFERROR(VLOOKUP($B67,Morning_Shift!$B$4:$BJ$61,MATCH(Both_Shift_Roster!AF$2,Morning_Shift!$B$2:$BJ$2,0),0),"")="",IFERROR(VLOOKUP($B67,Evening_Shift!$B$4:$BJ$62,MATCH(Both_Shift_Roster!AF$2,Evening_Shift!$B$2:$BJ$2,0),0),""),IFERROR(VLOOKUP($B67,Morning_Shift!$B$4:$BJ$61,MATCH(Both_Shift_Roster!AF$2,Morning_Shift!$B$2:$BJ$2,0),0),""))</f>
        <v>14:30-22:00</v>
      </c>
      <c r="AG67" s="2" t="str">
        <f>IF(IFERROR(VLOOKUP($B67,Morning_Shift!$B$4:$BJ$61,MATCH(Both_Shift_Roster!AG$2,Morning_Shift!$B$2:$BJ$2,0),0),"")="",IFERROR(VLOOKUP($B67,Evening_Shift!$B$4:$BJ$62,MATCH(Both_Shift_Roster!AG$2,Evening_Shift!$B$2:$BJ$2,0),0),""),IFERROR(VLOOKUP($B67,Morning_Shift!$B$4:$BJ$61,MATCH(Both_Shift_Roster!AG$2,Morning_Shift!$B$2:$BJ$2,0),0),""))</f>
        <v>Agent Choice WO</v>
      </c>
      <c r="AH67" s="2" t="str">
        <f>IF(IFERROR(VLOOKUP($B67,Morning_Shift!$B$4:$BJ$61,MATCH(Both_Shift_Roster!AH$2,Morning_Shift!$B$2:$BJ$2,0),0),"")="",IFERROR(VLOOKUP($B67,Evening_Shift!$B$4:$BJ$62,MATCH(Both_Shift_Roster!AH$2,Evening_Shift!$B$2:$BJ$2,0),0),""),IFERROR(VLOOKUP($B67,Morning_Shift!$B$4:$BJ$61,MATCH(Both_Shift_Roster!AH$2,Morning_Shift!$B$2:$BJ$2,0),0),""))</f>
        <v>CL</v>
      </c>
      <c r="AI67" s="2" t="str">
        <f>IF(IFERROR(VLOOKUP($B67,Morning_Shift!$B$4:$BJ$61,MATCH(Both_Shift_Roster!AI$2,Morning_Shift!$B$2:$BJ$2,0),0),"")="",IFERROR(VLOOKUP($B67,Evening_Shift!$B$4:$BJ$62,MATCH(Both_Shift_Roster!AI$2,Evening_Shift!$B$2:$BJ$2,0),0),""),IFERROR(VLOOKUP($B67,Morning_Shift!$B$4:$BJ$61,MATCH(Both_Shift_Roster!AI$2,Morning_Shift!$B$2:$BJ$2,0),0),""))</f>
        <v>Left</v>
      </c>
      <c r="AJ67" s="2" t="str">
        <f>IF(IFERROR(VLOOKUP($B67,Morning_Shift!$B$4:$BJ$61,MATCH(Both_Shift_Roster!AJ$2,Morning_Shift!$B$2:$BJ$2,0),0),"")="",IFERROR(VLOOKUP($B67,Evening_Shift!$B$4:$BJ$62,MATCH(Both_Shift_Roster!AJ$2,Evening_Shift!$B$2:$BJ$2,0),0),""),IFERROR(VLOOKUP($B67,Morning_Shift!$B$4:$BJ$61,MATCH(Both_Shift_Roster!AJ$2,Morning_Shift!$B$2:$BJ$2,0),0),""))</f>
        <v>Left</v>
      </c>
      <c r="AK67" s="2" t="str">
        <f>IF(IFERROR(VLOOKUP($B67,Morning_Shift!$B$4:$BJ$61,MATCH(Both_Shift_Roster!AK$2,Morning_Shift!$B$2:$BJ$2,0),0),"")="",IFERROR(VLOOKUP($B67,Evening_Shift!$B$4:$BJ$62,MATCH(Both_Shift_Roster!AK$2,Evening_Shift!$B$2:$BJ$2,0),0),""),IFERROR(VLOOKUP($B67,Morning_Shift!$B$4:$BJ$61,MATCH(Both_Shift_Roster!AK$2,Morning_Shift!$B$2:$BJ$2,0),0),""))</f>
        <v>Left</v>
      </c>
      <c r="AL67" s="2">
        <f t="shared" si="25"/>
        <v>2</v>
      </c>
      <c r="AM67" s="2">
        <f t="shared" si="26"/>
        <v>0</v>
      </c>
      <c r="AN67" s="2">
        <f t="shared" si="27"/>
        <v>1</v>
      </c>
      <c r="AO67" s="2">
        <f t="shared" si="28"/>
        <v>0</v>
      </c>
      <c r="AP67" s="2">
        <f t="shared" si="29"/>
        <v>0</v>
      </c>
      <c r="AQ67" s="2" t="str">
        <f>IF(IFERROR(VLOOKUP($B67,Morning_Shift!$B$4:$BJ$61,MATCH(Both_Shift_Roster!AQ$2,Morning_Shift!$B$2:$BJ$2,0),0),"")="",IFERROR(VLOOKUP($B67,Evening_Shift!$B$4:$BJ$62,MATCH(Both_Shift_Roster!AQ$2,Evening_Shift!$B$2:$BJ$2,0),0),""),IFERROR(VLOOKUP($B67,Morning_Shift!$B$4:$BJ$61,MATCH(Both_Shift_Roster!AQ$2,Morning_Shift!$B$2:$BJ$2,0),0),""))</f>
        <v>Left</v>
      </c>
      <c r="AR67" s="2" t="str">
        <f>IF(IFERROR(VLOOKUP($B67,Morning_Shift!$B$4:$BJ$61,MATCH(Both_Shift_Roster!AR$2,Morning_Shift!$B$2:$BJ$2,0),0),"")="",IFERROR(VLOOKUP($B67,Evening_Shift!$B$4:$BJ$62,MATCH(Both_Shift_Roster!AR$2,Evening_Shift!$B$2:$BJ$2,0),0),""),IFERROR(VLOOKUP($B67,Morning_Shift!$B$4:$BJ$61,MATCH(Both_Shift_Roster!AR$2,Morning_Shift!$B$2:$BJ$2,0),0),""))</f>
        <v>Left</v>
      </c>
      <c r="AS67" s="2" t="str">
        <f>IF(IFERROR(VLOOKUP($B67,Morning_Shift!$B$4:$BJ$61,MATCH(Both_Shift_Roster!AS$2,Morning_Shift!$B$2:$BJ$2,0),0),"")="",IFERROR(VLOOKUP($B67,Evening_Shift!$B$4:$BJ$62,MATCH(Both_Shift_Roster!AS$2,Evening_Shift!$B$2:$BJ$2,0),0),""),IFERROR(VLOOKUP($B67,Morning_Shift!$B$4:$BJ$61,MATCH(Both_Shift_Roster!AS$2,Morning_Shift!$B$2:$BJ$2,0),0),""))</f>
        <v>Left</v>
      </c>
      <c r="AT67" s="2" t="str">
        <f>IF(IFERROR(VLOOKUP($B67,Morning_Shift!$B$4:$BJ$61,MATCH(Both_Shift_Roster!AT$2,Morning_Shift!$B$2:$BJ$2,0),0),"")="",IFERROR(VLOOKUP($B67,Evening_Shift!$B$4:$BJ$62,MATCH(Both_Shift_Roster!AT$2,Evening_Shift!$B$2:$BJ$2,0),0),""),IFERROR(VLOOKUP($B67,Morning_Shift!$B$4:$BJ$61,MATCH(Both_Shift_Roster!AT$2,Morning_Shift!$B$2:$BJ$2,0),0),""))</f>
        <v>Left</v>
      </c>
      <c r="AU67" s="2" t="str">
        <f>IF(IFERROR(VLOOKUP($B67,Morning_Shift!$B$4:$BJ$61,MATCH(Both_Shift_Roster!AU$2,Morning_Shift!$B$2:$BJ$2,0),0),"")="",IFERROR(VLOOKUP($B67,Evening_Shift!$B$4:$BJ$62,MATCH(Both_Shift_Roster!AU$2,Evening_Shift!$B$2:$BJ$2,0),0),""),IFERROR(VLOOKUP($B67,Morning_Shift!$B$4:$BJ$61,MATCH(Both_Shift_Roster!AU$2,Morning_Shift!$B$2:$BJ$2,0),0),""))</f>
        <v>Left</v>
      </c>
      <c r="AV67" s="2" t="str">
        <f>IF(IFERROR(VLOOKUP($B67,Morning_Shift!$B$4:$BJ$61,MATCH(Both_Shift_Roster!AV$2,Morning_Shift!$B$2:$BJ$2,0),0),"")="",IFERROR(VLOOKUP($B67,Evening_Shift!$B$4:$BJ$62,MATCH(Both_Shift_Roster!AV$2,Evening_Shift!$B$2:$BJ$2,0),0),""),IFERROR(VLOOKUP($B67,Morning_Shift!$B$4:$BJ$61,MATCH(Both_Shift_Roster!AV$2,Morning_Shift!$B$2:$BJ$2,0),0),""))</f>
        <v>Left</v>
      </c>
      <c r="AW67" s="2" t="str">
        <f>IF(IFERROR(VLOOKUP($B67,Morning_Shift!$B$4:$BJ$61,MATCH(Both_Shift_Roster!AW$2,Morning_Shift!$B$2:$BJ$2,0),0),"")="",IFERROR(VLOOKUP($B67,Evening_Shift!$B$4:$BJ$62,MATCH(Both_Shift_Roster!AW$2,Evening_Shift!$B$2:$BJ$2,0),0),""),IFERROR(VLOOKUP($B67,Morning_Shift!$B$4:$BJ$61,MATCH(Both_Shift_Roster!AW$2,Morning_Shift!$B$2:$BJ$2,0),0),""))</f>
        <v>Left</v>
      </c>
      <c r="AX67" s="2">
        <f t="shared" si="30"/>
        <v>0</v>
      </c>
      <c r="AY67" s="2">
        <f t="shared" si="31"/>
        <v>0</v>
      </c>
      <c r="AZ67" s="2">
        <f t="shared" si="32"/>
        <v>0</v>
      </c>
      <c r="BA67" s="2">
        <f t="shared" si="33"/>
        <v>0</v>
      </c>
      <c r="BB67" s="2">
        <f t="shared" si="34"/>
        <v>0</v>
      </c>
      <c r="BC67" s="2" t="str">
        <f>IF(IFERROR(VLOOKUP($B67,Morning_Shift!$B$4:$BJ$61,MATCH(Both_Shift_Roster!BC$2,Morning_Shift!$B$2:$BJ$2,0),0),"")="",IFERROR(VLOOKUP($B67,Evening_Shift!$B$4:$BJ$62,MATCH(Both_Shift_Roster!BC$2,Evening_Shift!$B$2:$BJ$2,0),0),""),IFERROR(VLOOKUP($B67,Morning_Shift!$B$4:$BJ$61,MATCH(Both_Shift_Roster!BC$2,Morning_Shift!$B$2:$BJ$2,0),0),""))</f>
        <v>Left</v>
      </c>
      <c r="BD67" s="2" t="str">
        <f>IF(IFERROR(VLOOKUP($B67,Morning_Shift!$B$4:$BJ$61,MATCH(Both_Shift_Roster!BD$2,Morning_Shift!$B$2:$BJ$2,0),0),"")="",IFERROR(VLOOKUP($B67,Evening_Shift!$B$4:$BJ$62,MATCH(Both_Shift_Roster!BD$2,Evening_Shift!$B$2:$BJ$2,0),0),""),IFERROR(VLOOKUP($B67,Morning_Shift!$B$4:$BJ$61,MATCH(Both_Shift_Roster!BD$2,Morning_Shift!$B$2:$BJ$2,0),0),""))</f>
        <v>Left</v>
      </c>
      <c r="BE67" s="2" t="str">
        <f>IF(IFERROR(VLOOKUP($B67,Morning_Shift!$B$4:$BJ$61,MATCH(Both_Shift_Roster!BE$2,Morning_Shift!$B$2:$BJ$2,0),0),"")="",IFERROR(VLOOKUP($B67,Evening_Shift!$B$4:$BJ$59,MATCH(Both_Shift_Roster!BE$2,Evening_Shift!$B$2:$BJ$2,0),0),""),IFERROR(VLOOKUP($B67,Morning_Shift!$B$4:$BJ$61,MATCH(Both_Shift_Roster!BE$2,Morning_Shift!$B$2:$BJ$2,0),0),""))</f>
        <v>14:30-22:00</v>
      </c>
      <c r="BF67" s="2">
        <f t="shared" si="35"/>
        <v>0</v>
      </c>
      <c r="BG67" s="2">
        <f t="shared" si="36"/>
        <v>0</v>
      </c>
      <c r="BH67" s="2">
        <f t="shared" si="37"/>
        <v>0</v>
      </c>
      <c r="BI67" s="2">
        <f t="shared" si="38"/>
        <v>0</v>
      </c>
      <c r="BJ67" s="2">
        <f t="shared" si="39"/>
        <v>0</v>
      </c>
    </row>
    <row r="68" spans="1:62">
      <c r="A68" s="17">
        <f t="shared" si="40"/>
        <v>65</v>
      </c>
      <c r="B68" s="16" t="str">
        <f>Evening_Shift!$B10</f>
        <v>Dritm41</v>
      </c>
      <c r="C68" s="21" t="str">
        <f>IF(IFERROR(VLOOKUP(B68,Morning_Shift!B:C,2,0),"")="",IFERROR(VLOOKUP(B68,Evening_Shift!B:C,2,0),""),IFERROR(VLOOKUP(B68,Morning_Shift!B:C,2,0),""))</f>
        <v xml:space="preserve">Anuj Gunjeta </v>
      </c>
      <c r="D68" s="15" t="str">
        <f>IF(IFERROR(VLOOKUP(B68,Morning_Shift!B:D,3,0),"")="",IFERROR(VLOOKUP(B68,Evening_Shift!B:D,3,0),""),IFERROR(VLOOKUP(B68,Morning_Shift!B:D,3,0),""))</f>
        <v xml:space="preserve">Sanjesh </v>
      </c>
      <c r="E68" s="4" t="str">
        <f>IF(IFERROR(VLOOKUP(B68,Morning_Shift!B:E,4,0),"")="",IFERROR(VLOOKUP(B68,Evening_Shift!B:E,4,0),""),IFERROR(VLOOKUP(B68,Morning_Shift!B:E,4,0),""))</f>
        <v>M</v>
      </c>
      <c r="F68" s="5" t="str">
        <f>IF(IFERROR(VLOOKUP(B68,Morning_Shift!B:F,5,0),"")="",IFERROR(VLOOKUP(B68,Evening_Shift!B:F,5,0),""),IFERROR(VLOOKUP(B68,Morning_Shift!B:F,5,0),""))</f>
        <v>Himseva manual preview</v>
      </c>
      <c r="G68" s="2" t="str">
        <f>IF(IFERROR(VLOOKUP($B68,Morning_Shift!$B$4:$BJ$61,MATCH(Both_Shift_Roster!G$2,Morning_Shift!$B$2:$BJ$2,0),0),"")="",IFERROR(VLOOKUP($B68,Evening_Shift!$B$4:$BJ$62,MATCH(Both_Shift_Roster!G$2,Evening_Shift!$B$2:$BJ$2,0),0),""),IFERROR(VLOOKUP($B68,Morning_Shift!$B$4:$BJ$61,MATCH(Both_Shift_Roster!G$2,Morning_Shift!$B$2:$BJ$2,0),0),""))</f>
        <v>14:30-22:00</v>
      </c>
      <c r="H68" s="2" t="str">
        <f>IF(IFERROR(VLOOKUP($B68,Morning_Shift!$B$4:$BJ$61,MATCH(Both_Shift_Roster!H$2,Morning_Shift!$B$2:$BJ$2,0),0),"")="",IFERROR(VLOOKUP($B68,Evening_Shift!$B$4:$BJ$62,MATCH(Both_Shift_Roster!H$2,Evening_Shift!$B$2:$BJ$2,0),0),""),IFERROR(VLOOKUP($B68,Morning_Shift!$B$4:$BJ$61,MATCH(Both_Shift_Roster!H$2,Morning_Shift!$B$2:$BJ$2,0),0),""))</f>
        <v>14:30-22:00</v>
      </c>
      <c r="I68" s="2" t="str">
        <f>IF(IFERROR(VLOOKUP($B68,Morning_Shift!$B$4:$BJ$61,MATCH(Both_Shift_Roster!I$2,Morning_Shift!$B$2:$BJ$2,0),0),"")="",IFERROR(VLOOKUP($B68,Evening_Shift!$B$4:$BJ$62,MATCH(Both_Shift_Roster!I$2,Evening_Shift!$B$2:$BJ$2,0),0),""),IFERROR(VLOOKUP($B68,Morning_Shift!$B$4:$BJ$61,MATCH(Both_Shift_Roster!I$2,Morning_Shift!$B$2:$BJ$2,0),0),""))</f>
        <v>14:30-22:00</v>
      </c>
      <c r="J68" s="2" t="str">
        <f>IF(IFERROR(VLOOKUP($B68,Morning_Shift!$B$4:$BJ$61,MATCH(Both_Shift_Roster!J$2,Morning_Shift!$B$2:$BJ$2,0),0),"")="",IFERROR(VLOOKUP($B68,Evening_Shift!$B$4:$BJ$62,MATCH(Both_Shift_Roster!J$2,Evening_Shift!$B$2:$BJ$2,0),0),""),IFERROR(VLOOKUP($B68,Morning_Shift!$B$4:$BJ$61,MATCH(Both_Shift_Roster!J$2,Morning_Shift!$B$2:$BJ$2,0),0),""))</f>
        <v>14:30-22:00</v>
      </c>
      <c r="K68" s="2" t="str">
        <f>IF(IFERROR(VLOOKUP($B68,Morning_Shift!$B$4:$BJ$61,MATCH(Both_Shift_Roster!K$2,Morning_Shift!$B$2:$BJ$2,0),0),"")="",IFERROR(VLOOKUP($B68,Evening_Shift!$B$4:$BJ$62,MATCH(Both_Shift_Roster!K$2,Evening_Shift!$B$2:$BJ$2,0),0),""),IFERROR(VLOOKUP($B68,Morning_Shift!$B$4:$BJ$61,MATCH(Both_Shift_Roster!K$2,Morning_Shift!$B$2:$BJ$2,0),0),""))</f>
        <v>14:30-22:00</v>
      </c>
      <c r="L68" s="2" t="str">
        <f>IF(IFERROR(VLOOKUP($B68,Morning_Shift!$B$4:$BJ$61,MATCH(Both_Shift_Roster!L$2,Morning_Shift!$B$2:$BJ$2,0),0),"")="",IFERROR(VLOOKUP($B68,Evening_Shift!$B$4:$BJ$62,MATCH(Both_Shift_Roster!L$2,Evening_Shift!$B$2:$BJ$2,0),0),""),IFERROR(VLOOKUP($B68,Morning_Shift!$B$4:$BJ$61,MATCH(Both_Shift_Roster!L$2,Morning_Shift!$B$2:$BJ$2,0),0),""))</f>
        <v>14:30-22:00</v>
      </c>
      <c r="M68" s="2" t="str">
        <f>IF(IFERROR(VLOOKUP($B68,Morning_Shift!$B$4:$BJ$61,MATCH(Both_Shift_Roster!M$2,Morning_Shift!$B$2:$BJ$2,0),0),"")="",IFERROR(VLOOKUP($B68,Evening_Shift!$B$4:$BJ$62,MATCH(Both_Shift_Roster!M$2,Evening_Shift!$B$2:$BJ$2,0),0),""),IFERROR(VLOOKUP($B68,Morning_Shift!$B$4:$BJ$61,MATCH(Both_Shift_Roster!M$2,Morning_Shift!$B$2:$BJ$2,0),0),""))</f>
        <v>Agent Choice WO</v>
      </c>
      <c r="N68" s="2">
        <f t="shared" si="15"/>
        <v>1</v>
      </c>
      <c r="O68" s="2">
        <f t="shared" si="16"/>
        <v>0</v>
      </c>
      <c r="P68" s="2">
        <f t="shared" si="17"/>
        <v>0</v>
      </c>
      <c r="Q68" s="2">
        <f t="shared" si="18"/>
        <v>0</v>
      </c>
      <c r="R68" s="2">
        <f t="shared" si="19"/>
        <v>0</v>
      </c>
      <c r="S68" s="2" t="str">
        <f>IF(IFERROR(VLOOKUP($B68,Morning_Shift!$B$4:$BJ$61,MATCH(Both_Shift_Roster!S$2,Morning_Shift!$B$2:$BJ$2,0),0),"")="",IFERROR(VLOOKUP($B68,Evening_Shift!$B$4:$BJ$62,MATCH(Both_Shift_Roster!S$2,Evening_Shift!$B$2:$BJ$2,0),0),""),IFERROR(VLOOKUP($B68,Morning_Shift!$B$4:$BJ$61,MATCH(Both_Shift_Roster!S$2,Morning_Shift!$B$2:$BJ$2,0),0),""))</f>
        <v>14:30-22:00</v>
      </c>
      <c r="T68" s="2" t="str">
        <f>IF(IFERROR(VLOOKUP($B68,Morning_Shift!$B$4:$BJ$61,MATCH(Both_Shift_Roster!T$2,Morning_Shift!$B$2:$BJ$2,0),0),"")="",IFERROR(VLOOKUP($B68,Evening_Shift!$B$4:$BJ$62,MATCH(Both_Shift_Roster!T$2,Evening_Shift!$B$2:$BJ$2,0),0),""),IFERROR(VLOOKUP($B68,Morning_Shift!$B$4:$BJ$61,MATCH(Both_Shift_Roster!T$2,Morning_Shift!$B$2:$BJ$2,0),0),""))</f>
        <v>14:30-22:00</v>
      </c>
      <c r="U68" s="2" t="str">
        <f>IF(IFERROR(VLOOKUP($B68,Morning_Shift!$B$4:$BJ$61,MATCH(Both_Shift_Roster!U$2,Morning_Shift!$B$2:$BJ$2,0),0),"")="",IFERROR(VLOOKUP($B68,Evening_Shift!$B$4:$BJ$62,MATCH(Both_Shift_Roster!U$2,Evening_Shift!$B$2:$BJ$2,0),0),""),IFERROR(VLOOKUP($B68,Morning_Shift!$B$4:$BJ$61,MATCH(Both_Shift_Roster!U$2,Morning_Shift!$B$2:$BJ$2,0),0),""))</f>
        <v>14:30-22:00</v>
      </c>
      <c r="V68" s="2" t="str">
        <f>IF(IFERROR(VLOOKUP($B68,Morning_Shift!$B$4:$BJ$61,MATCH(Both_Shift_Roster!V$2,Morning_Shift!$B$2:$BJ$2,0),0),"")="",IFERROR(VLOOKUP($B68,Evening_Shift!$B$4:$BJ$62,MATCH(Both_Shift_Roster!V$2,Evening_Shift!$B$2:$BJ$2,0),0),""),IFERROR(VLOOKUP($B68,Morning_Shift!$B$4:$BJ$61,MATCH(Both_Shift_Roster!V$2,Morning_Shift!$B$2:$BJ$2,0),0),""))</f>
        <v>14:30-22:00</v>
      </c>
      <c r="W68" s="2" t="str">
        <f>IF(IFERROR(VLOOKUP($B68,Morning_Shift!$B$4:$BJ$61,MATCH(Both_Shift_Roster!W$2,Morning_Shift!$B$2:$BJ$2,0),0),"")="",IFERROR(VLOOKUP($B68,Evening_Shift!$B$4:$BJ$62,MATCH(Both_Shift_Roster!W$2,Evening_Shift!$B$2:$BJ$2,0),0),""),IFERROR(VLOOKUP($B68,Morning_Shift!$B$4:$BJ$61,MATCH(Both_Shift_Roster!W$2,Morning_Shift!$B$2:$BJ$2,0),0),""))</f>
        <v>Agent Choice WO</v>
      </c>
      <c r="X68" s="2" t="str">
        <f>IF(IFERROR(VLOOKUP($B68,Morning_Shift!$B$4:$BJ$61,MATCH(Both_Shift_Roster!X$2,Morning_Shift!$B$2:$BJ$2,0),0),"")="",IFERROR(VLOOKUP($B68,Evening_Shift!$B$4:$BJ$62,MATCH(Both_Shift_Roster!X$2,Evening_Shift!$B$2:$BJ$2,0),0),""),IFERROR(VLOOKUP($B68,Morning_Shift!$B$4:$BJ$61,MATCH(Both_Shift_Roster!X$2,Morning_Shift!$B$2:$BJ$2,0),0),""))</f>
        <v>Agent Choice WO</v>
      </c>
      <c r="Y68" s="2" t="str">
        <f>IF(IFERROR(VLOOKUP($B68,Morning_Shift!$B$4:$BJ$61,MATCH(Both_Shift_Roster!Y$2,Morning_Shift!$B$2:$BJ$2,0),0),"")="",IFERROR(VLOOKUP($B68,Evening_Shift!$B$4:$BJ$62,MATCH(Both_Shift_Roster!Y$2,Evening_Shift!$B$2:$BJ$2,0),0),""),IFERROR(VLOOKUP($B68,Morning_Shift!$B$4:$BJ$61,MATCH(Both_Shift_Roster!Y$2,Morning_Shift!$B$2:$BJ$2,0),0),""))</f>
        <v>Agent Choice WO</v>
      </c>
      <c r="Z68" s="2">
        <f t="shared" si="20"/>
        <v>3</v>
      </c>
      <c r="AA68" s="2">
        <f t="shared" si="21"/>
        <v>0</v>
      </c>
      <c r="AB68" s="2">
        <f t="shared" si="22"/>
        <v>0</v>
      </c>
      <c r="AC68" s="2">
        <f t="shared" si="23"/>
        <v>0</v>
      </c>
      <c r="AD68" s="2">
        <f t="shared" si="24"/>
        <v>0</v>
      </c>
      <c r="AE68" s="2" t="str">
        <f>IF(IFERROR(VLOOKUP($B68,Morning_Shift!$B$4:$BJ$61,MATCH(Both_Shift_Roster!AE$2,Morning_Shift!$B$2:$BJ$2,0),0),"")="",IFERROR(VLOOKUP($B68,Evening_Shift!$B$4:$BJ$62,MATCH(Both_Shift_Roster!AE$2,Evening_Shift!$B$2:$BJ$2,0),0),""),IFERROR(VLOOKUP($B68,Morning_Shift!$B$4:$BJ$61,MATCH(Both_Shift_Roster!AE$2,Morning_Shift!$B$2:$BJ$2,0),0),""))</f>
        <v>14:30-22:00</v>
      </c>
      <c r="AF68" s="2" t="str">
        <f>IF(IFERROR(VLOOKUP($B68,Morning_Shift!$B$4:$BJ$61,MATCH(Both_Shift_Roster!AF$2,Morning_Shift!$B$2:$BJ$2,0),0),"")="",IFERROR(VLOOKUP($B68,Evening_Shift!$B$4:$BJ$62,MATCH(Both_Shift_Roster!AF$2,Evening_Shift!$B$2:$BJ$2,0),0),""),IFERROR(VLOOKUP($B68,Morning_Shift!$B$4:$BJ$61,MATCH(Both_Shift_Roster!AF$2,Morning_Shift!$B$2:$BJ$2,0),0),""))</f>
        <v>14:30-22:00</v>
      </c>
      <c r="AG68" s="2" t="str">
        <f>IF(IFERROR(VLOOKUP($B68,Morning_Shift!$B$4:$BJ$61,MATCH(Both_Shift_Roster!AG$2,Morning_Shift!$B$2:$BJ$2,0),0),"")="",IFERROR(VLOOKUP($B68,Evening_Shift!$B$4:$BJ$62,MATCH(Both_Shift_Roster!AG$2,Evening_Shift!$B$2:$BJ$2,0),0),""),IFERROR(VLOOKUP($B68,Morning_Shift!$B$4:$BJ$61,MATCH(Both_Shift_Roster!AG$2,Morning_Shift!$B$2:$BJ$2,0),0),""))</f>
        <v>14:30-22:00</v>
      </c>
      <c r="AH68" s="2" t="str">
        <f>IF(IFERROR(VLOOKUP($B68,Morning_Shift!$B$4:$BJ$61,MATCH(Both_Shift_Roster!AH$2,Morning_Shift!$B$2:$BJ$2,0),0),"")="",IFERROR(VLOOKUP($B68,Evening_Shift!$B$4:$BJ$62,MATCH(Both_Shift_Roster!AH$2,Evening_Shift!$B$2:$BJ$2,0),0),""),IFERROR(VLOOKUP($B68,Morning_Shift!$B$4:$BJ$61,MATCH(Both_Shift_Roster!AH$2,Morning_Shift!$B$2:$BJ$2,0),0),""))</f>
        <v>14:30-22:00</v>
      </c>
      <c r="AI68" s="2" t="str">
        <f>IF(IFERROR(VLOOKUP($B68,Morning_Shift!$B$4:$BJ$61,MATCH(Both_Shift_Roster!AI$2,Morning_Shift!$B$2:$BJ$2,0),0),"")="",IFERROR(VLOOKUP($B68,Evening_Shift!$B$4:$BJ$62,MATCH(Both_Shift_Roster!AI$2,Evening_Shift!$B$2:$BJ$2,0),0),""),IFERROR(VLOOKUP($B68,Morning_Shift!$B$4:$BJ$61,MATCH(Both_Shift_Roster!AI$2,Morning_Shift!$B$2:$BJ$2,0),0),""))</f>
        <v>14:30-22:00</v>
      </c>
      <c r="AJ68" s="2" t="str">
        <f>IF(IFERROR(VLOOKUP($B68,Morning_Shift!$B$4:$BJ$61,MATCH(Both_Shift_Roster!AJ$2,Morning_Shift!$B$2:$BJ$2,0),0),"")="",IFERROR(VLOOKUP($B68,Evening_Shift!$B$4:$BJ$62,MATCH(Both_Shift_Roster!AJ$2,Evening_Shift!$B$2:$BJ$2,0),0),""),IFERROR(VLOOKUP($B68,Morning_Shift!$B$4:$BJ$61,MATCH(Both_Shift_Roster!AJ$2,Morning_Shift!$B$2:$BJ$2,0),0),""))</f>
        <v>14:30-22:00</v>
      </c>
      <c r="AK68" s="2" t="str">
        <f>IF(IFERROR(VLOOKUP($B68,Morning_Shift!$B$4:$BJ$61,MATCH(Both_Shift_Roster!AK$2,Morning_Shift!$B$2:$BJ$2,0),0),"")="",IFERROR(VLOOKUP($B68,Evening_Shift!$B$4:$BJ$62,MATCH(Both_Shift_Roster!AK$2,Evening_Shift!$B$2:$BJ$2,0),0),""),IFERROR(VLOOKUP($B68,Morning_Shift!$B$4:$BJ$61,MATCH(Both_Shift_Roster!AK$2,Morning_Shift!$B$2:$BJ$2,0),0),""))</f>
        <v>14:30-22:00</v>
      </c>
      <c r="AL68" s="2">
        <f t="shared" si="25"/>
        <v>0</v>
      </c>
      <c r="AM68" s="2">
        <f t="shared" si="26"/>
        <v>0</v>
      </c>
      <c r="AN68" s="2">
        <f t="shared" si="27"/>
        <v>0</v>
      </c>
      <c r="AO68" s="2">
        <f t="shared" si="28"/>
        <v>0</v>
      </c>
      <c r="AP68" s="2">
        <f t="shared" si="29"/>
        <v>0</v>
      </c>
      <c r="AQ68" s="2" t="str">
        <f>IF(IFERROR(VLOOKUP($B68,Morning_Shift!$B$4:$BJ$61,MATCH(Both_Shift_Roster!AQ$2,Morning_Shift!$B$2:$BJ$2,0),0),"")="",IFERROR(VLOOKUP($B68,Evening_Shift!$B$4:$BJ$62,MATCH(Both_Shift_Roster!AQ$2,Evening_Shift!$B$2:$BJ$2,0),0),""),IFERROR(VLOOKUP($B68,Morning_Shift!$B$4:$BJ$61,MATCH(Both_Shift_Roster!AQ$2,Morning_Shift!$B$2:$BJ$2,0),0),""))</f>
        <v>14:30-22:00</v>
      </c>
      <c r="AR68" s="2" t="str">
        <f>IF(IFERROR(VLOOKUP($B68,Morning_Shift!$B$4:$BJ$61,MATCH(Both_Shift_Roster!AR$2,Morning_Shift!$B$2:$BJ$2,0),0),"")="",IFERROR(VLOOKUP($B68,Evening_Shift!$B$4:$BJ$62,MATCH(Both_Shift_Roster!AR$2,Evening_Shift!$B$2:$BJ$2,0),0),""),IFERROR(VLOOKUP($B68,Morning_Shift!$B$4:$BJ$61,MATCH(Both_Shift_Roster!AR$2,Morning_Shift!$B$2:$BJ$2,0),0),""))</f>
        <v>14:30-22:00</v>
      </c>
      <c r="AS68" s="2" t="str">
        <f>IF(IFERROR(VLOOKUP($B68,Morning_Shift!$B$4:$BJ$61,MATCH(Both_Shift_Roster!AS$2,Morning_Shift!$B$2:$BJ$2,0),0),"")="",IFERROR(VLOOKUP($B68,Evening_Shift!$B$4:$BJ$62,MATCH(Both_Shift_Roster!AS$2,Evening_Shift!$B$2:$BJ$2,0),0),""),IFERROR(VLOOKUP($B68,Morning_Shift!$B$4:$BJ$61,MATCH(Both_Shift_Roster!AS$2,Morning_Shift!$B$2:$BJ$2,0),0),""))</f>
        <v>14:30-22:00</v>
      </c>
      <c r="AT68" s="2" t="str">
        <f>IF(IFERROR(VLOOKUP($B68,Morning_Shift!$B$4:$BJ$61,MATCH(Both_Shift_Roster!AT$2,Morning_Shift!$B$2:$BJ$2,0),0),"")="",IFERROR(VLOOKUP($B68,Evening_Shift!$B$4:$BJ$62,MATCH(Both_Shift_Roster!AT$2,Evening_Shift!$B$2:$BJ$2,0),0),""),IFERROR(VLOOKUP($B68,Morning_Shift!$B$4:$BJ$61,MATCH(Both_Shift_Roster!AT$2,Morning_Shift!$B$2:$BJ$2,0),0),""))</f>
        <v>14:30-22:00</v>
      </c>
      <c r="AU68" s="2" t="str">
        <f>IF(IFERROR(VLOOKUP($B68,Morning_Shift!$B$4:$BJ$61,MATCH(Both_Shift_Roster!AU$2,Morning_Shift!$B$2:$BJ$2,0),0),"")="",IFERROR(VLOOKUP($B68,Evening_Shift!$B$4:$BJ$62,MATCH(Both_Shift_Roster!AU$2,Evening_Shift!$B$2:$BJ$2,0),0),""),IFERROR(VLOOKUP($B68,Morning_Shift!$B$4:$BJ$61,MATCH(Both_Shift_Roster!AU$2,Morning_Shift!$B$2:$BJ$2,0),0),""))</f>
        <v>14:30-22:00</v>
      </c>
      <c r="AV68" s="2" t="str">
        <f>IF(IFERROR(VLOOKUP($B68,Morning_Shift!$B$4:$BJ$61,MATCH(Both_Shift_Roster!AV$2,Morning_Shift!$B$2:$BJ$2,0),0),"")="",IFERROR(VLOOKUP($B68,Evening_Shift!$B$4:$BJ$62,MATCH(Both_Shift_Roster!AV$2,Evening_Shift!$B$2:$BJ$2,0),0),""),IFERROR(VLOOKUP($B68,Morning_Shift!$B$4:$BJ$61,MATCH(Both_Shift_Roster!AV$2,Morning_Shift!$B$2:$BJ$2,0),0),""))</f>
        <v>14:30-22:00</v>
      </c>
      <c r="AW68" s="2" t="str">
        <f>IF(IFERROR(VLOOKUP($B68,Morning_Shift!$B$4:$BJ$61,MATCH(Both_Shift_Roster!AW$2,Morning_Shift!$B$2:$BJ$2,0),0),"")="",IFERROR(VLOOKUP($B68,Evening_Shift!$B$4:$BJ$62,MATCH(Both_Shift_Roster!AW$2,Evening_Shift!$B$2:$BJ$2,0),0),""),IFERROR(VLOOKUP($B68,Morning_Shift!$B$4:$BJ$61,MATCH(Both_Shift_Roster!AW$2,Morning_Shift!$B$2:$BJ$2,0),0),""))</f>
        <v>14:30-22:00</v>
      </c>
      <c r="AX68" s="2">
        <f t="shared" si="30"/>
        <v>0</v>
      </c>
      <c r="AY68" s="2">
        <f t="shared" si="31"/>
        <v>0</v>
      </c>
      <c r="AZ68" s="2">
        <f t="shared" si="32"/>
        <v>0</v>
      </c>
      <c r="BA68" s="2">
        <f t="shared" si="33"/>
        <v>0</v>
      </c>
      <c r="BB68" s="2">
        <f t="shared" si="34"/>
        <v>0</v>
      </c>
      <c r="BC68" s="2" t="str">
        <f>IF(IFERROR(VLOOKUP($B68,Morning_Shift!$B$4:$BJ$61,MATCH(Both_Shift_Roster!BC$2,Morning_Shift!$B$2:$BJ$2,0),0),"")="",IFERROR(VLOOKUP($B68,Evening_Shift!$B$4:$BJ$62,MATCH(Both_Shift_Roster!BC$2,Evening_Shift!$B$2:$BJ$2,0),0),""),IFERROR(VLOOKUP($B68,Morning_Shift!$B$4:$BJ$61,MATCH(Both_Shift_Roster!BC$2,Morning_Shift!$B$2:$BJ$2,0),0),""))</f>
        <v>14:30-22:00</v>
      </c>
      <c r="BD68" s="2" t="str">
        <f>IF(IFERROR(VLOOKUP($B68,Morning_Shift!$B$4:$BJ$61,MATCH(Both_Shift_Roster!BD$2,Morning_Shift!$B$2:$BJ$2,0),0),"")="",IFERROR(VLOOKUP($B68,Evening_Shift!$B$4:$BJ$62,MATCH(Both_Shift_Roster!BD$2,Evening_Shift!$B$2:$BJ$2,0),0),""),IFERROR(VLOOKUP($B68,Morning_Shift!$B$4:$BJ$61,MATCH(Both_Shift_Roster!BD$2,Morning_Shift!$B$2:$BJ$2,0),0),""))</f>
        <v>14:30-22:00</v>
      </c>
      <c r="BE68" s="2" t="str">
        <f>IF(IFERROR(VLOOKUP($B68,Morning_Shift!$B$4:$BJ$61,MATCH(Both_Shift_Roster!BE$2,Morning_Shift!$B$2:$BJ$2,0),0),"")="",IFERROR(VLOOKUP($B68,Evening_Shift!$B$4:$BJ$59,MATCH(Both_Shift_Roster!BE$2,Evening_Shift!$B$2:$BJ$2,0),0),""),IFERROR(VLOOKUP($B68,Morning_Shift!$B$4:$BJ$61,MATCH(Both_Shift_Roster!BE$2,Morning_Shift!$B$2:$BJ$2,0),0),""))</f>
        <v>14:30-22:00</v>
      </c>
      <c r="BF68" s="2">
        <f t="shared" si="35"/>
        <v>0</v>
      </c>
      <c r="BG68" s="2">
        <f t="shared" si="36"/>
        <v>0</v>
      </c>
      <c r="BH68" s="2">
        <f t="shared" si="37"/>
        <v>0</v>
      </c>
      <c r="BI68" s="2">
        <f t="shared" si="38"/>
        <v>0</v>
      </c>
      <c r="BJ68" s="2">
        <f t="shared" si="39"/>
        <v>0</v>
      </c>
    </row>
    <row r="69" spans="1:62">
      <c r="A69" s="17">
        <f t="shared" si="40"/>
        <v>66</v>
      </c>
      <c r="B69" s="16" t="str">
        <f>Evening_Shift!$B11</f>
        <v>Dritm44</v>
      </c>
      <c r="C69" s="21" t="str">
        <f>IF(IFERROR(VLOOKUP(B69,Morning_Shift!B:C,2,0),"")="",IFERROR(VLOOKUP(B69,Evening_Shift!B:C,2,0),""),IFERROR(VLOOKUP(B69,Morning_Shift!B:C,2,0),""))</f>
        <v>Manita Thakur</v>
      </c>
      <c r="D69" s="15" t="str">
        <f>IF(IFERROR(VLOOKUP(B69,Morning_Shift!B:D,3,0),"")="",IFERROR(VLOOKUP(B69,Evening_Shift!B:D,3,0),""),IFERROR(VLOOKUP(B69,Morning_Shift!B:D,3,0),""))</f>
        <v xml:space="preserve">Sanjesh </v>
      </c>
      <c r="E69" s="4" t="str">
        <f>IF(IFERROR(VLOOKUP(B69,Morning_Shift!B:E,4,0),"")="",IFERROR(VLOOKUP(B69,Evening_Shift!B:E,4,0),""),IFERROR(VLOOKUP(B69,Morning_Shift!B:E,4,0),""))</f>
        <v>F</v>
      </c>
      <c r="F69" s="5" t="str">
        <f>IF(IFERROR(VLOOKUP(B69,Morning_Shift!B:F,5,0),"")="",IFERROR(VLOOKUP(B69,Evening_Shift!B:F,5,0),""),IFERROR(VLOOKUP(B69,Morning_Shift!B:F,5,0),""))</f>
        <v>Inbound</v>
      </c>
      <c r="G69" s="2" t="str">
        <f>IF(IFERROR(VLOOKUP($B69,Morning_Shift!$B$4:$BJ$61,MATCH(Both_Shift_Roster!G$2,Morning_Shift!$B$2:$BJ$2,0),0),"")="",IFERROR(VLOOKUP($B69,Evening_Shift!$B$4:$BJ$62,MATCH(Both_Shift_Roster!G$2,Evening_Shift!$B$2:$BJ$2,0),0),""),IFERROR(VLOOKUP($B69,Morning_Shift!$B$4:$BJ$61,MATCH(Both_Shift_Roster!G$2,Morning_Shift!$B$2:$BJ$2,0),0),""))</f>
        <v>14:30-22:00</v>
      </c>
      <c r="H69" s="2" t="str">
        <f>IF(IFERROR(VLOOKUP($B69,Morning_Shift!$B$4:$BJ$61,MATCH(Both_Shift_Roster!H$2,Morning_Shift!$B$2:$BJ$2,0),0),"")="",IFERROR(VLOOKUP($B69,Evening_Shift!$B$4:$BJ$62,MATCH(Both_Shift_Roster!H$2,Evening_Shift!$B$2:$BJ$2,0),0),""),IFERROR(VLOOKUP($B69,Morning_Shift!$B$4:$BJ$61,MATCH(Both_Shift_Roster!H$2,Morning_Shift!$B$2:$BJ$2,0),0),""))</f>
        <v>14:30-22:00</v>
      </c>
      <c r="I69" s="2" t="str">
        <f>IF(IFERROR(VLOOKUP($B69,Morning_Shift!$B$4:$BJ$61,MATCH(Both_Shift_Roster!I$2,Morning_Shift!$B$2:$BJ$2,0),0),"")="",IFERROR(VLOOKUP($B69,Evening_Shift!$B$4:$BJ$62,MATCH(Both_Shift_Roster!I$2,Evening_Shift!$B$2:$BJ$2,0),0),""),IFERROR(VLOOKUP($B69,Morning_Shift!$B$4:$BJ$61,MATCH(Both_Shift_Roster!I$2,Morning_Shift!$B$2:$BJ$2,0),0),""))</f>
        <v>14:30-22:00</v>
      </c>
      <c r="J69" s="2" t="str">
        <f>IF(IFERROR(VLOOKUP($B69,Morning_Shift!$B$4:$BJ$61,MATCH(Both_Shift_Roster!J$2,Morning_Shift!$B$2:$BJ$2,0),0),"")="",IFERROR(VLOOKUP($B69,Evening_Shift!$B$4:$BJ$62,MATCH(Both_Shift_Roster!J$2,Evening_Shift!$B$2:$BJ$2,0),0),""),IFERROR(VLOOKUP($B69,Morning_Shift!$B$4:$BJ$61,MATCH(Both_Shift_Roster!J$2,Morning_Shift!$B$2:$BJ$2,0),0),""))</f>
        <v>14:30-22:00</v>
      </c>
      <c r="K69" s="2" t="str">
        <f>IF(IFERROR(VLOOKUP($B69,Morning_Shift!$B$4:$BJ$61,MATCH(Both_Shift_Roster!K$2,Morning_Shift!$B$2:$BJ$2,0),0),"")="",IFERROR(VLOOKUP($B69,Evening_Shift!$B$4:$BJ$62,MATCH(Both_Shift_Roster!K$2,Evening_Shift!$B$2:$BJ$2,0),0),""),IFERROR(VLOOKUP($B69,Morning_Shift!$B$4:$BJ$61,MATCH(Both_Shift_Roster!K$2,Morning_Shift!$B$2:$BJ$2,0),0),""))</f>
        <v>Agent Choice WO</v>
      </c>
      <c r="L69" s="2" t="str">
        <f>IF(IFERROR(VLOOKUP($B69,Morning_Shift!$B$4:$BJ$61,MATCH(Both_Shift_Roster!L$2,Morning_Shift!$B$2:$BJ$2,0),0),"")="",IFERROR(VLOOKUP($B69,Evening_Shift!$B$4:$BJ$62,MATCH(Both_Shift_Roster!L$2,Evening_Shift!$B$2:$BJ$2,0),0),""),IFERROR(VLOOKUP($B69,Morning_Shift!$B$4:$BJ$61,MATCH(Both_Shift_Roster!L$2,Morning_Shift!$B$2:$BJ$2,0),0),""))</f>
        <v>Agent Choice WO</v>
      </c>
      <c r="M69" s="2" t="str">
        <f>IF(IFERROR(VLOOKUP($B69,Morning_Shift!$B$4:$BJ$61,MATCH(Both_Shift_Roster!M$2,Morning_Shift!$B$2:$BJ$2,0),0),"")="",IFERROR(VLOOKUP($B69,Evening_Shift!$B$4:$BJ$62,MATCH(Both_Shift_Roster!M$2,Evening_Shift!$B$2:$BJ$2,0),0),""),IFERROR(VLOOKUP($B69,Morning_Shift!$B$4:$BJ$61,MATCH(Both_Shift_Roster!M$2,Morning_Shift!$B$2:$BJ$2,0),0),""))</f>
        <v>14:30-22:00</v>
      </c>
      <c r="N69" s="2">
        <f t="shared" ref="N69:N120" si="41">COUNTIF($G69:$M69,"Agent Choice WO")</f>
        <v>2</v>
      </c>
      <c r="O69" s="2">
        <f t="shared" ref="O69:O120" si="42">COUNTIF($G69:$M69,"TL Choice WO")</f>
        <v>0</v>
      </c>
      <c r="P69" s="2">
        <f t="shared" ref="P69:P120" si="43">COUNTIF($G69:$M69,"CL")</f>
        <v>0</v>
      </c>
      <c r="Q69" s="2">
        <f t="shared" ref="Q69:Q120" si="44">COUNTIF($G69:$M69,"HD")</f>
        <v>0</v>
      </c>
      <c r="R69" s="2">
        <f t="shared" ref="R69:R120" si="45">COUNTIF($G69:$M69,"LP")</f>
        <v>0</v>
      </c>
      <c r="S69" s="2" t="str">
        <f>IF(IFERROR(VLOOKUP($B69,Morning_Shift!$B$4:$BJ$61,MATCH(Both_Shift_Roster!S$2,Morning_Shift!$B$2:$BJ$2,0),0),"")="",IFERROR(VLOOKUP($B69,Evening_Shift!$B$4:$BJ$62,MATCH(Both_Shift_Roster!S$2,Evening_Shift!$B$2:$BJ$2,0),0),""),IFERROR(VLOOKUP($B69,Morning_Shift!$B$4:$BJ$61,MATCH(Both_Shift_Roster!S$2,Morning_Shift!$B$2:$BJ$2,0),0),""))</f>
        <v>14:30-22:00</v>
      </c>
      <c r="T69" s="2" t="str">
        <f>IF(IFERROR(VLOOKUP($B69,Morning_Shift!$B$4:$BJ$61,MATCH(Both_Shift_Roster!T$2,Morning_Shift!$B$2:$BJ$2,0),0),"")="",IFERROR(VLOOKUP($B69,Evening_Shift!$B$4:$BJ$62,MATCH(Both_Shift_Roster!T$2,Evening_Shift!$B$2:$BJ$2,0),0),""),IFERROR(VLOOKUP($B69,Morning_Shift!$B$4:$BJ$61,MATCH(Both_Shift_Roster!T$2,Morning_Shift!$B$2:$BJ$2,0),0),""))</f>
        <v>14:30-22:00</v>
      </c>
      <c r="U69" s="2" t="str">
        <f>IF(IFERROR(VLOOKUP($B69,Morning_Shift!$B$4:$BJ$61,MATCH(Both_Shift_Roster!U$2,Morning_Shift!$B$2:$BJ$2,0),0),"")="",IFERROR(VLOOKUP($B69,Evening_Shift!$B$4:$BJ$62,MATCH(Both_Shift_Roster!U$2,Evening_Shift!$B$2:$BJ$2,0),0),""),IFERROR(VLOOKUP($B69,Morning_Shift!$B$4:$BJ$61,MATCH(Both_Shift_Roster!U$2,Morning_Shift!$B$2:$BJ$2,0),0),""))</f>
        <v>14:30-22:00</v>
      </c>
      <c r="V69" s="2" t="str">
        <f>IF(IFERROR(VLOOKUP($B69,Morning_Shift!$B$4:$BJ$61,MATCH(Both_Shift_Roster!V$2,Morning_Shift!$B$2:$BJ$2,0),0),"")="",IFERROR(VLOOKUP($B69,Evening_Shift!$B$4:$BJ$62,MATCH(Both_Shift_Roster!V$2,Evening_Shift!$B$2:$BJ$2,0),0),""),IFERROR(VLOOKUP($B69,Morning_Shift!$B$4:$BJ$61,MATCH(Both_Shift_Roster!V$2,Morning_Shift!$B$2:$BJ$2,0),0),""))</f>
        <v>14:30-22:00</v>
      </c>
      <c r="W69" s="2" t="str">
        <f>IF(IFERROR(VLOOKUP($B69,Morning_Shift!$B$4:$BJ$61,MATCH(Both_Shift_Roster!W$2,Morning_Shift!$B$2:$BJ$2,0),0),"")="",IFERROR(VLOOKUP($B69,Evening_Shift!$B$4:$BJ$62,MATCH(Both_Shift_Roster!W$2,Evening_Shift!$B$2:$BJ$2,0),0),""),IFERROR(VLOOKUP($B69,Morning_Shift!$B$4:$BJ$61,MATCH(Both_Shift_Roster!W$2,Morning_Shift!$B$2:$BJ$2,0),0),""))</f>
        <v>14:30-22:00</v>
      </c>
      <c r="X69" s="2" t="str">
        <f>IF(IFERROR(VLOOKUP($B69,Morning_Shift!$B$4:$BJ$61,MATCH(Both_Shift_Roster!X$2,Morning_Shift!$B$2:$BJ$2,0),0),"")="",IFERROR(VLOOKUP($B69,Evening_Shift!$B$4:$BJ$62,MATCH(Both_Shift_Roster!X$2,Evening_Shift!$B$2:$BJ$2,0),0),""),IFERROR(VLOOKUP($B69,Morning_Shift!$B$4:$BJ$61,MATCH(Both_Shift_Roster!X$2,Morning_Shift!$B$2:$BJ$2,0),0),""))</f>
        <v>14:30-22:00</v>
      </c>
      <c r="Y69" s="2" t="str">
        <f>IF(IFERROR(VLOOKUP($B69,Morning_Shift!$B$4:$BJ$61,MATCH(Both_Shift_Roster!Y$2,Morning_Shift!$B$2:$BJ$2,0),0),"")="",IFERROR(VLOOKUP($B69,Evening_Shift!$B$4:$BJ$62,MATCH(Both_Shift_Roster!Y$2,Evening_Shift!$B$2:$BJ$2,0),0),""),IFERROR(VLOOKUP($B69,Morning_Shift!$B$4:$BJ$61,MATCH(Both_Shift_Roster!Y$2,Morning_Shift!$B$2:$BJ$2,0),0),""))</f>
        <v>14:30-22:00</v>
      </c>
      <c r="Z69" s="2">
        <f t="shared" ref="Z69:Z120" si="46">COUNTIF($S69:$Y69,"Agent Choice WO")</f>
        <v>0</v>
      </c>
      <c r="AA69" s="2">
        <f t="shared" ref="AA69:AA120" si="47">COUNTIF($S69:$Y69,"TL Choice WO")</f>
        <v>0</v>
      </c>
      <c r="AB69" s="2">
        <f t="shared" ref="AB69:AB120" si="48">COUNTIF($S69:$Y69,"CL")</f>
        <v>0</v>
      </c>
      <c r="AC69" s="2">
        <f t="shared" ref="AC69:AC120" si="49">COUNTIF($S69:$Y69,"HD")</f>
        <v>0</v>
      </c>
      <c r="AD69" s="2">
        <f t="shared" ref="AD69:AD120" si="50">COUNTIF($S69:$Y69,"LP")</f>
        <v>0</v>
      </c>
      <c r="AE69" s="2" t="str">
        <f>IF(IFERROR(VLOOKUP($B69,Morning_Shift!$B$4:$BJ$61,MATCH(Both_Shift_Roster!AE$2,Morning_Shift!$B$2:$BJ$2,0),0),"")="",IFERROR(VLOOKUP($B69,Evening_Shift!$B$4:$BJ$62,MATCH(Both_Shift_Roster!AE$2,Evening_Shift!$B$2:$BJ$2,0),0),""),IFERROR(VLOOKUP($B69,Morning_Shift!$B$4:$BJ$61,MATCH(Both_Shift_Roster!AE$2,Morning_Shift!$B$2:$BJ$2,0),0),""))</f>
        <v>14:30-22:00</v>
      </c>
      <c r="AF69" s="2" t="str">
        <f>IF(IFERROR(VLOOKUP($B69,Morning_Shift!$B$4:$BJ$61,MATCH(Both_Shift_Roster!AF$2,Morning_Shift!$B$2:$BJ$2,0),0),"")="",IFERROR(VLOOKUP($B69,Evening_Shift!$B$4:$BJ$62,MATCH(Both_Shift_Roster!AF$2,Evening_Shift!$B$2:$BJ$2,0),0),""),IFERROR(VLOOKUP($B69,Morning_Shift!$B$4:$BJ$61,MATCH(Both_Shift_Roster!AF$2,Morning_Shift!$B$2:$BJ$2,0),0),""))</f>
        <v>14:30-22:00</v>
      </c>
      <c r="AG69" s="2" t="str">
        <f>IF(IFERROR(VLOOKUP($B69,Morning_Shift!$B$4:$BJ$61,MATCH(Both_Shift_Roster!AG$2,Morning_Shift!$B$2:$BJ$2,0),0),"")="",IFERROR(VLOOKUP($B69,Evening_Shift!$B$4:$BJ$62,MATCH(Both_Shift_Roster!AG$2,Evening_Shift!$B$2:$BJ$2,0),0),""),IFERROR(VLOOKUP($B69,Morning_Shift!$B$4:$BJ$61,MATCH(Both_Shift_Roster!AG$2,Morning_Shift!$B$2:$BJ$2,0),0),""))</f>
        <v>14:30-22:00</v>
      </c>
      <c r="AH69" s="2" t="str">
        <f>IF(IFERROR(VLOOKUP($B69,Morning_Shift!$B$4:$BJ$61,MATCH(Both_Shift_Roster!AH$2,Morning_Shift!$B$2:$BJ$2,0),0),"")="",IFERROR(VLOOKUP($B69,Evening_Shift!$B$4:$BJ$62,MATCH(Both_Shift_Roster!AH$2,Evening_Shift!$B$2:$BJ$2,0),0),""),IFERROR(VLOOKUP($B69,Morning_Shift!$B$4:$BJ$61,MATCH(Both_Shift_Roster!AH$2,Morning_Shift!$B$2:$BJ$2,0),0),""))</f>
        <v>14:30-22:00</v>
      </c>
      <c r="AI69" s="2" t="str">
        <f>IF(IFERROR(VLOOKUP($B69,Morning_Shift!$B$4:$BJ$61,MATCH(Both_Shift_Roster!AI$2,Morning_Shift!$B$2:$BJ$2,0),0),"")="",IFERROR(VLOOKUP($B69,Evening_Shift!$B$4:$BJ$62,MATCH(Both_Shift_Roster!AI$2,Evening_Shift!$B$2:$BJ$2,0),0),""),IFERROR(VLOOKUP($B69,Morning_Shift!$B$4:$BJ$61,MATCH(Both_Shift_Roster!AI$2,Morning_Shift!$B$2:$BJ$2,0),0),""))</f>
        <v>14:30-22:00</v>
      </c>
      <c r="AJ69" s="2" t="str">
        <f>IF(IFERROR(VLOOKUP($B69,Morning_Shift!$B$4:$BJ$61,MATCH(Both_Shift_Roster!AJ$2,Morning_Shift!$B$2:$BJ$2,0),0),"")="",IFERROR(VLOOKUP($B69,Evening_Shift!$B$4:$BJ$62,MATCH(Both_Shift_Roster!AJ$2,Evening_Shift!$B$2:$BJ$2,0),0),""),IFERROR(VLOOKUP($B69,Morning_Shift!$B$4:$BJ$61,MATCH(Both_Shift_Roster!AJ$2,Morning_Shift!$B$2:$BJ$2,0),0),""))</f>
        <v>14:30-22:00</v>
      </c>
      <c r="AK69" s="2" t="str">
        <f>IF(IFERROR(VLOOKUP($B69,Morning_Shift!$B$4:$BJ$61,MATCH(Both_Shift_Roster!AK$2,Morning_Shift!$B$2:$BJ$2,0),0),"")="",IFERROR(VLOOKUP($B69,Evening_Shift!$B$4:$BJ$62,MATCH(Both_Shift_Roster!AK$2,Evening_Shift!$B$2:$BJ$2,0),0),""),IFERROR(VLOOKUP($B69,Morning_Shift!$B$4:$BJ$61,MATCH(Both_Shift_Roster!AK$2,Morning_Shift!$B$2:$BJ$2,0),0),""))</f>
        <v>14:30-22:00</v>
      </c>
      <c r="AL69" s="2">
        <f t="shared" ref="AL69:AL120" si="51">COUNTIF($AE69:$AK69,"Agent Choice WO")</f>
        <v>0</v>
      </c>
      <c r="AM69" s="2">
        <f t="shared" ref="AM69:AM120" si="52">COUNTIF($AE69:$AK69,"TL Choice WO")</f>
        <v>0</v>
      </c>
      <c r="AN69" s="2">
        <f t="shared" ref="AN69:AN120" si="53">COUNTIF($AE69:$AK69,"CL")</f>
        <v>0</v>
      </c>
      <c r="AO69" s="2">
        <f t="shared" ref="AO69:AO120" si="54">COUNTIF($AE69:$AK69,"HD")</f>
        <v>0</v>
      </c>
      <c r="AP69" s="2">
        <f t="shared" ref="AP69:AP120" si="55">COUNTIF($AE69:$AK69,"LP")</f>
        <v>0</v>
      </c>
      <c r="AQ69" s="2" t="str">
        <f>IF(IFERROR(VLOOKUP($B69,Morning_Shift!$B$4:$BJ$61,MATCH(Both_Shift_Roster!AQ$2,Morning_Shift!$B$2:$BJ$2,0),0),"")="",IFERROR(VLOOKUP($B69,Evening_Shift!$B$4:$BJ$62,MATCH(Both_Shift_Roster!AQ$2,Evening_Shift!$B$2:$BJ$2,0),0),""),IFERROR(VLOOKUP($B69,Morning_Shift!$B$4:$BJ$61,MATCH(Both_Shift_Roster!AQ$2,Morning_Shift!$B$2:$BJ$2,0),0),""))</f>
        <v>14:30-22:00</v>
      </c>
      <c r="AR69" s="2" t="str">
        <f>IF(IFERROR(VLOOKUP($B69,Morning_Shift!$B$4:$BJ$61,MATCH(Both_Shift_Roster!AR$2,Morning_Shift!$B$2:$BJ$2,0),0),"")="",IFERROR(VLOOKUP($B69,Evening_Shift!$B$4:$BJ$62,MATCH(Both_Shift_Roster!AR$2,Evening_Shift!$B$2:$BJ$2,0),0),""),IFERROR(VLOOKUP($B69,Morning_Shift!$B$4:$BJ$61,MATCH(Both_Shift_Roster!AR$2,Morning_Shift!$B$2:$BJ$2,0),0),""))</f>
        <v>14:30-22:00</v>
      </c>
      <c r="AS69" s="2" t="str">
        <f>IF(IFERROR(VLOOKUP($B69,Morning_Shift!$B$4:$BJ$61,MATCH(Both_Shift_Roster!AS$2,Morning_Shift!$B$2:$BJ$2,0),0),"")="",IFERROR(VLOOKUP($B69,Evening_Shift!$B$4:$BJ$62,MATCH(Both_Shift_Roster!AS$2,Evening_Shift!$B$2:$BJ$2,0),0),""),IFERROR(VLOOKUP($B69,Morning_Shift!$B$4:$BJ$61,MATCH(Both_Shift_Roster!AS$2,Morning_Shift!$B$2:$BJ$2,0),0),""))</f>
        <v>14:30-22:00</v>
      </c>
      <c r="AT69" s="2" t="str">
        <f>IF(IFERROR(VLOOKUP($B69,Morning_Shift!$B$4:$BJ$61,MATCH(Both_Shift_Roster!AT$2,Morning_Shift!$B$2:$BJ$2,0),0),"")="",IFERROR(VLOOKUP($B69,Evening_Shift!$B$4:$BJ$62,MATCH(Both_Shift_Roster!AT$2,Evening_Shift!$B$2:$BJ$2,0),0),""),IFERROR(VLOOKUP($B69,Morning_Shift!$B$4:$BJ$61,MATCH(Both_Shift_Roster!AT$2,Morning_Shift!$B$2:$BJ$2,0),0),""))</f>
        <v>14:30-22:00</v>
      </c>
      <c r="AU69" s="2" t="str">
        <f>IF(IFERROR(VLOOKUP($B69,Morning_Shift!$B$4:$BJ$61,MATCH(Both_Shift_Roster!AU$2,Morning_Shift!$B$2:$BJ$2,0),0),"")="",IFERROR(VLOOKUP($B69,Evening_Shift!$B$4:$BJ$62,MATCH(Both_Shift_Roster!AU$2,Evening_Shift!$B$2:$BJ$2,0),0),""),IFERROR(VLOOKUP($B69,Morning_Shift!$B$4:$BJ$61,MATCH(Both_Shift_Roster!AU$2,Morning_Shift!$B$2:$BJ$2,0),0),""))</f>
        <v>Agent Choice WO</v>
      </c>
      <c r="AV69" s="2" t="str">
        <f>IF(IFERROR(VLOOKUP($B69,Morning_Shift!$B$4:$BJ$61,MATCH(Both_Shift_Roster!AV$2,Morning_Shift!$B$2:$BJ$2,0),0),"")="",IFERROR(VLOOKUP($B69,Evening_Shift!$B$4:$BJ$62,MATCH(Both_Shift_Roster!AV$2,Evening_Shift!$B$2:$BJ$2,0),0),""),IFERROR(VLOOKUP($B69,Morning_Shift!$B$4:$BJ$61,MATCH(Both_Shift_Roster!AV$2,Morning_Shift!$B$2:$BJ$2,0),0),""))</f>
        <v>Agent Choice WO</v>
      </c>
      <c r="AW69" s="2" t="str">
        <f>IF(IFERROR(VLOOKUP($B69,Morning_Shift!$B$4:$BJ$61,MATCH(Both_Shift_Roster!AW$2,Morning_Shift!$B$2:$BJ$2,0),0),"")="",IFERROR(VLOOKUP($B69,Evening_Shift!$B$4:$BJ$62,MATCH(Both_Shift_Roster!AW$2,Evening_Shift!$B$2:$BJ$2,0),0),""),IFERROR(VLOOKUP($B69,Morning_Shift!$B$4:$BJ$61,MATCH(Both_Shift_Roster!AW$2,Morning_Shift!$B$2:$BJ$2,0),0),""))</f>
        <v>14:30-22:00</v>
      </c>
      <c r="AX69" s="2">
        <f t="shared" ref="AX69:AX120" si="56">COUNTIF($AQ69:$AW69,"Agent Choice WO")</f>
        <v>2</v>
      </c>
      <c r="AY69" s="2">
        <f t="shared" ref="AY69:AY120" si="57">COUNTIF($AQ69:$AW69,"TL Choice WO")</f>
        <v>0</v>
      </c>
      <c r="AZ69" s="2">
        <f t="shared" ref="AZ69:AZ120" si="58">COUNTIF($AQ69:$AW69,"CL")</f>
        <v>0</v>
      </c>
      <c r="BA69" s="2">
        <f t="shared" ref="BA69:BA120" si="59">COUNTIF($AQ69:$AW69,"HD")</f>
        <v>0</v>
      </c>
      <c r="BB69" s="2">
        <f t="shared" ref="BB69:BB120" si="60">COUNTIF($AQ69:$AW69,"LP")</f>
        <v>0</v>
      </c>
      <c r="BC69" s="2" t="str">
        <f>IF(IFERROR(VLOOKUP($B69,Morning_Shift!$B$4:$BJ$61,MATCH(Both_Shift_Roster!BC$2,Morning_Shift!$B$2:$BJ$2,0),0),"")="",IFERROR(VLOOKUP($B69,Evening_Shift!$B$4:$BJ$62,MATCH(Both_Shift_Roster!BC$2,Evening_Shift!$B$2:$BJ$2,0),0),""),IFERROR(VLOOKUP($B69,Morning_Shift!$B$4:$BJ$61,MATCH(Both_Shift_Roster!BC$2,Morning_Shift!$B$2:$BJ$2,0),0),""))</f>
        <v>14:30-22:00</v>
      </c>
      <c r="BD69" s="2" t="str">
        <f>IF(IFERROR(VLOOKUP($B69,Morning_Shift!$B$4:$BJ$61,MATCH(Both_Shift_Roster!BD$2,Morning_Shift!$B$2:$BJ$2,0),0),"")="",IFERROR(VLOOKUP($B69,Evening_Shift!$B$4:$BJ$62,MATCH(Both_Shift_Roster!BD$2,Evening_Shift!$B$2:$BJ$2,0),0),""),IFERROR(VLOOKUP($B69,Morning_Shift!$B$4:$BJ$61,MATCH(Both_Shift_Roster!BD$2,Morning_Shift!$B$2:$BJ$2,0),0),""))</f>
        <v>CL</v>
      </c>
      <c r="BE69" s="2" t="str">
        <f>IF(IFERROR(VLOOKUP($B69,Morning_Shift!$B$4:$BJ$61,MATCH(Both_Shift_Roster!BE$2,Morning_Shift!$B$2:$BJ$2,0),0),"")="",IFERROR(VLOOKUP($B69,Evening_Shift!$B$4:$BJ$59,MATCH(Both_Shift_Roster!BE$2,Evening_Shift!$B$2:$BJ$2,0),0),""),IFERROR(VLOOKUP($B69,Morning_Shift!$B$4:$BJ$61,MATCH(Both_Shift_Roster!BE$2,Morning_Shift!$B$2:$BJ$2,0),0),""))</f>
        <v>14:30-22:00</v>
      </c>
      <c r="BF69" s="2">
        <f t="shared" ref="BF69:BF120" si="61">COUNTIF($BC69:$BE69,"Agent Choice WO")</f>
        <v>0</v>
      </c>
      <c r="BG69" s="2">
        <f t="shared" ref="BG69:BG120" si="62">COUNTIF($BC69:$BE69,"TL Choice WO")</f>
        <v>0</v>
      </c>
      <c r="BH69" s="2">
        <f t="shared" ref="BH69:BH120" si="63">COUNTIF($BC69:$BE69,"CL")</f>
        <v>1</v>
      </c>
      <c r="BI69" s="2">
        <f t="shared" ref="BI69:BI120" si="64">COUNTIF($BC69:$BE69,"HD")</f>
        <v>0</v>
      </c>
      <c r="BJ69" s="2">
        <f t="shared" ref="BJ69:BJ120" si="65">COUNTIF($BC69:$BE69,"LP")</f>
        <v>0</v>
      </c>
    </row>
    <row r="70" spans="1:62">
      <c r="A70" s="17">
        <f t="shared" ref="A70:A120" si="66">A69+1</f>
        <v>67</v>
      </c>
      <c r="B70" s="16" t="str">
        <f>Evening_Shift!$B12</f>
        <v>Dritm45</v>
      </c>
      <c r="C70" s="21" t="str">
        <f>IF(IFERROR(VLOOKUP(B70,Morning_Shift!B:C,2,0),"")="",IFERROR(VLOOKUP(B70,Evening_Shift!B:C,2,0),""),IFERROR(VLOOKUP(B70,Morning_Shift!B:C,2,0),""))</f>
        <v>Shivani</v>
      </c>
      <c r="D70" s="15" t="str">
        <f>IF(IFERROR(VLOOKUP(B70,Morning_Shift!B:D,3,0),"")="",IFERROR(VLOOKUP(B70,Evening_Shift!B:D,3,0),""),IFERROR(VLOOKUP(B70,Morning_Shift!B:D,3,0),""))</f>
        <v xml:space="preserve">Sanjesh </v>
      </c>
      <c r="E70" s="4" t="str">
        <f>IF(IFERROR(VLOOKUP(B70,Morning_Shift!B:E,4,0),"")="",IFERROR(VLOOKUP(B70,Evening_Shift!B:E,4,0),""),IFERROR(VLOOKUP(B70,Morning_Shift!B:E,4,0),""))</f>
        <v>F</v>
      </c>
      <c r="F70" s="5" t="str">
        <f>IF(IFERROR(VLOOKUP(B70,Morning_Shift!B:F,5,0),"")="",IFERROR(VLOOKUP(B70,Evening_Shift!B:F,5,0),""),IFERROR(VLOOKUP(B70,Morning_Shift!B:F,5,0),""))</f>
        <v>Himseva manual preview</v>
      </c>
      <c r="G70" s="2" t="str">
        <f>IF(IFERROR(VLOOKUP($B70,Morning_Shift!$B$4:$BJ$61,MATCH(Both_Shift_Roster!G$2,Morning_Shift!$B$2:$BJ$2,0),0),"")="",IFERROR(VLOOKUP($B70,Evening_Shift!$B$4:$BJ$62,MATCH(Both_Shift_Roster!G$2,Evening_Shift!$B$2:$BJ$2,0),0),""),IFERROR(VLOOKUP($B70,Morning_Shift!$B$4:$BJ$61,MATCH(Both_Shift_Roster!G$2,Morning_Shift!$B$2:$BJ$2,0),0),""))</f>
        <v>14:30-22:00</v>
      </c>
      <c r="H70" s="2" t="str">
        <f>IF(IFERROR(VLOOKUP($B70,Morning_Shift!$B$4:$BJ$61,MATCH(Both_Shift_Roster!H$2,Morning_Shift!$B$2:$BJ$2,0),0),"")="",IFERROR(VLOOKUP($B70,Evening_Shift!$B$4:$BJ$62,MATCH(Both_Shift_Roster!H$2,Evening_Shift!$B$2:$BJ$2,0),0),""),IFERROR(VLOOKUP($B70,Morning_Shift!$B$4:$BJ$61,MATCH(Both_Shift_Roster!H$2,Morning_Shift!$B$2:$BJ$2,0),0),""))</f>
        <v>14:30-22:00</v>
      </c>
      <c r="I70" s="2" t="str">
        <f>IF(IFERROR(VLOOKUP($B70,Morning_Shift!$B$4:$BJ$61,MATCH(Both_Shift_Roster!I$2,Morning_Shift!$B$2:$BJ$2,0),0),"")="",IFERROR(VLOOKUP($B70,Evening_Shift!$B$4:$BJ$62,MATCH(Both_Shift_Roster!I$2,Evening_Shift!$B$2:$BJ$2,0),0),""),IFERROR(VLOOKUP($B70,Morning_Shift!$B$4:$BJ$61,MATCH(Both_Shift_Roster!I$2,Morning_Shift!$B$2:$BJ$2,0),0),""))</f>
        <v>14:30-22:00</v>
      </c>
      <c r="J70" s="2" t="str">
        <f>IF(IFERROR(VLOOKUP($B70,Morning_Shift!$B$4:$BJ$61,MATCH(Both_Shift_Roster!J$2,Morning_Shift!$B$2:$BJ$2,0),0),"")="",IFERROR(VLOOKUP($B70,Evening_Shift!$B$4:$BJ$62,MATCH(Both_Shift_Roster!J$2,Evening_Shift!$B$2:$BJ$2,0),0),""),IFERROR(VLOOKUP($B70,Morning_Shift!$B$4:$BJ$61,MATCH(Both_Shift_Roster!J$2,Morning_Shift!$B$2:$BJ$2,0),0),""))</f>
        <v>14:30-22:00</v>
      </c>
      <c r="K70" s="2" t="str">
        <f>IF(IFERROR(VLOOKUP($B70,Morning_Shift!$B$4:$BJ$61,MATCH(Both_Shift_Roster!K$2,Morning_Shift!$B$2:$BJ$2,0),0),"")="",IFERROR(VLOOKUP($B70,Evening_Shift!$B$4:$BJ$62,MATCH(Both_Shift_Roster!K$2,Evening_Shift!$B$2:$BJ$2,0),0),""),IFERROR(VLOOKUP($B70,Morning_Shift!$B$4:$BJ$61,MATCH(Both_Shift_Roster!K$2,Morning_Shift!$B$2:$BJ$2,0),0),""))</f>
        <v>Agent Choice WO</v>
      </c>
      <c r="L70" s="2" t="str">
        <f>IF(IFERROR(VLOOKUP($B70,Morning_Shift!$B$4:$BJ$61,MATCH(Both_Shift_Roster!L$2,Morning_Shift!$B$2:$BJ$2,0),0),"")="",IFERROR(VLOOKUP($B70,Evening_Shift!$B$4:$BJ$62,MATCH(Both_Shift_Roster!L$2,Evening_Shift!$B$2:$BJ$2,0),0),""),IFERROR(VLOOKUP($B70,Morning_Shift!$B$4:$BJ$61,MATCH(Both_Shift_Roster!L$2,Morning_Shift!$B$2:$BJ$2,0),0),""))</f>
        <v>Agent Choice WO</v>
      </c>
      <c r="M70" s="2" t="str">
        <f>IF(IFERROR(VLOOKUP($B70,Morning_Shift!$B$4:$BJ$61,MATCH(Both_Shift_Roster!M$2,Morning_Shift!$B$2:$BJ$2,0),0),"")="",IFERROR(VLOOKUP($B70,Evening_Shift!$B$4:$BJ$62,MATCH(Both_Shift_Roster!M$2,Evening_Shift!$B$2:$BJ$2,0),0),""),IFERROR(VLOOKUP($B70,Morning_Shift!$B$4:$BJ$61,MATCH(Both_Shift_Roster!M$2,Morning_Shift!$B$2:$BJ$2,0),0),""))</f>
        <v>Agent Choice WO</v>
      </c>
      <c r="N70" s="2">
        <f t="shared" si="41"/>
        <v>3</v>
      </c>
      <c r="O70" s="2">
        <f t="shared" si="42"/>
        <v>0</v>
      </c>
      <c r="P70" s="2">
        <f t="shared" si="43"/>
        <v>0</v>
      </c>
      <c r="Q70" s="2">
        <f t="shared" si="44"/>
        <v>0</v>
      </c>
      <c r="R70" s="2">
        <f t="shared" si="45"/>
        <v>0</v>
      </c>
      <c r="S70" s="2" t="str">
        <f>IF(IFERROR(VLOOKUP($B70,Morning_Shift!$B$4:$BJ$61,MATCH(Both_Shift_Roster!S$2,Morning_Shift!$B$2:$BJ$2,0),0),"")="",IFERROR(VLOOKUP($B70,Evening_Shift!$B$4:$BJ$62,MATCH(Both_Shift_Roster!S$2,Evening_Shift!$B$2:$BJ$2,0),0),""),IFERROR(VLOOKUP($B70,Morning_Shift!$B$4:$BJ$61,MATCH(Both_Shift_Roster!S$2,Morning_Shift!$B$2:$BJ$2,0),0),""))</f>
        <v>14:30-22:00</v>
      </c>
      <c r="T70" s="2" t="str">
        <f>IF(IFERROR(VLOOKUP($B70,Morning_Shift!$B$4:$BJ$61,MATCH(Both_Shift_Roster!T$2,Morning_Shift!$B$2:$BJ$2,0),0),"")="",IFERROR(VLOOKUP($B70,Evening_Shift!$B$4:$BJ$62,MATCH(Both_Shift_Roster!T$2,Evening_Shift!$B$2:$BJ$2,0),0),""),IFERROR(VLOOKUP($B70,Morning_Shift!$B$4:$BJ$61,MATCH(Both_Shift_Roster!T$2,Morning_Shift!$B$2:$BJ$2,0),0),""))</f>
        <v>14:30-22:00</v>
      </c>
      <c r="U70" s="2" t="str">
        <f>IF(IFERROR(VLOOKUP($B70,Morning_Shift!$B$4:$BJ$61,MATCH(Both_Shift_Roster!U$2,Morning_Shift!$B$2:$BJ$2,0),0),"")="",IFERROR(VLOOKUP($B70,Evening_Shift!$B$4:$BJ$62,MATCH(Both_Shift_Roster!U$2,Evening_Shift!$B$2:$BJ$2,0),0),""),IFERROR(VLOOKUP($B70,Morning_Shift!$B$4:$BJ$61,MATCH(Both_Shift_Roster!U$2,Morning_Shift!$B$2:$BJ$2,0),0),""))</f>
        <v>14:30-22:00</v>
      </c>
      <c r="V70" s="2" t="str">
        <f>IF(IFERROR(VLOOKUP($B70,Morning_Shift!$B$4:$BJ$61,MATCH(Both_Shift_Roster!V$2,Morning_Shift!$B$2:$BJ$2,0),0),"")="",IFERROR(VLOOKUP($B70,Evening_Shift!$B$4:$BJ$62,MATCH(Both_Shift_Roster!V$2,Evening_Shift!$B$2:$BJ$2,0),0),""),IFERROR(VLOOKUP($B70,Morning_Shift!$B$4:$BJ$61,MATCH(Both_Shift_Roster!V$2,Morning_Shift!$B$2:$BJ$2,0),0),""))</f>
        <v>14:30-22:00</v>
      </c>
      <c r="W70" s="2" t="str">
        <f>IF(IFERROR(VLOOKUP($B70,Morning_Shift!$B$4:$BJ$61,MATCH(Both_Shift_Roster!W$2,Morning_Shift!$B$2:$BJ$2,0),0),"")="",IFERROR(VLOOKUP($B70,Evening_Shift!$B$4:$BJ$62,MATCH(Both_Shift_Roster!W$2,Evening_Shift!$B$2:$BJ$2,0),0),""),IFERROR(VLOOKUP($B70,Morning_Shift!$B$4:$BJ$61,MATCH(Both_Shift_Roster!W$2,Morning_Shift!$B$2:$BJ$2,0),0),""))</f>
        <v>14:30-22:00</v>
      </c>
      <c r="X70" s="2" t="str">
        <f>IF(IFERROR(VLOOKUP($B70,Morning_Shift!$B$4:$BJ$61,MATCH(Both_Shift_Roster!X$2,Morning_Shift!$B$2:$BJ$2,0),0),"")="",IFERROR(VLOOKUP($B70,Evening_Shift!$B$4:$BJ$62,MATCH(Both_Shift_Roster!X$2,Evening_Shift!$B$2:$BJ$2,0),0),""),IFERROR(VLOOKUP($B70,Morning_Shift!$B$4:$BJ$61,MATCH(Both_Shift_Roster!X$2,Morning_Shift!$B$2:$BJ$2,0),0),""))</f>
        <v>14:30-22:00</v>
      </c>
      <c r="Y70" s="2" t="str">
        <f>IF(IFERROR(VLOOKUP($B70,Morning_Shift!$B$4:$BJ$61,MATCH(Both_Shift_Roster!Y$2,Morning_Shift!$B$2:$BJ$2,0),0),"")="",IFERROR(VLOOKUP($B70,Evening_Shift!$B$4:$BJ$62,MATCH(Both_Shift_Roster!Y$2,Evening_Shift!$B$2:$BJ$2,0),0),""),IFERROR(VLOOKUP($B70,Morning_Shift!$B$4:$BJ$61,MATCH(Both_Shift_Roster!Y$2,Morning_Shift!$B$2:$BJ$2,0),0),""))</f>
        <v>14:30-22:00</v>
      </c>
      <c r="Z70" s="2">
        <f t="shared" si="46"/>
        <v>0</v>
      </c>
      <c r="AA70" s="2">
        <f t="shared" si="47"/>
        <v>0</v>
      </c>
      <c r="AB70" s="2">
        <f t="shared" si="48"/>
        <v>0</v>
      </c>
      <c r="AC70" s="2">
        <f t="shared" si="49"/>
        <v>0</v>
      </c>
      <c r="AD70" s="2">
        <f t="shared" si="50"/>
        <v>0</v>
      </c>
      <c r="AE70" s="2" t="str">
        <f>IF(IFERROR(VLOOKUP($B70,Morning_Shift!$B$4:$BJ$61,MATCH(Both_Shift_Roster!AE$2,Morning_Shift!$B$2:$BJ$2,0),0),"")="",IFERROR(VLOOKUP($B70,Evening_Shift!$B$4:$BJ$62,MATCH(Both_Shift_Roster!AE$2,Evening_Shift!$B$2:$BJ$2,0),0),""),IFERROR(VLOOKUP($B70,Morning_Shift!$B$4:$BJ$61,MATCH(Both_Shift_Roster!AE$2,Morning_Shift!$B$2:$BJ$2,0),0),""))</f>
        <v>14:30-22:00</v>
      </c>
      <c r="AF70" s="2" t="str">
        <f>IF(IFERROR(VLOOKUP($B70,Morning_Shift!$B$4:$BJ$61,MATCH(Both_Shift_Roster!AF$2,Morning_Shift!$B$2:$BJ$2,0),0),"")="",IFERROR(VLOOKUP($B70,Evening_Shift!$B$4:$BJ$62,MATCH(Both_Shift_Roster!AF$2,Evening_Shift!$B$2:$BJ$2,0),0),""),IFERROR(VLOOKUP($B70,Morning_Shift!$B$4:$BJ$61,MATCH(Both_Shift_Roster!AF$2,Morning_Shift!$B$2:$BJ$2,0),0),""))</f>
        <v>14:30-22:00</v>
      </c>
      <c r="AG70" s="2" t="str">
        <f>IF(IFERROR(VLOOKUP($B70,Morning_Shift!$B$4:$BJ$61,MATCH(Both_Shift_Roster!AG$2,Morning_Shift!$B$2:$BJ$2,0),0),"")="",IFERROR(VLOOKUP($B70,Evening_Shift!$B$4:$BJ$62,MATCH(Both_Shift_Roster!AG$2,Evening_Shift!$B$2:$BJ$2,0),0),""),IFERROR(VLOOKUP($B70,Morning_Shift!$B$4:$BJ$61,MATCH(Both_Shift_Roster!AG$2,Morning_Shift!$B$2:$BJ$2,0),0),""))</f>
        <v>14:30-22:00</v>
      </c>
      <c r="AH70" s="2" t="str">
        <f>IF(IFERROR(VLOOKUP($B70,Morning_Shift!$B$4:$BJ$61,MATCH(Both_Shift_Roster!AH$2,Morning_Shift!$B$2:$BJ$2,0),0),"")="",IFERROR(VLOOKUP($B70,Evening_Shift!$B$4:$BJ$62,MATCH(Both_Shift_Roster!AH$2,Evening_Shift!$B$2:$BJ$2,0),0),""),IFERROR(VLOOKUP($B70,Morning_Shift!$B$4:$BJ$61,MATCH(Both_Shift_Roster!AH$2,Morning_Shift!$B$2:$BJ$2,0),0),""))</f>
        <v>14:30-22:00</v>
      </c>
      <c r="AI70" s="2" t="str">
        <f>IF(IFERROR(VLOOKUP($B70,Morning_Shift!$B$4:$BJ$61,MATCH(Both_Shift_Roster!AI$2,Morning_Shift!$B$2:$BJ$2,0),0),"")="",IFERROR(VLOOKUP($B70,Evening_Shift!$B$4:$BJ$62,MATCH(Both_Shift_Roster!AI$2,Evening_Shift!$B$2:$BJ$2,0),0),""),IFERROR(VLOOKUP($B70,Morning_Shift!$B$4:$BJ$61,MATCH(Both_Shift_Roster!AI$2,Morning_Shift!$B$2:$BJ$2,0),0),""))</f>
        <v>14:30-22:00</v>
      </c>
      <c r="AJ70" s="2" t="str">
        <f>IF(IFERROR(VLOOKUP($B70,Morning_Shift!$B$4:$BJ$61,MATCH(Both_Shift_Roster!AJ$2,Morning_Shift!$B$2:$BJ$2,0),0),"")="",IFERROR(VLOOKUP($B70,Evening_Shift!$B$4:$BJ$62,MATCH(Both_Shift_Roster!AJ$2,Evening_Shift!$B$2:$BJ$2,0),0),""),IFERROR(VLOOKUP($B70,Morning_Shift!$B$4:$BJ$61,MATCH(Both_Shift_Roster!AJ$2,Morning_Shift!$B$2:$BJ$2,0),0),""))</f>
        <v>14:30-22:00</v>
      </c>
      <c r="AK70" s="2" t="str">
        <f>IF(IFERROR(VLOOKUP($B70,Morning_Shift!$B$4:$BJ$61,MATCH(Both_Shift_Roster!AK$2,Morning_Shift!$B$2:$BJ$2,0),0),"")="",IFERROR(VLOOKUP($B70,Evening_Shift!$B$4:$BJ$62,MATCH(Both_Shift_Roster!AK$2,Evening_Shift!$B$2:$BJ$2,0),0),""),IFERROR(VLOOKUP($B70,Morning_Shift!$B$4:$BJ$61,MATCH(Both_Shift_Roster!AK$2,Morning_Shift!$B$2:$BJ$2,0),0),""))</f>
        <v>14:30-22:00</v>
      </c>
      <c r="AL70" s="2">
        <f t="shared" si="51"/>
        <v>0</v>
      </c>
      <c r="AM70" s="2">
        <f t="shared" si="52"/>
        <v>0</v>
      </c>
      <c r="AN70" s="2">
        <f t="shared" si="53"/>
        <v>0</v>
      </c>
      <c r="AO70" s="2">
        <f t="shared" si="54"/>
        <v>0</v>
      </c>
      <c r="AP70" s="2">
        <f t="shared" si="55"/>
        <v>0</v>
      </c>
      <c r="AQ70" s="2" t="str">
        <f>IF(IFERROR(VLOOKUP($B70,Morning_Shift!$B$4:$BJ$61,MATCH(Both_Shift_Roster!AQ$2,Morning_Shift!$B$2:$BJ$2,0),0),"")="",IFERROR(VLOOKUP($B70,Evening_Shift!$B$4:$BJ$62,MATCH(Both_Shift_Roster!AQ$2,Evening_Shift!$B$2:$BJ$2,0),0),""),IFERROR(VLOOKUP($B70,Morning_Shift!$B$4:$BJ$61,MATCH(Both_Shift_Roster!AQ$2,Morning_Shift!$B$2:$BJ$2,0),0),""))</f>
        <v>14:30-22:00</v>
      </c>
      <c r="AR70" s="2" t="str">
        <f>IF(IFERROR(VLOOKUP($B70,Morning_Shift!$B$4:$BJ$61,MATCH(Both_Shift_Roster!AR$2,Morning_Shift!$B$2:$BJ$2,0),0),"")="",IFERROR(VLOOKUP($B70,Evening_Shift!$B$4:$BJ$62,MATCH(Both_Shift_Roster!AR$2,Evening_Shift!$B$2:$BJ$2,0),0),""),IFERROR(VLOOKUP($B70,Morning_Shift!$B$4:$BJ$61,MATCH(Both_Shift_Roster!AR$2,Morning_Shift!$B$2:$BJ$2,0),0),""))</f>
        <v>14:30-22:00</v>
      </c>
      <c r="AS70" s="2" t="str">
        <f>IF(IFERROR(VLOOKUP($B70,Morning_Shift!$B$4:$BJ$61,MATCH(Both_Shift_Roster!AS$2,Morning_Shift!$B$2:$BJ$2,0),0),"")="",IFERROR(VLOOKUP($B70,Evening_Shift!$B$4:$BJ$62,MATCH(Both_Shift_Roster!AS$2,Evening_Shift!$B$2:$BJ$2,0),0),""),IFERROR(VLOOKUP($B70,Morning_Shift!$B$4:$BJ$61,MATCH(Both_Shift_Roster!AS$2,Morning_Shift!$B$2:$BJ$2,0),0),""))</f>
        <v>14:30-22:00</v>
      </c>
      <c r="AT70" s="2" t="str">
        <f>IF(IFERROR(VLOOKUP($B70,Morning_Shift!$B$4:$BJ$61,MATCH(Both_Shift_Roster!AT$2,Morning_Shift!$B$2:$BJ$2,0),0),"")="",IFERROR(VLOOKUP($B70,Evening_Shift!$B$4:$BJ$62,MATCH(Both_Shift_Roster!AT$2,Evening_Shift!$B$2:$BJ$2,0),0),""),IFERROR(VLOOKUP($B70,Morning_Shift!$B$4:$BJ$61,MATCH(Both_Shift_Roster!AT$2,Morning_Shift!$B$2:$BJ$2,0),0),""))</f>
        <v>14:30-22:00</v>
      </c>
      <c r="AU70" s="2" t="str">
        <f>IF(IFERROR(VLOOKUP($B70,Morning_Shift!$B$4:$BJ$61,MATCH(Both_Shift_Roster!AU$2,Morning_Shift!$B$2:$BJ$2,0),0),"")="",IFERROR(VLOOKUP($B70,Evening_Shift!$B$4:$BJ$62,MATCH(Both_Shift_Roster!AU$2,Evening_Shift!$B$2:$BJ$2,0),0),""),IFERROR(VLOOKUP($B70,Morning_Shift!$B$4:$BJ$61,MATCH(Both_Shift_Roster!AU$2,Morning_Shift!$B$2:$BJ$2,0),0),""))</f>
        <v>14:30-22:00</v>
      </c>
      <c r="AV70" s="2" t="str">
        <f>IF(IFERROR(VLOOKUP($B70,Morning_Shift!$B$4:$BJ$61,MATCH(Both_Shift_Roster!AV$2,Morning_Shift!$B$2:$BJ$2,0),0),"")="",IFERROR(VLOOKUP($B70,Evening_Shift!$B$4:$BJ$62,MATCH(Both_Shift_Roster!AV$2,Evening_Shift!$B$2:$BJ$2,0),0),""),IFERROR(VLOOKUP($B70,Morning_Shift!$B$4:$BJ$61,MATCH(Both_Shift_Roster!AV$2,Morning_Shift!$B$2:$BJ$2,0),0),""))</f>
        <v>14:30-22:00</v>
      </c>
      <c r="AW70" s="2" t="str">
        <f>IF(IFERROR(VLOOKUP($B70,Morning_Shift!$B$4:$BJ$61,MATCH(Both_Shift_Roster!AW$2,Morning_Shift!$B$2:$BJ$2,0),0),"")="",IFERROR(VLOOKUP($B70,Evening_Shift!$B$4:$BJ$62,MATCH(Both_Shift_Roster!AW$2,Evening_Shift!$B$2:$BJ$2,0),0),""),IFERROR(VLOOKUP($B70,Morning_Shift!$B$4:$BJ$61,MATCH(Both_Shift_Roster!AW$2,Morning_Shift!$B$2:$BJ$2,0),0),""))</f>
        <v>Agent Choice WO</v>
      </c>
      <c r="AX70" s="2">
        <f t="shared" si="56"/>
        <v>1</v>
      </c>
      <c r="AY70" s="2">
        <f t="shared" si="57"/>
        <v>0</v>
      </c>
      <c r="AZ70" s="2">
        <f t="shared" si="58"/>
        <v>0</v>
      </c>
      <c r="BA70" s="2">
        <f t="shared" si="59"/>
        <v>0</v>
      </c>
      <c r="BB70" s="2">
        <f t="shared" si="60"/>
        <v>0</v>
      </c>
      <c r="BC70" s="2" t="str">
        <f>IF(IFERROR(VLOOKUP($B70,Morning_Shift!$B$4:$BJ$61,MATCH(Both_Shift_Roster!BC$2,Morning_Shift!$B$2:$BJ$2,0),0),"")="",IFERROR(VLOOKUP($B70,Evening_Shift!$B$4:$BJ$62,MATCH(Both_Shift_Roster!BC$2,Evening_Shift!$B$2:$BJ$2,0),0),""),IFERROR(VLOOKUP($B70,Morning_Shift!$B$4:$BJ$61,MATCH(Both_Shift_Roster!BC$2,Morning_Shift!$B$2:$BJ$2,0),0),""))</f>
        <v>CL</v>
      </c>
      <c r="BD70" s="2" t="str">
        <f>IF(IFERROR(VLOOKUP($B70,Morning_Shift!$B$4:$BJ$61,MATCH(Both_Shift_Roster!BD$2,Morning_Shift!$B$2:$BJ$2,0),0),"")="",IFERROR(VLOOKUP($B70,Evening_Shift!$B$4:$BJ$62,MATCH(Both_Shift_Roster!BD$2,Evening_Shift!$B$2:$BJ$2,0),0),""),IFERROR(VLOOKUP($B70,Morning_Shift!$B$4:$BJ$61,MATCH(Both_Shift_Roster!BD$2,Morning_Shift!$B$2:$BJ$2,0),0),""))</f>
        <v>CL</v>
      </c>
      <c r="BE70" s="2" t="str">
        <f>IF(IFERROR(VLOOKUP($B70,Morning_Shift!$B$4:$BJ$61,MATCH(Both_Shift_Roster!BE$2,Morning_Shift!$B$2:$BJ$2,0),0),"")="",IFERROR(VLOOKUP($B70,Evening_Shift!$B$4:$BJ$59,MATCH(Both_Shift_Roster!BE$2,Evening_Shift!$B$2:$BJ$2,0),0),""),IFERROR(VLOOKUP($B70,Morning_Shift!$B$4:$BJ$61,MATCH(Both_Shift_Roster!BE$2,Morning_Shift!$B$2:$BJ$2,0),0),""))</f>
        <v>14:30-22:00</v>
      </c>
      <c r="BF70" s="2">
        <f t="shared" si="61"/>
        <v>0</v>
      </c>
      <c r="BG70" s="2">
        <f t="shared" si="62"/>
        <v>0</v>
      </c>
      <c r="BH70" s="2">
        <f t="shared" si="63"/>
        <v>2</v>
      </c>
      <c r="BI70" s="2">
        <f t="shared" si="64"/>
        <v>0</v>
      </c>
      <c r="BJ70" s="2">
        <f t="shared" si="65"/>
        <v>0</v>
      </c>
    </row>
    <row r="71" spans="1:62">
      <c r="A71" s="17">
        <f t="shared" si="66"/>
        <v>68</v>
      </c>
      <c r="B71" s="16" t="str">
        <f>Evening_Shift!$B13</f>
        <v>Dritm47</v>
      </c>
      <c r="C71" s="21" t="str">
        <f>IF(IFERROR(VLOOKUP(B71,Morning_Shift!B:C,2,0),"")="",IFERROR(VLOOKUP(B71,Evening_Shift!B:C,2,0),""),IFERROR(VLOOKUP(B71,Morning_Shift!B:C,2,0),""))</f>
        <v>Harsha</v>
      </c>
      <c r="D71" s="15" t="str">
        <f>IF(IFERROR(VLOOKUP(B71,Morning_Shift!B:D,3,0),"")="",IFERROR(VLOOKUP(B71,Evening_Shift!B:D,3,0),""),IFERROR(VLOOKUP(B71,Morning_Shift!B:D,3,0),""))</f>
        <v xml:space="preserve">Sanjesh </v>
      </c>
      <c r="E71" s="4" t="str">
        <f>IF(IFERROR(VLOOKUP(B71,Morning_Shift!B:E,4,0),"")="",IFERROR(VLOOKUP(B71,Evening_Shift!B:E,4,0),""),IFERROR(VLOOKUP(B71,Morning_Shift!B:E,4,0),""))</f>
        <v>F</v>
      </c>
      <c r="F71" s="5" t="str">
        <f>IF(IFERROR(VLOOKUP(B71,Morning_Shift!B:F,5,0),"")="",IFERROR(VLOOKUP(B71,Evening_Shift!B:F,5,0),""),IFERROR(VLOOKUP(B71,Morning_Shift!B:F,5,0),""))</f>
        <v>Inbound</v>
      </c>
      <c r="G71" s="2" t="str">
        <f>IF(IFERROR(VLOOKUP($B71,Morning_Shift!$B$4:$BJ$61,MATCH(Both_Shift_Roster!G$2,Morning_Shift!$B$2:$BJ$2,0),0),"")="",IFERROR(VLOOKUP($B71,Evening_Shift!$B$4:$BJ$62,MATCH(Both_Shift_Roster!G$2,Evening_Shift!$B$2:$BJ$2,0),0),""),IFERROR(VLOOKUP($B71,Morning_Shift!$B$4:$BJ$61,MATCH(Both_Shift_Roster!G$2,Morning_Shift!$B$2:$BJ$2,0),0),""))</f>
        <v>14:30-22:00</v>
      </c>
      <c r="H71" s="2" t="str">
        <f>IF(IFERROR(VLOOKUP($B71,Morning_Shift!$B$4:$BJ$61,MATCH(Both_Shift_Roster!H$2,Morning_Shift!$B$2:$BJ$2,0),0),"")="",IFERROR(VLOOKUP($B71,Evening_Shift!$B$4:$BJ$62,MATCH(Both_Shift_Roster!H$2,Evening_Shift!$B$2:$BJ$2,0),0),""),IFERROR(VLOOKUP($B71,Morning_Shift!$B$4:$BJ$61,MATCH(Both_Shift_Roster!H$2,Morning_Shift!$B$2:$BJ$2,0),0),""))</f>
        <v>14:30-22:00</v>
      </c>
      <c r="I71" s="2" t="str">
        <f>IF(IFERROR(VLOOKUP($B71,Morning_Shift!$B$4:$BJ$61,MATCH(Both_Shift_Roster!I$2,Morning_Shift!$B$2:$BJ$2,0),0),"")="",IFERROR(VLOOKUP($B71,Evening_Shift!$B$4:$BJ$62,MATCH(Both_Shift_Roster!I$2,Evening_Shift!$B$2:$BJ$2,0),0),""),IFERROR(VLOOKUP($B71,Morning_Shift!$B$4:$BJ$61,MATCH(Both_Shift_Roster!I$2,Morning_Shift!$B$2:$BJ$2,0),0),""))</f>
        <v>14:30-22:00</v>
      </c>
      <c r="J71" s="2" t="str">
        <f>IF(IFERROR(VLOOKUP($B71,Morning_Shift!$B$4:$BJ$61,MATCH(Both_Shift_Roster!J$2,Morning_Shift!$B$2:$BJ$2,0),0),"")="",IFERROR(VLOOKUP($B71,Evening_Shift!$B$4:$BJ$62,MATCH(Both_Shift_Roster!J$2,Evening_Shift!$B$2:$BJ$2,0),0),""),IFERROR(VLOOKUP($B71,Morning_Shift!$B$4:$BJ$61,MATCH(Both_Shift_Roster!J$2,Morning_Shift!$B$2:$BJ$2,0),0),""))</f>
        <v>14:30-22:00</v>
      </c>
      <c r="K71" s="2" t="str">
        <f>IF(IFERROR(VLOOKUP($B71,Morning_Shift!$B$4:$BJ$61,MATCH(Both_Shift_Roster!K$2,Morning_Shift!$B$2:$BJ$2,0),0),"")="",IFERROR(VLOOKUP($B71,Evening_Shift!$B$4:$BJ$62,MATCH(Both_Shift_Roster!K$2,Evening_Shift!$B$2:$BJ$2,0),0),""),IFERROR(VLOOKUP($B71,Morning_Shift!$B$4:$BJ$61,MATCH(Both_Shift_Roster!K$2,Morning_Shift!$B$2:$BJ$2,0),0),""))</f>
        <v>14:30-22:00</v>
      </c>
      <c r="L71" s="2" t="str">
        <f>IF(IFERROR(VLOOKUP($B71,Morning_Shift!$B$4:$BJ$61,MATCH(Both_Shift_Roster!L$2,Morning_Shift!$B$2:$BJ$2,0),0),"")="",IFERROR(VLOOKUP($B71,Evening_Shift!$B$4:$BJ$62,MATCH(Both_Shift_Roster!L$2,Evening_Shift!$B$2:$BJ$2,0),0),""),IFERROR(VLOOKUP($B71,Morning_Shift!$B$4:$BJ$61,MATCH(Both_Shift_Roster!L$2,Morning_Shift!$B$2:$BJ$2,0),0),""))</f>
        <v>14:30-22:00</v>
      </c>
      <c r="M71" s="2" t="str">
        <f>IF(IFERROR(VLOOKUP($B71,Morning_Shift!$B$4:$BJ$61,MATCH(Both_Shift_Roster!M$2,Morning_Shift!$B$2:$BJ$2,0),0),"")="",IFERROR(VLOOKUP($B71,Evening_Shift!$B$4:$BJ$62,MATCH(Both_Shift_Roster!M$2,Evening_Shift!$B$2:$BJ$2,0),0),""),IFERROR(VLOOKUP($B71,Morning_Shift!$B$4:$BJ$61,MATCH(Both_Shift_Roster!M$2,Morning_Shift!$B$2:$BJ$2,0),0),""))</f>
        <v>14:30-22:00</v>
      </c>
      <c r="N71" s="2">
        <f t="shared" si="41"/>
        <v>0</v>
      </c>
      <c r="O71" s="2">
        <f t="shared" si="42"/>
        <v>0</v>
      </c>
      <c r="P71" s="2">
        <f t="shared" si="43"/>
        <v>0</v>
      </c>
      <c r="Q71" s="2">
        <f t="shared" si="44"/>
        <v>0</v>
      </c>
      <c r="R71" s="2">
        <f t="shared" si="45"/>
        <v>0</v>
      </c>
      <c r="S71" s="2" t="str">
        <f>IF(IFERROR(VLOOKUP($B71,Morning_Shift!$B$4:$BJ$61,MATCH(Both_Shift_Roster!S$2,Morning_Shift!$B$2:$BJ$2,0),0),"")="",IFERROR(VLOOKUP($B71,Evening_Shift!$B$4:$BJ$62,MATCH(Both_Shift_Roster!S$2,Evening_Shift!$B$2:$BJ$2,0),0),""),IFERROR(VLOOKUP($B71,Morning_Shift!$B$4:$BJ$61,MATCH(Both_Shift_Roster!S$2,Morning_Shift!$B$2:$BJ$2,0),0),""))</f>
        <v>14:30-22:00</v>
      </c>
      <c r="T71" s="2" t="str">
        <f>IF(IFERROR(VLOOKUP($B71,Morning_Shift!$B$4:$BJ$61,MATCH(Both_Shift_Roster!T$2,Morning_Shift!$B$2:$BJ$2,0),0),"")="",IFERROR(VLOOKUP($B71,Evening_Shift!$B$4:$BJ$62,MATCH(Both_Shift_Roster!T$2,Evening_Shift!$B$2:$BJ$2,0),0),""),IFERROR(VLOOKUP($B71,Morning_Shift!$B$4:$BJ$61,MATCH(Both_Shift_Roster!T$2,Morning_Shift!$B$2:$BJ$2,0),0),""))</f>
        <v>14:30-22:00</v>
      </c>
      <c r="U71" s="2" t="str">
        <f>IF(IFERROR(VLOOKUP($B71,Morning_Shift!$B$4:$BJ$61,MATCH(Both_Shift_Roster!U$2,Morning_Shift!$B$2:$BJ$2,0),0),"")="",IFERROR(VLOOKUP($B71,Evening_Shift!$B$4:$BJ$62,MATCH(Both_Shift_Roster!U$2,Evening_Shift!$B$2:$BJ$2,0),0),""),IFERROR(VLOOKUP($B71,Morning_Shift!$B$4:$BJ$61,MATCH(Both_Shift_Roster!U$2,Morning_Shift!$B$2:$BJ$2,0),0),""))</f>
        <v>14:30-22:00</v>
      </c>
      <c r="V71" s="2" t="str">
        <f>IF(IFERROR(VLOOKUP($B71,Morning_Shift!$B$4:$BJ$61,MATCH(Both_Shift_Roster!V$2,Morning_Shift!$B$2:$BJ$2,0),0),"")="",IFERROR(VLOOKUP($B71,Evening_Shift!$B$4:$BJ$62,MATCH(Both_Shift_Roster!V$2,Evening_Shift!$B$2:$BJ$2,0),0),""),IFERROR(VLOOKUP($B71,Morning_Shift!$B$4:$BJ$61,MATCH(Both_Shift_Roster!V$2,Morning_Shift!$B$2:$BJ$2,0),0),""))</f>
        <v>14:30-22:00</v>
      </c>
      <c r="W71" s="2" t="str">
        <f>IF(IFERROR(VLOOKUP($B71,Morning_Shift!$B$4:$BJ$61,MATCH(Both_Shift_Roster!W$2,Morning_Shift!$B$2:$BJ$2,0),0),"")="",IFERROR(VLOOKUP($B71,Evening_Shift!$B$4:$BJ$62,MATCH(Both_Shift_Roster!W$2,Evening_Shift!$B$2:$BJ$2,0),0),""),IFERROR(VLOOKUP($B71,Morning_Shift!$B$4:$BJ$61,MATCH(Both_Shift_Roster!W$2,Morning_Shift!$B$2:$BJ$2,0),0),""))</f>
        <v>14:30-22:00</v>
      </c>
      <c r="X71" s="2" t="str">
        <f>IF(IFERROR(VLOOKUP($B71,Morning_Shift!$B$4:$BJ$61,MATCH(Both_Shift_Roster!X$2,Morning_Shift!$B$2:$BJ$2,0),0),"")="",IFERROR(VLOOKUP($B71,Evening_Shift!$B$4:$BJ$62,MATCH(Both_Shift_Roster!X$2,Evening_Shift!$B$2:$BJ$2,0),0),""),IFERROR(VLOOKUP($B71,Morning_Shift!$B$4:$BJ$61,MATCH(Both_Shift_Roster!X$2,Morning_Shift!$B$2:$BJ$2,0),0),""))</f>
        <v>14:30-22:00</v>
      </c>
      <c r="Y71" s="2" t="str">
        <f>IF(IFERROR(VLOOKUP($B71,Morning_Shift!$B$4:$BJ$61,MATCH(Both_Shift_Roster!Y$2,Morning_Shift!$B$2:$BJ$2,0),0),"")="",IFERROR(VLOOKUP($B71,Evening_Shift!$B$4:$BJ$62,MATCH(Both_Shift_Roster!Y$2,Evening_Shift!$B$2:$BJ$2,0),0),""),IFERROR(VLOOKUP($B71,Morning_Shift!$B$4:$BJ$61,MATCH(Both_Shift_Roster!Y$2,Morning_Shift!$B$2:$BJ$2,0),0),""))</f>
        <v>14:30-22:00</v>
      </c>
      <c r="Z71" s="2">
        <f t="shared" si="46"/>
        <v>0</v>
      </c>
      <c r="AA71" s="2">
        <f t="shared" si="47"/>
        <v>0</v>
      </c>
      <c r="AB71" s="2">
        <f t="shared" si="48"/>
        <v>0</v>
      </c>
      <c r="AC71" s="2">
        <f t="shared" si="49"/>
        <v>0</v>
      </c>
      <c r="AD71" s="2">
        <f t="shared" si="50"/>
        <v>0</v>
      </c>
      <c r="AE71" s="2" t="str">
        <f>IF(IFERROR(VLOOKUP($B71,Morning_Shift!$B$4:$BJ$61,MATCH(Both_Shift_Roster!AE$2,Morning_Shift!$B$2:$BJ$2,0),0),"")="",IFERROR(VLOOKUP($B71,Evening_Shift!$B$4:$BJ$62,MATCH(Both_Shift_Roster!AE$2,Evening_Shift!$B$2:$BJ$2,0),0),""),IFERROR(VLOOKUP($B71,Morning_Shift!$B$4:$BJ$61,MATCH(Both_Shift_Roster!AE$2,Morning_Shift!$B$2:$BJ$2,0),0),""))</f>
        <v>14:30-22:00</v>
      </c>
      <c r="AF71" s="2" t="str">
        <f>IF(IFERROR(VLOOKUP($B71,Morning_Shift!$B$4:$BJ$61,MATCH(Both_Shift_Roster!AF$2,Morning_Shift!$B$2:$BJ$2,0),0),"")="",IFERROR(VLOOKUP($B71,Evening_Shift!$B$4:$BJ$62,MATCH(Both_Shift_Roster!AF$2,Evening_Shift!$B$2:$BJ$2,0),0),""),IFERROR(VLOOKUP($B71,Morning_Shift!$B$4:$BJ$61,MATCH(Both_Shift_Roster!AF$2,Morning_Shift!$B$2:$BJ$2,0),0),""))</f>
        <v>Agent Choice WO</v>
      </c>
      <c r="AG71" s="2" t="str">
        <f>IF(IFERROR(VLOOKUP($B71,Morning_Shift!$B$4:$BJ$61,MATCH(Both_Shift_Roster!AG$2,Morning_Shift!$B$2:$BJ$2,0),0),"")="",IFERROR(VLOOKUP($B71,Evening_Shift!$B$4:$BJ$62,MATCH(Both_Shift_Roster!AG$2,Evening_Shift!$B$2:$BJ$2,0),0),""),IFERROR(VLOOKUP($B71,Morning_Shift!$B$4:$BJ$61,MATCH(Both_Shift_Roster!AG$2,Morning_Shift!$B$2:$BJ$2,0),0),""))</f>
        <v>Agent Choice WO</v>
      </c>
      <c r="AH71" s="2" t="str">
        <f>IF(IFERROR(VLOOKUP($B71,Morning_Shift!$B$4:$BJ$61,MATCH(Both_Shift_Roster!AH$2,Morning_Shift!$B$2:$BJ$2,0),0),"")="",IFERROR(VLOOKUP($B71,Evening_Shift!$B$4:$BJ$62,MATCH(Both_Shift_Roster!AH$2,Evening_Shift!$B$2:$BJ$2,0),0),""),IFERROR(VLOOKUP($B71,Morning_Shift!$B$4:$BJ$61,MATCH(Both_Shift_Roster!AH$2,Morning_Shift!$B$2:$BJ$2,0),0),""))</f>
        <v>Agent Choice WO</v>
      </c>
      <c r="AI71" s="2" t="str">
        <f>IF(IFERROR(VLOOKUP($B71,Morning_Shift!$B$4:$BJ$61,MATCH(Both_Shift_Roster!AI$2,Morning_Shift!$B$2:$BJ$2,0),0),"")="",IFERROR(VLOOKUP($B71,Evening_Shift!$B$4:$BJ$62,MATCH(Both_Shift_Roster!AI$2,Evening_Shift!$B$2:$BJ$2,0),0),""),IFERROR(VLOOKUP($B71,Morning_Shift!$B$4:$BJ$61,MATCH(Both_Shift_Roster!AI$2,Morning_Shift!$B$2:$BJ$2,0),0),""))</f>
        <v>Agent Choice WO</v>
      </c>
      <c r="AJ71" s="2" t="str">
        <f>IF(IFERROR(VLOOKUP($B71,Morning_Shift!$B$4:$BJ$61,MATCH(Both_Shift_Roster!AJ$2,Morning_Shift!$B$2:$BJ$2,0),0),"")="",IFERROR(VLOOKUP($B71,Evening_Shift!$B$4:$BJ$62,MATCH(Both_Shift_Roster!AJ$2,Evening_Shift!$B$2:$BJ$2,0),0),""),IFERROR(VLOOKUP($B71,Morning_Shift!$B$4:$BJ$61,MATCH(Both_Shift_Roster!AJ$2,Morning_Shift!$B$2:$BJ$2,0),0),""))</f>
        <v>CL</v>
      </c>
      <c r="AK71" s="2" t="str">
        <f>IF(IFERROR(VLOOKUP($B71,Morning_Shift!$B$4:$BJ$61,MATCH(Both_Shift_Roster!AK$2,Morning_Shift!$B$2:$BJ$2,0),0),"")="",IFERROR(VLOOKUP($B71,Evening_Shift!$B$4:$BJ$62,MATCH(Both_Shift_Roster!AK$2,Evening_Shift!$B$2:$BJ$2,0),0),""),IFERROR(VLOOKUP($B71,Morning_Shift!$B$4:$BJ$61,MATCH(Both_Shift_Roster!AK$2,Morning_Shift!$B$2:$BJ$2,0),0),""))</f>
        <v>14:30-22:00</v>
      </c>
      <c r="AL71" s="2">
        <f t="shared" si="51"/>
        <v>4</v>
      </c>
      <c r="AM71" s="2">
        <f t="shared" si="52"/>
        <v>0</v>
      </c>
      <c r="AN71" s="2">
        <f t="shared" si="53"/>
        <v>1</v>
      </c>
      <c r="AO71" s="2">
        <f t="shared" si="54"/>
        <v>0</v>
      </c>
      <c r="AP71" s="2">
        <f t="shared" si="55"/>
        <v>0</v>
      </c>
      <c r="AQ71" s="2" t="str">
        <f>IF(IFERROR(VLOOKUP($B71,Morning_Shift!$B$4:$BJ$61,MATCH(Both_Shift_Roster!AQ$2,Morning_Shift!$B$2:$BJ$2,0),0),"")="",IFERROR(VLOOKUP($B71,Evening_Shift!$B$4:$BJ$62,MATCH(Both_Shift_Roster!AQ$2,Evening_Shift!$B$2:$BJ$2,0),0),""),IFERROR(VLOOKUP($B71,Morning_Shift!$B$4:$BJ$61,MATCH(Both_Shift_Roster!AQ$2,Morning_Shift!$B$2:$BJ$2,0),0),""))</f>
        <v>14:30-22:00</v>
      </c>
      <c r="AR71" s="2" t="str">
        <f>IF(IFERROR(VLOOKUP($B71,Morning_Shift!$B$4:$BJ$61,MATCH(Both_Shift_Roster!AR$2,Morning_Shift!$B$2:$BJ$2,0),0),"")="",IFERROR(VLOOKUP($B71,Evening_Shift!$B$4:$BJ$62,MATCH(Both_Shift_Roster!AR$2,Evening_Shift!$B$2:$BJ$2,0),0),""),IFERROR(VLOOKUP($B71,Morning_Shift!$B$4:$BJ$61,MATCH(Both_Shift_Roster!AR$2,Morning_Shift!$B$2:$BJ$2,0),0),""))</f>
        <v>14:30-22:00</v>
      </c>
      <c r="AS71" s="2" t="str">
        <f>IF(IFERROR(VLOOKUP($B71,Morning_Shift!$B$4:$BJ$61,MATCH(Both_Shift_Roster!AS$2,Morning_Shift!$B$2:$BJ$2,0),0),"")="",IFERROR(VLOOKUP($B71,Evening_Shift!$B$4:$BJ$62,MATCH(Both_Shift_Roster!AS$2,Evening_Shift!$B$2:$BJ$2,0),0),""),IFERROR(VLOOKUP($B71,Morning_Shift!$B$4:$BJ$61,MATCH(Both_Shift_Roster!AS$2,Morning_Shift!$B$2:$BJ$2,0),0),""))</f>
        <v>14:30-22:00</v>
      </c>
      <c r="AT71" s="2" t="str">
        <f>IF(IFERROR(VLOOKUP($B71,Morning_Shift!$B$4:$BJ$61,MATCH(Both_Shift_Roster!AT$2,Morning_Shift!$B$2:$BJ$2,0),0),"")="",IFERROR(VLOOKUP($B71,Evening_Shift!$B$4:$BJ$62,MATCH(Both_Shift_Roster!AT$2,Evening_Shift!$B$2:$BJ$2,0),0),""),IFERROR(VLOOKUP($B71,Morning_Shift!$B$4:$BJ$61,MATCH(Both_Shift_Roster!AT$2,Morning_Shift!$B$2:$BJ$2,0),0),""))</f>
        <v>14:30-22:00</v>
      </c>
      <c r="AU71" s="2" t="str">
        <f>IF(IFERROR(VLOOKUP($B71,Morning_Shift!$B$4:$BJ$61,MATCH(Both_Shift_Roster!AU$2,Morning_Shift!$B$2:$BJ$2,0),0),"")="",IFERROR(VLOOKUP($B71,Evening_Shift!$B$4:$BJ$62,MATCH(Both_Shift_Roster!AU$2,Evening_Shift!$B$2:$BJ$2,0),0),""),IFERROR(VLOOKUP($B71,Morning_Shift!$B$4:$BJ$61,MATCH(Both_Shift_Roster!AU$2,Morning_Shift!$B$2:$BJ$2,0),0),""))</f>
        <v>14:30-22:00</v>
      </c>
      <c r="AV71" s="2" t="str">
        <f>IF(IFERROR(VLOOKUP($B71,Morning_Shift!$B$4:$BJ$61,MATCH(Both_Shift_Roster!AV$2,Morning_Shift!$B$2:$BJ$2,0),0),"")="",IFERROR(VLOOKUP($B71,Evening_Shift!$B$4:$BJ$62,MATCH(Both_Shift_Roster!AV$2,Evening_Shift!$B$2:$BJ$2,0),0),""),IFERROR(VLOOKUP($B71,Morning_Shift!$B$4:$BJ$61,MATCH(Both_Shift_Roster!AV$2,Morning_Shift!$B$2:$BJ$2,0),0),""))</f>
        <v>14:30-22:00</v>
      </c>
      <c r="AW71" s="2" t="str">
        <f>IF(IFERROR(VLOOKUP($B71,Morning_Shift!$B$4:$BJ$61,MATCH(Both_Shift_Roster!AW$2,Morning_Shift!$B$2:$BJ$2,0),0),"")="",IFERROR(VLOOKUP($B71,Evening_Shift!$B$4:$BJ$62,MATCH(Both_Shift_Roster!AW$2,Evening_Shift!$B$2:$BJ$2,0),0),""),IFERROR(VLOOKUP($B71,Morning_Shift!$B$4:$BJ$61,MATCH(Both_Shift_Roster!AW$2,Morning_Shift!$B$2:$BJ$2,0),0),""))</f>
        <v>14:30-22:00</v>
      </c>
      <c r="AX71" s="2">
        <f t="shared" si="56"/>
        <v>0</v>
      </c>
      <c r="AY71" s="2">
        <f t="shared" si="57"/>
        <v>0</v>
      </c>
      <c r="AZ71" s="2">
        <f t="shared" si="58"/>
        <v>0</v>
      </c>
      <c r="BA71" s="2">
        <f t="shared" si="59"/>
        <v>0</v>
      </c>
      <c r="BB71" s="2">
        <f t="shared" si="60"/>
        <v>0</v>
      </c>
      <c r="BC71" s="2" t="str">
        <f>IF(IFERROR(VLOOKUP($B71,Morning_Shift!$B$4:$BJ$61,MATCH(Both_Shift_Roster!BC$2,Morning_Shift!$B$2:$BJ$2,0),0),"")="",IFERROR(VLOOKUP($B71,Evening_Shift!$B$4:$BJ$62,MATCH(Both_Shift_Roster!BC$2,Evening_Shift!$B$2:$BJ$2,0),0),""),IFERROR(VLOOKUP($B71,Morning_Shift!$B$4:$BJ$61,MATCH(Both_Shift_Roster!BC$2,Morning_Shift!$B$2:$BJ$2,0),0),""))</f>
        <v>14:30-22:00</v>
      </c>
      <c r="BD71" s="2" t="str">
        <f>IF(IFERROR(VLOOKUP($B71,Morning_Shift!$B$4:$BJ$61,MATCH(Both_Shift_Roster!BD$2,Morning_Shift!$B$2:$BJ$2,0),0),"")="",IFERROR(VLOOKUP($B71,Evening_Shift!$B$4:$BJ$62,MATCH(Both_Shift_Roster!BD$2,Evening_Shift!$B$2:$BJ$2,0),0),""),IFERROR(VLOOKUP($B71,Morning_Shift!$B$4:$BJ$61,MATCH(Both_Shift_Roster!BD$2,Morning_Shift!$B$2:$BJ$2,0),0),""))</f>
        <v>14:30-22:00</v>
      </c>
      <c r="BE71" s="2" t="str">
        <f>IF(IFERROR(VLOOKUP($B71,Morning_Shift!$B$4:$BJ$61,MATCH(Both_Shift_Roster!BE$2,Morning_Shift!$B$2:$BJ$2,0),0),"")="",IFERROR(VLOOKUP($B71,Evening_Shift!$B$4:$BJ$59,MATCH(Both_Shift_Roster!BE$2,Evening_Shift!$B$2:$BJ$2,0),0),""),IFERROR(VLOOKUP($B71,Morning_Shift!$B$4:$BJ$61,MATCH(Both_Shift_Roster!BE$2,Morning_Shift!$B$2:$BJ$2,0),0),""))</f>
        <v>14:30-22:00</v>
      </c>
      <c r="BF71" s="2">
        <f t="shared" si="61"/>
        <v>0</v>
      </c>
      <c r="BG71" s="2">
        <f t="shared" si="62"/>
        <v>0</v>
      </c>
      <c r="BH71" s="2">
        <f t="shared" si="63"/>
        <v>0</v>
      </c>
      <c r="BI71" s="2">
        <f t="shared" si="64"/>
        <v>0</v>
      </c>
      <c r="BJ71" s="2">
        <f t="shared" si="65"/>
        <v>0</v>
      </c>
    </row>
    <row r="72" spans="1:62">
      <c r="A72" s="17">
        <f t="shared" si="66"/>
        <v>69</v>
      </c>
      <c r="B72" s="16" t="str">
        <f>Evening_Shift!$B14</f>
        <v>Dritm48</v>
      </c>
      <c r="C72" s="21" t="str">
        <f>IF(IFERROR(VLOOKUP(B72,Morning_Shift!B:C,2,0),"")="",IFERROR(VLOOKUP(B72,Evening_Shift!B:C,2,0),""),IFERROR(VLOOKUP(B72,Morning_Shift!B:C,2,0),""))</f>
        <v>Bhawana</v>
      </c>
      <c r="D72" s="15" t="str">
        <f>IF(IFERROR(VLOOKUP(B72,Morning_Shift!B:D,3,0),"")="",IFERROR(VLOOKUP(B72,Evening_Shift!B:D,3,0),""),IFERROR(VLOOKUP(B72,Morning_Shift!B:D,3,0),""))</f>
        <v xml:space="preserve">Sanjesh </v>
      </c>
      <c r="E72" s="4" t="str">
        <f>IF(IFERROR(VLOOKUP(B72,Morning_Shift!B:E,4,0),"")="",IFERROR(VLOOKUP(B72,Evening_Shift!B:E,4,0),""),IFERROR(VLOOKUP(B72,Morning_Shift!B:E,4,0),""))</f>
        <v>F</v>
      </c>
      <c r="F72" s="5" t="str">
        <f>IF(IFERROR(VLOOKUP(B72,Morning_Shift!B:F,5,0),"")="",IFERROR(VLOOKUP(B72,Evening_Shift!B:F,5,0),""),IFERROR(VLOOKUP(B72,Morning_Shift!B:F,5,0),""))</f>
        <v>Disaster</v>
      </c>
      <c r="G72" s="2" t="str">
        <f>IF(IFERROR(VLOOKUP($B72,Morning_Shift!$B$4:$BJ$61,MATCH(Both_Shift_Roster!G$2,Morning_Shift!$B$2:$BJ$2,0),0),"")="",IFERROR(VLOOKUP($B72,Evening_Shift!$B$4:$BJ$62,MATCH(Both_Shift_Roster!G$2,Evening_Shift!$B$2:$BJ$2,0),0),""),IFERROR(VLOOKUP($B72,Morning_Shift!$B$4:$BJ$61,MATCH(Both_Shift_Roster!G$2,Morning_Shift!$B$2:$BJ$2,0),0),""))</f>
        <v>14:30-22:00</v>
      </c>
      <c r="H72" s="2" t="str">
        <f>IF(IFERROR(VLOOKUP($B72,Morning_Shift!$B$4:$BJ$61,MATCH(Both_Shift_Roster!H$2,Morning_Shift!$B$2:$BJ$2,0),0),"")="",IFERROR(VLOOKUP($B72,Evening_Shift!$B$4:$BJ$62,MATCH(Both_Shift_Roster!H$2,Evening_Shift!$B$2:$BJ$2,0),0),""),IFERROR(VLOOKUP($B72,Morning_Shift!$B$4:$BJ$61,MATCH(Both_Shift_Roster!H$2,Morning_Shift!$B$2:$BJ$2,0),0),""))</f>
        <v>14:30-22:00</v>
      </c>
      <c r="I72" s="2" t="str">
        <f>IF(IFERROR(VLOOKUP($B72,Morning_Shift!$B$4:$BJ$61,MATCH(Both_Shift_Roster!I$2,Morning_Shift!$B$2:$BJ$2,0),0),"")="",IFERROR(VLOOKUP($B72,Evening_Shift!$B$4:$BJ$62,MATCH(Both_Shift_Roster!I$2,Evening_Shift!$B$2:$BJ$2,0),0),""),IFERROR(VLOOKUP($B72,Morning_Shift!$B$4:$BJ$61,MATCH(Both_Shift_Roster!I$2,Morning_Shift!$B$2:$BJ$2,0),0),""))</f>
        <v>14:30-22:00</v>
      </c>
      <c r="J72" s="2" t="str">
        <f>IF(IFERROR(VLOOKUP($B72,Morning_Shift!$B$4:$BJ$61,MATCH(Both_Shift_Roster!J$2,Morning_Shift!$B$2:$BJ$2,0),0),"")="",IFERROR(VLOOKUP($B72,Evening_Shift!$B$4:$BJ$62,MATCH(Both_Shift_Roster!J$2,Evening_Shift!$B$2:$BJ$2,0),0),""),IFERROR(VLOOKUP($B72,Morning_Shift!$B$4:$BJ$61,MATCH(Both_Shift_Roster!J$2,Morning_Shift!$B$2:$BJ$2,0),0),""))</f>
        <v>Agent Choice WO</v>
      </c>
      <c r="K72" s="2" t="str">
        <f>IF(IFERROR(VLOOKUP($B72,Morning_Shift!$B$4:$BJ$61,MATCH(Both_Shift_Roster!K$2,Morning_Shift!$B$2:$BJ$2,0),0),"")="",IFERROR(VLOOKUP($B72,Evening_Shift!$B$4:$BJ$62,MATCH(Both_Shift_Roster!K$2,Evening_Shift!$B$2:$BJ$2,0),0),""),IFERROR(VLOOKUP($B72,Morning_Shift!$B$4:$BJ$61,MATCH(Both_Shift_Roster!K$2,Morning_Shift!$B$2:$BJ$2,0),0),""))</f>
        <v>Agent Choice WO</v>
      </c>
      <c r="L72" s="2" t="str">
        <f>IF(IFERROR(VLOOKUP($B72,Morning_Shift!$B$4:$BJ$61,MATCH(Both_Shift_Roster!L$2,Morning_Shift!$B$2:$BJ$2,0),0),"")="",IFERROR(VLOOKUP($B72,Evening_Shift!$B$4:$BJ$62,MATCH(Both_Shift_Roster!L$2,Evening_Shift!$B$2:$BJ$2,0),0),""),IFERROR(VLOOKUP($B72,Morning_Shift!$B$4:$BJ$61,MATCH(Both_Shift_Roster!L$2,Morning_Shift!$B$2:$BJ$2,0),0),""))</f>
        <v>14:30-22:00</v>
      </c>
      <c r="M72" s="2" t="str">
        <f>IF(IFERROR(VLOOKUP($B72,Morning_Shift!$B$4:$BJ$61,MATCH(Both_Shift_Roster!M$2,Morning_Shift!$B$2:$BJ$2,0),0),"")="",IFERROR(VLOOKUP($B72,Evening_Shift!$B$4:$BJ$62,MATCH(Both_Shift_Roster!M$2,Evening_Shift!$B$2:$BJ$2,0),0),""),IFERROR(VLOOKUP($B72,Morning_Shift!$B$4:$BJ$61,MATCH(Both_Shift_Roster!M$2,Morning_Shift!$B$2:$BJ$2,0),0),""))</f>
        <v>14:30-22:00</v>
      </c>
      <c r="N72" s="2">
        <f t="shared" si="41"/>
        <v>2</v>
      </c>
      <c r="O72" s="2">
        <f t="shared" si="42"/>
        <v>0</v>
      </c>
      <c r="P72" s="2">
        <f t="shared" si="43"/>
        <v>0</v>
      </c>
      <c r="Q72" s="2">
        <f t="shared" si="44"/>
        <v>0</v>
      </c>
      <c r="R72" s="2">
        <f t="shared" si="45"/>
        <v>0</v>
      </c>
      <c r="S72" s="2" t="str">
        <f>IF(IFERROR(VLOOKUP($B72,Morning_Shift!$B$4:$BJ$61,MATCH(Both_Shift_Roster!S$2,Morning_Shift!$B$2:$BJ$2,0),0),"")="",IFERROR(VLOOKUP($B72,Evening_Shift!$B$4:$BJ$62,MATCH(Both_Shift_Roster!S$2,Evening_Shift!$B$2:$BJ$2,0),0),""),IFERROR(VLOOKUP($B72,Morning_Shift!$B$4:$BJ$61,MATCH(Both_Shift_Roster!S$2,Morning_Shift!$B$2:$BJ$2,0),0),""))</f>
        <v>14:30-22:00</v>
      </c>
      <c r="T72" s="2" t="str">
        <f>IF(IFERROR(VLOOKUP($B72,Morning_Shift!$B$4:$BJ$61,MATCH(Both_Shift_Roster!T$2,Morning_Shift!$B$2:$BJ$2,0),0),"")="",IFERROR(VLOOKUP($B72,Evening_Shift!$B$4:$BJ$62,MATCH(Both_Shift_Roster!T$2,Evening_Shift!$B$2:$BJ$2,0),0),""),IFERROR(VLOOKUP($B72,Morning_Shift!$B$4:$BJ$61,MATCH(Both_Shift_Roster!T$2,Morning_Shift!$B$2:$BJ$2,0),0),""))</f>
        <v>14:30-22:00</v>
      </c>
      <c r="U72" s="2" t="str">
        <f>IF(IFERROR(VLOOKUP($B72,Morning_Shift!$B$4:$BJ$61,MATCH(Both_Shift_Roster!U$2,Morning_Shift!$B$2:$BJ$2,0),0),"")="",IFERROR(VLOOKUP($B72,Evening_Shift!$B$4:$BJ$62,MATCH(Both_Shift_Roster!U$2,Evening_Shift!$B$2:$BJ$2,0),0),""),IFERROR(VLOOKUP($B72,Morning_Shift!$B$4:$BJ$61,MATCH(Both_Shift_Roster!U$2,Morning_Shift!$B$2:$BJ$2,0),0),""))</f>
        <v>14:30-22:00</v>
      </c>
      <c r="V72" s="2" t="str">
        <f>IF(IFERROR(VLOOKUP($B72,Morning_Shift!$B$4:$BJ$61,MATCH(Both_Shift_Roster!V$2,Morning_Shift!$B$2:$BJ$2,0),0),"")="",IFERROR(VLOOKUP($B72,Evening_Shift!$B$4:$BJ$62,MATCH(Both_Shift_Roster!V$2,Evening_Shift!$B$2:$BJ$2,0),0),""),IFERROR(VLOOKUP($B72,Morning_Shift!$B$4:$BJ$61,MATCH(Both_Shift_Roster!V$2,Morning_Shift!$B$2:$BJ$2,0),0),""))</f>
        <v>14:30-22:00</v>
      </c>
      <c r="W72" s="2" t="str">
        <f>IF(IFERROR(VLOOKUP($B72,Morning_Shift!$B$4:$BJ$61,MATCH(Both_Shift_Roster!W$2,Morning_Shift!$B$2:$BJ$2,0),0),"")="",IFERROR(VLOOKUP($B72,Evening_Shift!$B$4:$BJ$62,MATCH(Both_Shift_Roster!W$2,Evening_Shift!$B$2:$BJ$2,0),0),""),IFERROR(VLOOKUP($B72,Morning_Shift!$B$4:$BJ$61,MATCH(Both_Shift_Roster!W$2,Morning_Shift!$B$2:$BJ$2,0),0),""))</f>
        <v>Agent Choice WO</v>
      </c>
      <c r="X72" s="2" t="str">
        <f>IF(IFERROR(VLOOKUP($B72,Morning_Shift!$B$4:$BJ$61,MATCH(Both_Shift_Roster!X$2,Morning_Shift!$B$2:$BJ$2,0),0),"")="",IFERROR(VLOOKUP($B72,Evening_Shift!$B$4:$BJ$62,MATCH(Both_Shift_Roster!X$2,Evening_Shift!$B$2:$BJ$2,0),0),""),IFERROR(VLOOKUP($B72,Morning_Shift!$B$4:$BJ$61,MATCH(Both_Shift_Roster!X$2,Morning_Shift!$B$2:$BJ$2,0),0),""))</f>
        <v>Agent Choice WO</v>
      </c>
      <c r="Y72" s="2" t="str">
        <f>IF(IFERROR(VLOOKUP($B72,Morning_Shift!$B$4:$BJ$61,MATCH(Both_Shift_Roster!Y$2,Morning_Shift!$B$2:$BJ$2,0),0),"")="",IFERROR(VLOOKUP($B72,Evening_Shift!$B$4:$BJ$62,MATCH(Both_Shift_Roster!Y$2,Evening_Shift!$B$2:$BJ$2,0),0),""),IFERROR(VLOOKUP($B72,Morning_Shift!$B$4:$BJ$61,MATCH(Both_Shift_Roster!Y$2,Morning_Shift!$B$2:$BJ$2,0),0),""))</f>
        <v>14:30-22:00</v>
      </c>
      <c r="Z72" s="2">
        <f t="shared" si="46"/>
        <v>2</v>
      </c>
      <c r="AA72" s="2">
        <f t="shared" si="47"/>
        <v>0</v>
      </c>
      <c r="AB72" s="2">
        <f t="shared" si="48"/>
        <v>0</v>
      </c>
      <c r="AC72" s="2">
        <f t="shared" si="49"/>
        <v>0</v>
      </c>
      <c r="AD72" s="2">
        <f t="shared" si="50"/>
        <v>0</v>
      </c>
      <c r="AE72" s="2" t="str">
        <f>IF(IFERROR(VLOOKUP($B72,Morning_Shift!$B$4:$BJ$61,MATCH(Both_Shift_Roster!AE$2,Morning_Shift!$B$2:$BJ$2,0),0),"")="",IFERROR(VLOOKUP($B72,Evening_Shift!$B$4:$BJ$62,MATCH(Both_Shift_Roster!AE$2,Evening_Shift!$B$2:$BJ$2,0),0),""),IFERROR(VLOOKUP($B72,Morning_Shift!$B$4:$BJ$61,MATCH(Both_Shift_Roster!AE$2,Morning_Shift!$B$2:$BJ$2,0),0),""))</f>
        <v>14:30-22:00</v>
      </c>
      <c r="AF72" s="2" t="str">
        <f>IF(IFERROR(VLOOKUP($B72,Morning_Shift!$B$4:$BJ$61,MATCH(Both_Shift_Roster!AF$2,Morning_Shift!$B$2:$BJ$2,0),0),"")="",IFERROR(VLOOKUP($B72,Evening_Shift!$B$4:$BJ$62,MATCH(Both_Shift_Roster!AF$2,Evening_Shift!$B$2:$BJ$2,0),0),""),IFERROR(VLOOKUP($B72,Morning_Shift!$B$4:$BJ$61,MATCH(Both_Shift_Roster!AF$2,Morning_Shift!$B$2:$BJ$2,0),0),""))</f>
        <v>14:30-22:00</v>
      </c>
      <c r="AG72" s="2" t="str">
        <f>IF(IFERROR(VLOOKUP($B72,Morning_Shift!$B$4:$BJ$61,MATCH(Both_Shift_Roster!AG$2,Morning_Shift!$B$2:$BJ$2,0),0),"")="",IFERROR(VLOOKUP($B72,Evening_Shift!$B$4:$BJ$62,MATCH(Both_Shift_Roster!AG$2,Evening_Shift!$B$2:$BJ$2,0),0),""),IFERROR(VLOOKUP($B72,Morning_Shift!$B$4:$BJ$61,MATCH(Both_Shift_Roster!AG$2,Morning_Shift!$B$2:$BJ$2,0),0),""))</f>
        <v>14:30-22:00</v>
      </c>
      <c r="AH72" s="2" t="str">
        <f>IF(IFERROR(VLOOKUP($B72,Morning_Shift!$B$4:$BJ$61,MATCH(Both_Shift_Roster!AH$2,Morning_Shift!$B$2:$BJ$2,0),0),"")="",IFERROR(VLOOKUP($B72,Evening_Shift!$B$4:$BJ$62,MATCH(Both_Shift_Roster!AH$2,Evening_Shift!$B$2:$BJ$2,0),0),""),IFERROR(VLOOKUP($B72,Morning_Shift!$B$4:$BJ$61,MATCH(Both_Shift_Roster!AH$2,Morning_Shift!$B$2:$BJ$2,0),0),""))</f>
        <v>14:30-22:00</v>
      </c>
      <c r="AI72" s="2" t="str">
        <f>IF(IFERROR(VLOOKUP($B72,Morning_Shift!$B$4:$BJ$61,MATCH(Both_Shift_Roster!AI$2,Morning_Shift!$B$2:$BJ$2,0),0),"")="",IFERROR(VLOOKUP($B72,Evening_Shift!$B$4:$BJ$62,MATCH(Both_Shift_Roster!AI$2,Evening_Shift!$B$2:$BJ$2,0),0),""),IFERROR(VLOOKUP($B72,Morning_Shift!$B$4:$BJ$61,MATCH(Both_Shift_Roster!AI$2,Morning_Shift!$B$2:$BJ$2,0),0),""))</f>
        <v>14:30-22:00</v>
      </c>
      <c r="AJ72" s="2" t="str">
        <f>IF(IFERROR(VLOOKUP($B72,Morning_Shift!$B$4:$BJ$61,MATCH(Both_Shift_Roster!AJ$2,Morning_Shift!$B$2:$BJ$2,0),0),"")="",IFERROR(VLOOKUP($B72,Evening_Shift!$B$4:$BJ$62,MATCH(Both_Shift_Roster!AJ$2,Evening_Shift!$B$2:$BJ$2,0),0),""),IFERROR(VLOOKUP($B72,Morning_Shift!$B$4:$BJ$61,MATCH(Both_Shift_Roster!AJ$2,Morning_Shift!$B$2:$BJ$2,0),0),""))</f>
        <v>14:30-22:00</v>
      </c>
      <c r="AK72" s="2" t="str">
        <f>IF(IFERROR(VLOOKUP($B72,Morning_Shift!$B$4:$BJ$61,MATCH(Both_Shift_Roster!AK$2,Morning_Shift!$B$2:$BJ$2,0),0),"")="",IFERROR(VLOOKUP($B72,Evening_Shift!$B$4:$BJ$62,MATCH(Both_Shift_Roster!AK$2,Evening_Shift!$B$2:$BJ$2,0),0),""),IFERROR(VLOOKUP($B72,Morning_Shift!$B$4:$BJ$61,MATCH(Both_Shift_Roster!AK$2,Morning_Shift!$B$2:$BJ$2,0),0),""))</f>
        <v>14:30-22:00</v>
      </c>
      <c r="AL72" s="2">
        <f t="shared" si="51"/>
        <v>0</v>
      </c>
      <c r="AM72" s="2">
        <f t="shared" si="52"/>
        <v>0</v>
      </c>
      <c r="AN72" s="2">
        <f t="shared" si="53"/>
        <v>0</v>
      </c>
      <c r="AO72" s="2">
        <f t="shared" si="54"/>
        <v>0</v>
      </c>
      <c r="AP72" s="2">
        <f t="shared" si="55"/>
        <v>0</v>
      </c>
      <c r="AQ72" s="2" t="str">
        <f>IF(IFERROR(VLOOKUP($B72,Morning_Shift!$B$4:$BJ$61,MATCH(Both_Shift_Roster!AQ$2,Morning_Shift!$B$2:$BJ$2,0),0),"")="",IFERROR(VLOOKUP($B72,Evening_Shift!$B$4:$BJ$62,MATCH(Both_Shift_Roster!AQ$2,Evening_Shift!$B$2:$BJ$2,0),0),""),IFERROR(VLOOKUP($B72,Morning_Shift!$B$4:$BJ$61,MATCH(Both_Shift_Roster!AQ$2,Morning_Shift!$B$2:$BJ$2,0),0),""))</f>
        <v>14:30-22:00</v>
      </c>
      <c r="AR72" s="2" t="str">
        <f>IF(IFERROR(VLOOKUP($B72,Morning_Shift!$B$4:$BJ$61,MATCH(Both_Shift_Roster!AR$2,Morning_Shift!$B$2:$BJ$2,0),0),"")="",IFERROR(VLOOKUP($B72,Evening_Shift!$B$4:$BJ$62,MATCH(Both_Shift_Roster!AR$2,Evening_Shift!$B$2:$BJ$2,0),0),""),IFERROR(VLOOKUP($B72,Morning_Shift!$B$4:$BJ$61,MATCH(Both_Shift_Roster!AR$2,Morning_Shift!$B$2:$BJ$2,0),0),""))</f>
        <v>14:30-22:00</v>
      </c>
      <c r="AS72" s="2" t="str">
        <f>IF(IFERROR(VLOOKUP($B72,Morning_Shift!$B$4:$BJ$61,MATCH(Both_Shift_Roster!AS$2,Morning_Shift!$B$2:$BJ$2,0),0),"")="",IFERROR(VLOOKUP($B72,Evening_Shift!$B$4:$BJ$62,MATCH(Both_Shift_Roster!AS$2,Evening_Shift!$B$2:$BJ$2,0),0),""),IFERROR(VLOOKUP($B72,Morning_Shift!$B$4:$BJ$61,MATCH(Both_Shift_Roster!AS$2,Morning_Shift!$B$2:$BJ$2,0),0),""))</f>
        <v>14:30-22:00</v>
      </c>
      <c r="AT72" s="2" t="str">
        <f>IF(IFERROR(VLOOKUP($B72,Morning_Shift!$B$4:$BJ$61,MATCH(Both_Shift_Roster!AT$2,Morning_Shift!$B$2:$BJ$2,0),0),"")="",IFERROR(VLOOKUP($B72,Evening_Shift!$B$4:$BJ$62,MATCH(Both_Shift_Roster!AT$2,Evening_Shift!$B$2:$BJ$2,0),0),""),IFERROR(VLOOKUP($B72,Morning_Shift!$B$4:$BJ$61,MATCH(Both_Shift_Roster!AT$2,Morning_Shift!$B$2:$BJ$2,0),0),""))</f>
        <v>14:30-22:00</v>
      </c>
      <c r="AU72" s="2" t="str">
        <f>IF(IFERROR(VLOOKUP($B72,Morning_Shift!$B$4:$BJ$61,MATCH(Both_Shift_Roster!AU$2,Morning_Shift!$B$2:$BJ$2,0),0),"")="",IFERROR(VLOOKUP($B72,Evening_Shift!$B$4:$BJ$62,MATCH(Both_Shift_Roster!AU$2,Evening_Shift!$B$2:$BJ$2,0),0),""),IFERROR(VLOOKUP($B72,Morning_Shift!$B$4:$BJ$61,MATCH(Both_Shift_Roster!AU$2,Morning_Shift!$B$2:$BJ$2,0),0),""))</f>
        <v>14:30-22:00</v>
      </c>
      <c r="AV72" s="2" t="str">
        <f>IF(IFERROR(VLOOKUP($B72,Morning_Shift!$B$4:$BJ$61,MATCH(Both_Shift_Roster!AV$2,Morning_Shift!$B$2:$BJ$2,0),0),"")="",IFERROR(VLOOKUP($B72,Evening_Shift!$B$4:$BJ$62,MATCH(Both_Shift_Roster!AV$2,Evening_Shift!$B$2:$BJ$2,0),0),""),IFERROR(VLOOKUP($B72,Morning_Shift!$B$4:$BJ$61,MATCH(Both_Shift_Roster!AV$2,Morning_Shift!$B$2:$BJ$2,0),0),""))</f>
        <v>14:30-22:00</v>
      </c>
      <c r="AW72" s="2" t="str">
        <f>IF(IFERROR(VLOOKUP($B72,Morning_Shift!$B$4:$BJ$61,MATCH(Both_Shift_Roster!AW$2,Morning_Shift!$B$2:$BJ$2,0),0),"")="",IFERROR(VLOOKUP($B72,Evening_Shift!$B$4:$BJ$62,MATCH(Both_Shift_Roster!AW$2,Evening_Shift!$B$2:$BJ$2,0),0),""),IFERROR(VLOOKUP($B72,Morning_Shift!$B$4:$BJ$61,MATCH(Both_Shift_Roster!AW$2,Morning_Shift!$B$2:$BJ$2,0),0),""))</f>
        <v>14:30-22:00</v>
      </c>
      <c r="AX72" s="2">
        <f t="shared" si="56"/>
        <v>0</v>
      </c>
      <c r="AY72" s="2">
        <f t="shared" si="57"/>
        <v>0</v>
      </c>
      <c r="AZ72" s="2">
        <f t="shared" si="58"/>
        <v>0</v>
      </c>
      <c r="BA72" s="2">
        <f t="shared" si="59"/>
        <v>0</v>
      </c>
      <c r="BB72" s="2">
        <f t="shared" si="60"/>
        <v>0</v>
      </c>
      <c r="BC72" s="2" t="str">
        <f>IF(IFERROR(VLOOKUP($B72,Morning_Shift!$B$4:$BJ$61,MATCH(Both_Shift_Roster!BC$2,Morning_Shift!$B$2:$BJ$2,0),0),"")="",IFERROR(VLOOKUP($B72,Evening_Shift!$B$4:$BJ$62,MATCH(Both_Shift_Roster!BC$2,Evening_Shift!$B$2:$BJ$2,0),0),""),IFERROR(VLOOKUP($B72,Morning_Shift!$B$4:$BJ$61,MATCH(Both_Shift_Roster!BC$2,Morning_Shift!$B$2:$BJ$2,0),0),""))</f>
        <v>CL</v>
      </c>
      <c r="BD72" s="2" t="str">
        <f>IF(IFERROR(VLOOKUP($B72,Morning_Shift!$B$4:$BJ$61,MATCH(Both_Shift_Roster!BD$2,Morning_Shift!$B$2:$BJ$2,0),0),"")="",IFERROR(VLOOKUP($B72,Evening_Shift!$B$4:$BJ$62,MATCH(Both_Shift_Roster!BD$2,Evening_Shift!$B$2:$BJ$2,0),0),""),IFERROR(VLOOKUP($B72,Morning_Shift!$B$4:$BJ$61,MATCH(Both_Shift_Roster!BD$2,Morning_Shift!$B$2:$BJ$2,0),0),""))</f>
        <v>14:30-22:00</v>
      </c>
      <c r="BE72" s="2" t="str">
        <f>IF(IFERROR(VLOOKUP($B72,Morning_Shift!$B$4:$BJ$61,MATCH(Both_Shift_Roster!BE$2,Morning_Shift!$B$2:$BJ$2,0),0),"")="",IFERROR(VLOOKUP($B72,Evening_Shift!$B$4:$BJ$59,MATCH(Both_Shift_Roster!BE$2,Evening_Shift!$B$2:$BJ$2,0),0),""),IFERROR(VLOOKUP($B72,Morning_Shift!$B$4:$BJ$61,MATCH(Both_Shift_Roster!BE$2,Morning_Shift!$B$2:$BJ$2,0),0),""))</f>
        <v>14:30-22:00</v>
      </c>
      <c r="BF72" s="2">
        <f t="shared" si="61"/>
        <v>0</v>
      </c>
      <c r="BG72" s="2">
        <f t="shared" si="62"/>
        <v>0</v>
      </c>
      <c r="BH72" s="2">
        <f t="shared" si="63"/>
        <v>1</v>
      </c>
      <c r="BI72" s="2">
        <f t="shared" si="64"/>
        <v>0</v>
      </c>
      <c r="BJ72" s="2">
        <f t="shared" si="65"/>
        <v>0</v>
      </c>
    </row>
    <row r="73" spans="1:62">
      <c r="A73" s="17">
        <f t="shared" si="66"/>
        <v>70</v>
      </c>
      <c r="B73" s="16" t="str">
        <f>Evening_Shift!$B15</f>
        <v>Dritm51</v>
      </c>
      <c r="C73" s="21" t="str">
        <f>IF(IFERROR(VLOOKUP(B73,Morning_Shift!B:C,2,0),"")="",IFERROR(VLOOKUP(B73,Evening_Shift!B:C,2,0),""),IFERROR(VLOOKUP(B73,Morning_Shift!B:C,2,0),""))</f>
        <v>Arun Sharma</v>
      </c>
      <c r="D73" s="15" t="str">
        <f>IF(IFERROR(VLOOKUP(B73,Morning_Shift!B:D,3,0),"")="",IFERROR(VLOOKUP(B73,Evening_Shift!B:D,3,0),""),IFERROR(VLOOKUP(B73,Morning_Shift!B:D,3,0),""))</f>
        <v xml:space="preserve">Sanjesh </v>
      </c>
      <c r="E73" s="4" t="str">
        <f>IF(IFERROR(VLOOKUP(B73,Morning_Shift!B:E,4,0),"")="",IFERROR(VLOOKUP(B73,Evening_Shift!B:E,4,0),""),IFERROR(VLOOKUP(B73,Morning_Shift!B:E,4,0),""))</f>
        <v>M</v>
      </c>
      <c r="F73" s="5" t="str">
        <f>IF(IFERROR(VLOOKUP(B73,Morning_Shift!B:F,5,0),"")="",IFERROR(VLOOKUP(B73,Evening_Shift!B:F,5,0),""),IFERROR(VLOOKUP(B73,Morning_Shift!B:F,5,0),""))</f>
        <v>Himseva manual preview</v>
      </c>
      <c r="G73" s="2" t="str">
        <f>IF(IFERROR(VLOOKUP($B73,Morning_Shift!$B$4:$BJ$61,MATCH(Both_Shift_Roster!G$2,Morning_Shift!$B$2:$BJ$2,0),0),"")="",IFERROR(VLOOKUP($B73,Evening_Shift!$B$4:$BJ$62,MATCH(Both_Shift_Roster!G$2,Evening_Shift!$B$2:$BJ$2,0),0),""),IFERROR(VLOOKUP($B73,Morning_Shift!$B$4:$BJ$61,MATCH(Both_Shift_Roster!G$2,Morning_Shift!$B$2:$BJ$2,0),0),""))</f>
        <v>14:30-22:00</v>
      </c>
      <c r="H73" s="2" t="str">
        <f>IF(IFERROR(VLOOKUP($B73,Morning_Shift!$B$4:$BJ$61,MATCH(Both_Shift_Roster!H$2,Morning_Shift!$B$2:$BJ$2,0),0),"")="",IFERROR(VLOOKUP($B73,Evening_Shift!$B$4:$BJ$62,MATCH(Both_Shift_Roster!H$2,Evening_Shift!$B$2:$BJ$2,0),0),""),IFERROR(VLOOKUP($B73,Morning_Shift!$B$4:$BJ$61,MATCH(Both_Shift_Roster!H$2,Morning_Shift!$B$2:$BJ$2,0),0),""))</f>
        <v>14:30-22:00</v>
      </c>
      <c r="I73" s="2" t="str">
        <f>IF(IFERROR(VLOOKUP($B73,Morning_Shift!$B$4:$BJ$61,MATCH(Both_Shift_Roster!I$2,Morning_Shift!$B$2:$BJ$2,0),0),"")="",IFERROR(VLOOKUP($B73,Evening_Shift!$B$4:$BJ$62,MATCH(Both_Shift_Roster!I$2,Evening_Shift!$B$2:$BJ$2,0),0),""),IFERROR(VLOOKUP($B73,Morning_Shift!$B$4:$BJ$61,MATCH(Both_Shift_Roster!I$2,Morning_Shift!$B$2:$BJ$2,0),0),""))</f>
        <v>14:30-22:00</v>
      </c>
      <c r="J73" s="2" t="str">
        <f>IF(IFERROR(VLOOKUP($B73,Morning_Shift!$B$4:$BJ$61,MATCH(Both_Shift_Roster!J$2,Morning_Shift!$B$2:$BJ$2,0),0),"")="",IFERROR(VLOOKUP($B73,Evening_Shift!$B$4:$BJ$62,MATCH(Both_Shift_Roster!J$2,Evening_Shift!$B$2:$BJ$2,0),0),""),IFERROR(VLOOKUP($B73,Morning_Shift!$B$4:$BJ$61,MATCH(Both_Shift_Roster!J$2,Morning_Shift!$B$2:$BJ$2,0),0),""))</f>
        <v>14:30-22:00</v>
      </c>
      <c r="K73" s="2" t="str">
        <f>IF(IFERROR(VLOOKUP($B73,Morning_Shift!$B$4:$BJ$61,MATCH(Both_Shift_Roster!K$2,Morning_Shift!$B$2:$BJ$2,0),0),"")="",IFERROR(VLOOKUP($B73,Evening_Shift!$B$4:$BJ$62,MATCH(Both_Shift_Roster!K$2,Evening_Shift!$B$2:$BJ$2,0),0),""),IFERROR(VLOOKUP($B73,Morning_Shift!$B$4:$BJ$61,MATCH(Both_Shift_Roster!K$2,Morning_Shift!$B$2:$BJ$2,0),0),""))</f>
        <v>14:30-22:00</v>
      </c>
      <c r="L73" s="2" t="str">
        <f>IF(IFERROR(VLOOKUP($B73,Morning_Shift!$B$4:$BJ$61,MATCH(Both_Shift_Roster!L$2,Morning_Shift!$B$2:$BJ$2,0),0),"")="",IFERROR(VLOOKUP($B73,Evening_Shift!$B$4:$BJ$62,MATCH(Both_Shift_Roster!L$2,Evening_Shift!$B$2:$BJ$2,0),0),""),IFERROR(VLOOKUP($B73,Morning_Shift!$B$4:$BJ$61,MATCH(Both_Shift_Roster!L$2,Morning_Shift!$B$2:$BJ$2,0),0),""))</f>
        <v>14:30-22:00</v>
      </c>
      <c r="M73" s="2" t="str">
        <f>IF(IFERROR(VLOOKUP($B73,Morning_Shift!$B$4:$BJ$61,MATCH(Both_Shift_Roster!M$2,Morning_Shift!$B$2:$BJ$2,0),0),"")="",IFERROR(VLOOKUP($B73,Evening_Shift!$B$4:$BJ$62,MATCH(Both_Shift_Roster!M$2,Evening_Shift!$B$2:$BJ$2,0),0),""),IFERROR(VLOOKUP($B73,Morning_Shift!$B$4:$BJ$61,MATCH(Both_Shift_Roster!M$2,Morning_Shift!$B$2:$BJ$2,0),0),""))</f>
        <v>14:30-22:00</v>
      </c>
      <c r="N73" s="2">
        <f t="shared" si="41"/>
        <v>0</v>
      </c>
      <c r="O73" s="2">
        <f t="shared" si="42"/>
        <v>0</v>
      </c>
      <c r="P73" s="2">
        <f t="shared" si="43"/>
        <v>0</v>
      </c>
      <c r="Q73" s="2">
        <f t="shared" si="44"/>
        <v>0</v>
      </c>
      <c r="R73" s="2">
        <f t="shared" si="45"/>
        <v>0</v>
      </c>
      <c r="S73" s="2" t="str">
        <f>IF(IFERROR(VLOOKUP($B73,Morning_Shift!$B$4:$BJ$61,MATCH(Both_Shift_Roster!S$2,Morning_Shift!$B$2:$BJ$2,0),0),"")="",IFERROR(VLOOKUP($B73,Evening_Shift!$B$4:$BJ$62,MATCH(Both_Shift_Roster!S$2,Evening_Shift!$B$2:$BJ$2,0),0),""),IFERROR(VLOOKUP($B73,Morning_Shift!$B$4:$BJ$61,MATCH(Both_Shift_Roster!S$2,Morning_Shift!$B$2:$BJ$2,0),0),""))</f>
        <v>14:30-22:00</v>
      </c>
      <c r="T73" s="2" t="str">
        <f>IF(IFERROR(VLOOKUP($B73,Morning_Shift!$B$4:$BJ$61,MATCH(Both_Shift_Roster!T$2,Morning_Shift!$B$2:$BJ$2,0),0),"")="",IFERROR(VLOOKUP($B73,Evening_Shift!$B$4:$BJ$62,MATCH(Both_Shift_Roster!T$2,Evening_Shift!$B$2:$BJ$2,0),0),""),IFERROR(VLOOKUP($B73,Morning_Shift!$B$4:$BJ$61,MATCH(Both_Shift_Roster!T$2,Morning_Shift!$B$2:$BJ$2,0),0),""))</f>
        <v>14:30-22:00</v>
      </c>
      <c r="U73" s="2" t="str">
        <f>IF(IFERROR(VLOOKUP($B73,Morning_Shift!$B$4:$BJ$61,MATCH(Both_Shift_Roster!U$2,Morning_Shift!$B$2:$BJ$2,0),0),"")="",IFERROR(VLOOKUP($B73,Evening_Shift!$B$4:$BJ$62,MATCH(Both_Shift_Roster!U$2,Evening_Shift!$B$2:$BJ$2,0),0),""),IFERROR(VLOOKUP($B73,Morning_Shift!$B$4:$BJ$61,MATCH(Both_Shift_Roster!U$2,Morning_Shift!$B$2:$BJ$2,0),0),""))</f>
        <v>14:30-22:00</v>
      </c>
      <c r="V73" s="2" t="str">
        <f>IF(IFERROR(VLOOKUP($B73,Morning_Shift!$B$4:$BJ$61,MATCH(Both_Shift_Roster!V$2,Morning_Shift!$B$2:$BJ$2,0),0),"")="",IFERROR(VLOOKUP($B73,Evening_Shift!$B$4:$BJ$62,MATCH(Both_Shift_Roster!V$2,Evening_Shift!$B$2:$BJ$2,0),0),""),IFERROR(VLOOKUP($B73,Morning_Shift!$B$4:$BJ$61,MATCH(Both_Shift_Roster!V$2,Morning_Shift!$B$2:$BJ$2,0),0),""))</f>
        <v>Agent Choice WO</v>
      </c>
      <c r="W73" s="2" t="str">
        <f>IF(IFERROR(VLOOKUP($B73,Morning_Shift!$B$4:$BJ$61,MATCH(Both_Shift_Roster!W$2,Morning_Shift!$B$2:$BJ$2,0),0),"")="",IFERROR(VLOOKUP($B73,Evening_Shift!$B$4:$BJ$62,MATCH(Both_Shift_Roster!W$2,Evening_Shift!$B$2:$BJ$2,0),0),""),IFERROR(VLOOKUP($B73,Morning_Shift!$B$4:$BJ$61,MATCH(Both_Shift_Roster!W$2,Morning_Shift!$B$2:$BJ$2,0),0),""))</f>
        <v>Agent Choice WO</v>
      </c>
      <c r="X73" s="2" t="str">
        <f>IF(IFERROR(VLOOKUP($B73,Morning_Shift!$B$4:$BJ$61,MATCH(Both_Shift_Roster!X$2,Morning_Shift!$B$2:$BJ$2,0),0),"")="",IFERROR(VLOOKUP($B73,Evening_Shift!$B$4:$BJ$62,MATCH(Both_Shift_Roster!X$2,Evening_Shift!$B$2:$BJ$2,0),0),""),IFERROR(VLOOKUP($B73,Morning_Shift!$B$4:$BJ$61,MATCH(Both_Shift_Roster!X$2,Morning_Shift!$B$2:$BJ$2,0),0),""))</f>
        <v>Agent Choice WO</v>
      </c>
      <c r="Y73" s="2" t="str">
        <f>IF(IFERROR(VLOOKUP($B73,Morning_Shift!$B$4:$BJ$61,MATCH(Both_Shift_Roster!Y$2,Morning_Shift!$B$2:$BJ$2,0),0),"")="",IFERROR(VLOOKUP($B73,Evening_Shift!$B$4:$BJ$62,MATCH(Both_Shift_Roster!Y$2,Evening_Shift!$B$2:$BJ$2,0),0),""),IFERROR(VLOOKUP($B73,Morning_Shift!$B$4:$BJ$61,MATCH(Both_Shift_Roster!Y$2,Morning_Shift!$B$2:$BJ$2,0),0),""))</f>
        <v>14:30-22:00</v>
      </c>
      <c r="Z73" s="2">
        <f t="shared" si="46"/>
        <v>3</v>
      </c>
      <c r="AA73" s="2">
        <f t="shared" si="47"/>
        <v>0</v>
      </c>
      <c r="AB73" s="2">
        <f t="shared" si="48"/>
        <v>0</v>
      </c>
      <c r="AC73" s="2">
        <f t="shared" si="49"/>
        <v>0</v>
      </c>
      <c r="AD73" s="2">
        <f t="shared" si="50"/>
        <v>0</v>
      </c>
      <c r="AE73" s="2" t="str">
        <f>IF(IFERROR(VLOOKUP($B73,Morning_Shift!$B$4:$BJ$61,MATCH(Both_Shift_Roster!AE$2,Morning_Shift!$B$2:$BJ$2,0),0),"")="",IFERROR(VLOOKUP($B73,Evening_Shift!$B$4:$BJ$62,MATCH(Both_Shift_Roster!AE$2,Evening_Shift!$B$2:$BJ$2,0),0),""),IFERROR(VLOOKUP($B73,Morning_Shift!$B$4:$BJ$61,MATCH(Both_Shift_Roster!AE$2,Morning_Shift!$B$2:$BJ$2,0),0),""))</f>
        <v>14:30-22:00</v>
      </c>
      <c r="AF73" s="2" t="str">
        <f>IF(IFERROR(VLOOKUP($B73,Morning_Shift!$B$4:$BJ$61,MATCH(Both_Shift_Roster!AF$2,Morning_Shift!$B$2:$BJ$2,0),0),"")="",IFERROR(VLOOKUP($B73,Evening_Shift!$B$4:$BJ$62,MATCH(Both_Shift_Roster!AF$2,Evening_Shift!$B$2:$BJ$2,0),0),""),IFERROR(VLOOKUP($B73,Morning_Shift!$B$4:$BJ$61,MATCH(Both_Shift_Roster!AF$2,Morning_Shift!$B$2:$BJ$2,0),0),""))</f>
        <v>14:30-22:00</v>
      </c>
      <c r="AG73" s="2" t="str">
        <f>IF(IFERROR(VLOOKUP($B73,Morning_Shift!$B$4:$BJ$61,MATCH(Both_Shift_Roster!AG$2,Morning_Shift!$B$2:$BJ$2,0),0),"")="",IFERROR(VLOOKUP($B73,Evening_Shift!$B$4:$BJ$62,MATCH(Both_Shift_Roster!AG$2,Evening_Shift!$B$2:$BJ$2,0),0),""),IFERROR(VLOOKUP($B73,Morning_Shift!$B$4:$BJ$61,MATCH(Both_Shift_Roster!AG$2,Morning_Shift!$B$2:$BJ$2,0),0),""))</f>
        <v>14:30-22:00</v>
      </c>
      <c r="AH73" s="2" t="str">
        <f>IF(IFERROR(VLOOKUP($B73,Morning_Shift!$B$4:$BJ$61,MATCH(Both_Shift_Roster!AH$2,Morning_Shift!$B$2:$BJ$2,0),0),"")="",IFERROR(VLOOKUP($B73,Evening_Shift!$B$4:$BJ$62,MATCH(Both_Shift_Roster!AH$2,Evening_Shift!$B$2:$BJ$2,0),0),""),IFERROR(VLOOKUP($B73,Morning_Shift!$B$4:$BJ$61,MATCH(Both_Shift_Roster!AH$2,Morning_Shift!$B$2:$BJ$2,0),0),""))</f>
        <v>14:30-22:00</v>
      </c>
      <c r="AI73" s="2" t="str">
        <f>IF(IFERROR(VLOOKUP($B73,Morning_Shift!$B$4:$BJ$61,MATCH(Both_Shift_Roster!AI$2,Morning_Shift!$B$2:$BJ$2,0),0),"")="",IFERROR(VLOOKUP($B73,Evening_Shift!$B$4:$BJ$62,MATCH(Both_Shift_Roster!AI$2,Evening_Shift!$B$2:$BJ$2,0),0),""),IFERROR(VLOOKUP($B73,Morning_Shift!$B$4:$BJ$61,MATCH(Both_Shift_Roster!AI$2,Morning_Shift!$B$2:$BJ$2,0),0),""))</f>
        <v>14:30-22:00</v>
      </c>
      <c r="AJ73" s="2" t="str">
        <f>IF(IFERROR(VLOOKUP($B73,Morning_Shift!$B$4:$BJ$61,MATCH(Both_Shift_Roster!AJ$2,Morning_Shift!$B$2:$BJ$2,0),0),"")="",IFERROR(VLOOKUP($B73,Evening_Shift!$B$4:$BJ$62,MATCH(Both_Shift_Roster!AJ$2,Evening_Shift!$B$2:$BJ$2,0),0),""),IFERROR(VLOOKUP($B73,Morning_Shift!$B$4:$BJ$61,MATCH(Both_Shift_Roster!AJ$2,Morning_Shift!$B$2:$BJ$2,0),0),""))</f>
        <v>14:30-22:00</v>
      </c>
      <c r="AK73" s="2" t="str">
        <f>IF(IFERROR(VLOOKUP($B73,Morning_Shift!$B$4:$BJ$61,MATCH(Both_Shift_Roster!AK$2,Morning_Shift!$B$2:$BJ$2,0),0),"")="",IFERROR(VLOOKUP($B73,Evening_Shift!$B$4:$BJ$62,MATCH(Both_Shift_Roster!AK$2,Evening_Shift!$B$2:$BJ$2,0),0),""),IFERROR(VLOOKUP($B73,Morning_Shift!$B$4:$BJ$61,MATCH(Both_Shift_Roster!AK$2,Morning_Shift!$B$2:$BJ$2,0),0),""))</f>
        <v>14:30-22:00</v>
      </c>
      <c r="AL73" s="2">
        <f t="shared" si="51"/>
        <v>0</v>
      </c>
      <c r="AM73" s="2">
        <f t="shared" si="52"/>
        <v>0</v>
      </c>
      <c r="AN73" s="2">
        <f t="shared" si="53"/>
        <v>0</v>
      </c>
      <c r="AO73" s="2">
        <f t="shared" si="54"/>
        <v>0</v>
      </c>
      <c r="AP73" s="2">
        <f t="shared" si="55"/>
        <v>0</v>
      </c>
      <c r="AQ73" s="2" t="str">
        <f>IF(IFERROR(VLOOKUP($B73,Morning_Shift!$B$4:$BJ$61,MATCH(Both_Shift_Roster!AQ$2,Morning_Shift!$B$2:$BJ$2,0),0),"")="",IFERROR(VLOOKUP($B73,Evening_Shift!$B$4:$BJ$62,MATCH(Both_Shift_Roster!AQ$2,Evening_Shift!$B$2:$BJ$2,0),0),""),IFERROR(VLOOKUP($B73,Morning_Shift!$B$4:$BJ$61,MATCH(Both_Shift_Roster!AQ$2,Morning_Shift!$B$2:$BJ$2,0),0),""))</f>
        <v>14:30-22:00</v>
      </c>
      <c r="AR73" s="2" t="str">
        <f>IF(IFERROR(VLOOKUP($B73,Morning_Shift!$B$4:$BJ$61,MATCH(Both_Shift_Roster!AR$2,Morning_Shift!$B$2:$BJ$2,0),0),"")="",IFERROR(VLOOKUP($B73,Evening_Shift!$B$4:$BJ$62,MATCH(Both_Shift_Roster!AR$2,Evening_Shift!$B$2:$BJ$2,0),0),""),IFERROR(VLOOKUP($B73,Morning_Shift!$B$4:$BJ$61,MATCH(Both_Shift_Roster!AR$2,Morning_Shift!$B$2:$BJ$2,0),0),""))</f>
        <v>14:30-22:00</v>
      </c>
      <c r="AS73" s="2" t="str">
        <f>IF(IFERROR(VLOOKUP($B73,Morning_Shift!$B$4:$BJ$61,MATCH(Both_Shift_Roster!AS$2,Morning_Shift!$B$2:$BJ$2,0),0),"")="",IFERROR(VLOOKUP($B73,Evening_Shift!$B$4:$BJ$62,MATCH(Both_Shift_Roster!AS$2,Evening_Shift!$B$2:$BJ$2,0),0),""),IFERROR(VLOOKUP($B73,Morning_Shift!$B$4:$BJ$61,MATCH(Both_Shift_Roster!AS$2,Morning_Shift!$B$2:$BJ$2,0),0),""))</f>
        <v>14:30-22:00</v>
      </c>
      <c r="AT73" s="2" t="str">
        <f>IF(IFERROR(VLOOKUP($B73,Morning_Shift!$B$4:$BJ$61,MATCH(Both_Shift_Roster!AT$2,Morning_Shift!$B$2:$BJ$2,0),0),"")="",IFERROR(VLOOKUP($B73,Evening_Shift!$B$4:$BJ$62,MATCH(Both_Shift_Roster!AT$2,Evening_Shift!$B$2:$BJ$2,0),0),""),IFERROR(VLOOKUP($B73,Morning_Shift!$B$4:$BJ$61,MATCH(Both_Shift_Roster!AT$2,Morning_Shift!$B$2:$BJ$2,0),0),""))</f>
        <v>14:30-22:00</v>
      </c>
      <c r="AU73" s="2" t="str">
        <f>IF(IFERROR(VLOOKUP($B73,Morning_Shift!$B$4:$BJ$61,MATCH(Both_Shift_Roster!AU$2,Morning_Shift!$B$2:$BJ$2,0),0),"")="",IFERROR(VLOOKUP($B73,Evening_Shift!$B$4:$BJ$62,MATCH(Both_Shift_Roster!AU$2,Evening_Shift!$B$2:$BJ$2,0),0),""),IFERROR(VLOOKUP($B73,Morning_Shift!$B$4:$BJ$61,MATCH(Both_Shift_Roster!AU$2,Morning_Shift!$B$2:$BJ$2,0),0),""))</f>
        <v>14:30-22:00</v>
      </c>
      <c r="AV73" s="2" t="str">
        <f>IF(IFERROR(VLOOKUP($B73,Morning_Shift!$B$4:$BJ$61,MATCH(Both_Shift_Roster!AV$2,Morning_Shift!$B$2:$BJ$2,0),0),"")="",IFERROR(VLOOKUP($B73,Evening_Shift!$B$4:$BJ$62,MATCH(Both_Shift_Roster!AV$2,Evening_Shift!$B$2:$BJ$2,0),0),""),IFERROR(VLOOKUP($B73,Morning_Shift!$B$4:$BJ$61,MATCH(Both_Shift_Roster!AV$2,Morning_Shift!$B$2:$BJ$2,0),0),""))</f>
        <v>14:30-22:00</v>
      </c>
      <c r="AW73" s="2" t="str">
        <f>IF(IFERROR(VLOOKUP($B73,Morning_Shift!$B$4:$BJ$61,MATCH(Both_Shift_Roster!AW$2,Morning_Shift!$B$2:$BJ$2,0),0),"")="",IFERROR(VLOOKUP($B73,Evening_Shift!$B$4:$BJ$62,MATCH(Both_Shift_Roster!AW$2,Evening_Shift!$B$2:$BJ$2,0),0),""),IFERROR(VLOOKUP($B73,Morning_Shift!$B$4:$BJ$61,MATCH(Both_Shift_Roster!AW$2,Morning_Shift!$B$2:$BJ$2,0),0),""))</f>
        <v>Agent Choice WO</v>
      </c>
      <c r="AX73" s="2">
        <f t="shared" si="56"/>
        <v>1</v>
      </c>
      <c r="AY73" s="2">
        <f t="shared" si="57"/>
        <v>0</v>
      </c>
      <c r="AZ73" s="2">
        <f t="shared" si="58"/>
        <v>0</v>
      </c>
      <c r="BA73" s="2">
        <f t="shared" si="59"/>
        <v>0</v>
      </c>
      <c r="BB73" s="2">
        <f t="shared" si="60"/>
        <v>0</v>
      </c>
      <c r="BC73" s="2" t="str">
        <f>IF(IFERROR(VLOOKUP($B73,Morning_Shift!$B$4:$BJ$61,MATCH(Both_Shift_Roster!BC$2,Morning_Shift!$B$2:$BJ$2,0),0),"")="",IFERROR(VLOOKUP($B73,Evening_Shift!$B$4:$BJ$62,MATCH(Both_Shift_Roster!BC$2,Evening_Shift!$B$2:$BJ$2,0),0),""),IFERROR(VLOOKUP($B73,Morning_Shift!$B$4:$BJ$61,MATCH(Both_Shift_Roster!BC$2,Morning_Shift!$B$2:$BJ$2,0),0),""))</f>
        <v>14:30-22:00</v>
      </c>
      <c r="BD73" s="2" t="str">
        <f>IF(IFERROR(VLOOKUP($B73,Morning_Shift!$B$4:$BJ$61,MATCH(Both_Shift_Roster!BD$2,Morning_Shift!$B$2:$BJ$2,0),0),"")="",IFERROR(VLOOKUP($B73,Evening_Shift!$B$4:$BJ$62,MATCH(Both_Shift_Roster!BD$2,Evening_Shift!$B$2:$BJ$2,0),0),""),IFERROR(VLOOKUP($B73,Morning_Shift!$B$4:$BJ$61,MATCH(Both_Shift_Roster!BD$2,Morning_Shift!$B$2:$BJ$2,0),0),""))</f>
        <v>Agent Choice WO</v>
      </c>
      <c r="BE73" s="2" t="str">
        <f>IF(IFERROR(VLOOKUP($B73,Morning_Shift!$B$4:$BJ$61,MATCH(Both_Shift_Roster!BE$2,Morning_Shift!$B$2:$BJ$2,0),0),"")="",IFERROR(VLOOKUP($B73,Evening_Shift!$B$4:$BJ$59,MATCH(Both_Shift_Roster!BE$2,Evening_Shift!$B$2:$BJ$2,0),0),""),IFERROR(VLOOKUP($B73,Morning_Shift!$B$4:$BJ$61,MATCH(Both_Shift_Roster!BE$2,Morning_Shift!$B$2:$BJ$2,0),0),""))</f>
        <v>14:30-22:00</v>
      </c>
      <c r="BF73" s="2">
        <f t="shared" si="61"/>
        <v>1</v>
      </c>
      <c r="BG73" s="2">
        <f t="shared" si="62"/>
        <v>0</v>
      </c>
      <c r="BH73" s="2">
        <f t="shared" si="63"/>
        <v>0</v>
      </c>
      <c r="BI73" s="2">
        <f t="shared" si="64"/>
        <v>0</v>
      </c>
      <c r="BJ73" s="2">
        <f t="shared" si="65"/>
        <v>0</v>
      </c>
    </row>
    <row r="74" spans="1:62">
      <c r="A74" s="17">
        <f t="shared" si="66"/>
        <v>71</v>
      </c>
      <c r="B74" s="16" t="str">
        <f>Evening_Shift!$B16</f>
        <v>Dritm53</v>
      </c>
      <c r="C74" s="21" t="str">
        <f>IF(IFERROR(VLOOKUP(B74,Morning_Shift!B:C,2,0),"")="",IFERROR(VLOOKUP(B74,Evening_Shift!B:C,2,0),""),IFERROR(VLOOKUP(B74,Morning_Shift!B:C,2,0),""))</f>
        <v>Amit</v>
      </c>
      <c r="D74" s="15" t="str">
        <f>IF(IFERROR(VLOOKUP(B74,Morning_Shift!B:D,3,0),"")="",IFERROR(VLOOKUP(B74,Evening_Shift!B:D,3,0),""),IFERROR(VLOOKUP(B74,Morning_Shift!B:D,3,0),""))</f>
        <v xml:space="preserve">Sanjesh </v>
      </c>
      <c r="E74" s="4" t="str">
        <f>IF(IFERROR(VLOOKUP(B74,Morning_Shift!B:E,4,0),"")="",IFERROR(VLOOKUP(B74,Evening_Shift!B:E,4,0),""),IFERROR(VLOOKUP(B74,Morning_Shift!B:E,4,0),""))</f>
        <v>M</v>
      </c>
      <c r="F74" s="5" t="str">
        <f>IF(IFERROR(VLOOKUP(B74,Morning_Shift!B:F,5,0),"")="",IFERROR(VLOOKUP(B74,Evening_Shift!B:F,5,0),""),IFERROR(VLOOKUP(B74,Morning_Shift!B:F,5,0),""))</f>
        <v>Himseva manual preview</v>
      </c>
      <c r="G74" s="2" t="str">
        <f>IF(IFERROR(VLOOKUP($B74,Morning_Shift!$B$4:$BJ$61,MATCH(Both_Shift_Roster!G$2,Morning_Shift!$B$2:$BJ$2,0),0),"")="",IFERROR(VLOOKUP($B74,Evening_Shift!$B$4:$BJ$62,MATCH(Both_Shift_Roster!G$2,Evening_Shift!$B$2:$BJ$2,0),0),""),IFERROR(VLOOKUP($B74,Morning_Shift!$B$4:$BJ$61,MATCH(Both_Shift_Roster!G$2,Morning_Shift!$B$2:$BJ$2,0),0),""))</f>
        <v>14:30-22:00</v>
      </c>
      <c r="H74" s="2" t="str">
        <f>IF(IFERROR(VLOOKUP($B74,Morning_Shift!$B$4:$BJ$61,MATCH(Both_Shift_Roster!H$2,Morning_Shift!$B$2:$BJ$2,0),0),"")="",IFERROR(VLOOKUP($B74,Evening_Shift!$B$4:$BJ$62,MATCH(Both_Shift_Roster!H$2,Evening_Shift!$B$2:$BJ$2,0),0),""),IFERROR(VLOOKUP($B74,Morning_Shift!$B$4:$BJ$61,MATCH(Both_Shift_Roster!H$2,Morning_Shift!$B$2:$BJ$2,0),0),""))</f>
        <v>14:30-22:00</v>
      </c>
      <c r="I74" s="2" t="str">
        <f>IF(IFERROR(VLOOKUP($B74,Morning_Shift!$B$4:$BJ$61,MATCH(Both_Shift_Roster!I$2,Morning_Shift!$B$2:$BJ$2,0),0),"")="",IFERROR(VLOOKUP($B74,Evening_Shift!$B$4:$BJ$62,MATCH(Both_Shift_Roster!I$2,Evening_Shift!$B$2:$BJ$2,0),0),""),IFERROR(VLOOKUP($B74,Morning_Shift!$B$4:$BJ$61,MATCH(Both_Shift_Roster!I$2,Morning_Shift!$B$2:$BJ$2,0),0),""))</f>
        <v>14:30-22:00</v>
      </c>
      <c r="J74" s="2" t="str">
        <f>IF(IFERROR(VLOOKUP($B74,Morning_Shift!$B$4:$BJ$61,MATCH(Both_Shift_Roster!J$2,Morning_Shift!$B$2:$BJ$2,0),0),"")="",IFERROR(VLOOKUP($B74,Evening_Shift!$B$4:$BJ$62,MATCH(Both_Shift_Roster!J$2,Evening_Shift!$B$2:$BJ$2,0),0),""),IFERROR(VLOOKUP($B74,Morning_Shift!$B$4:$BJ$61,MATCH(Both_Shift_Roster!J$2,Morning_Shift!$B$2:$BJ$2,0),0),""))</f>
        <v>14:30-22:00</v>
      </c>
      <c r="K74" s="2" t="str">
        <f>IF(IFERROR(VLOOKUP($B74,Morning_Shift!$B$4:$BJ$61,MATCH(Both_Shift_Roster!K$2,Morning_Shift!$B$2:$BJ$2,0),0),"")="",IFERROR(VLOOKUP($B74,Evening_Shift!$B$4:$BJ$62,MATCH(Both_Shift_Roster!K$2,Evening_Shift!$B$2:$BJ$2,0),0),""),IFERROR(VLOOKUP($B74,Morning_Shift!$B$4:$BJ$61,MATCH(Both_Shift_Roster!K$2,Morning_Shift!$B$2:$BJ$2,0),0),""))</f>
        <v>14:30-22:00</v>
      </c>
      <c r="L74" s="2" t="str">
        <f>IF(IFERROR(VLOOKUP($B74,Morning_Shift!$B$4:$BJ$61,MATCH(Both_Shift_Roster!L$2,Morning_Shift!$B$2:$BJ$2,0),0),"")="",IFERROR(VLOOKUP($B74,Evening_Shift!$B$4:$BJ$62,MATCH(Both_Shift_Roster!L$2,Evening_Shift!$B$2:$BJ$2,0),0),""),IFERROR(VLOOKUP($B74,Morning_Shift!$B$4:$BJ$61,MATCH(Both_Shift_Roster!L$2,Morning_Shift!$B$2:$BJ$2,0),0),""))</f>
        <v>14:30-22:00</v>
      </c>
      <c r="M74" s="2" t="str">
        <f>IF(IFERROR(VLOOKUP($B74,Morning_Shift!$B$4:$BJ$61,MATCH(Both_Shift_Roster!M$2,Morning_Shift!$B$2:$BJ$2,0),0),"")="",IFERROR(VLOOKUP($B74,Evening_Shift!$B$4:$BJ$62,MATCH(Both_Shift_Roster!M$2,Evening_Shift!$B$2:$BJ$2,0),0),""),IFERROR(VLOOKUP($B74,Morning_Shift!$B$4:$BJ$61,MATCH(Both_Shift_Roster!M$2,Morning_Shift!$B$2:$BJ$2,0),0),""))</f>
        <v>14:30-22:00</v>
      </c>
      <c r="N74" s="2">
        <f t="shared" si="41"/>
        <v>0</v>
      </c>
      <c r="O74" s="2">
        <f t="shared" si="42"/>
        <v>0</v>
      </c>
      <c r="P74" s="2">
        <f t="shared" si="43"/>
        <v>0</v>
      </c>
      <c r="Q74" s="2">
        <f t="shared" si="44"/>
        <v>0</v>
      </c>
      <c r="R74" s="2">
        <f t="shared" si="45"/>
        <v>0</v>
      </c>
      <c r="S74" s="2" t="str">
        <f>IF(IFERROR(VLOOKUP($B74,Morning_Shift!$B$4:$BJ$61,MATCH(Both_Shift_Roster!S$2,Morning_Shift!$B$2:$BJ$2,0),0),"")="",IFERROR(VLOOKUP($B74,Evening_Shift!$B$4:$BJ$62,MATCH(Both_Shift_Roster!S$2,Evening_Shift!$B$2:$BJ$2,0),0),""),IFERROR(VLOOKUP($B74,Morning_Shift!$B$4:$BJ$61,MATCH(Both_Shift_Roster!S$2,Morning_Shift!$B$2:$BJ$2,0),0),""))</f>
        <v>14:30-22:00</v>
      </c>
      <c r="T74" s="2" t="str">
        <f>IF(IFERROR(VLOOKUP($B74,Morning_Shift!$B$4:$BJ$61,MATCH(Both_Shift_Roster!T$2,Morning_Shift!$B$2:$BJ$2,0),0),"")="",IFERROR(VLOOKUP($B74,Evening_Shift!$B$4:$BJ$62,MATCH(Both_Shift_Roster!T$2,Evening_Shift!$B$2:$BJ$2,0),0),""),IFERROR(VLOOKUP($B74,Morning_Shift!$B$4:$BJ$61,MATCH(Both_Shift_Roster!T$2,Morning_Shift!$B$2:$BJ$2,0),0),""))</f>
        <v>14:30-22:00</v>
      </c>
      <c r="U74" s="2" t="str">
        <f>IF(IFERROR(VLOOKUP($B74,Morning_Shift!$B$4:$BJ$61,MATCH(Both_Shift_Roster!U$2,Morning_Shift!$B$2:$BJ$2,0),0),"")="",IFERROR(VLOOKUP($B74,Evening_Shift!$B$4:$BJ$62,MATCH(Both_Shift_Roster!U$2,Evening_Shift!$B$2:$BJ$2,0),0),""),IFERROR(VLOOKUP($B74,Morning_Shift!$B$4:$BJ$61,MATCH(Both_Shift_Roster!U$2,Morning_Shift!$B$2:$BJ$2,0),0),""))</f>
        <v>14:30-22:00</v>
      </c>
      <c r="V74" s="2" t="str">
        <f>IF(IFERROR(VLOOKUP($B74,Morning_Shift!$B$4:$BJ$61,MATCH(Both_Shift_Roster!V$2,Morning_Shift!$B$2:$BJ$2,0),0),"")="",IFERROR(VLOOKUP($B74,Evening_Shift!$B$4:$BJ$62,MATCH(Both_Shift_Roster!V$2,Evening_Shift!$B$2:$BJ$2,0),0),""),IFERROR(VLOOKUP($B74,Morning_Shift!$B$4:$BJ$61,MATCH(Both_Shift_Roster!V$2,Morning_Shift!$B$2:$BJ$2,0),0),""))</f>
        <v>14:30-22:00</v>
      </c>
      <c r="W74" s="2" t="str">
        <f>IF(IFERROR(VLOOKUP($B74,Morning_Shift!$B$4:$BJ$61,MATCH(Both_Shift_Roster!W$2,Morning_Shift!$B$2:$BJ$2,0),0),"")="",IFERROR(VLOOKUP($B74,Evening_Shift!$B$4:$BJ$62,MATCH(Both_Shift_Roster!W$2,Evening_Shift!$B$2:$BJ$2,0),0),""),IFERROR(VLOOKUP($B74,Morning_Shift!$B$4:$BJ$61,MATCH(Both_Shift_Roster!W$2,Morning_Shift!$B$2:$BJ$2,0),0),""))</f>
        <v>14:30-22:00</v>
      </c>
      <c r="X74" s="2" t="str">
        <f>IF(IFERROR(VLOOKUP($B74,Morning_Shift!$B$4:$BJ$61,MATCH(Both_Shift_Roster!X$2,Morning_Shift!$B$2:$BJ$2,0),0),"")="",IFERROR(VLOOKUP($B74,Evening_Shift!$B$4:$BJ$62,MATCH(Both_Shift_Roster!X$2,Evening_Shift!$B$2:$BJ$2,0),0),""),IFERROR(VLOOKUP($B74,Morning_Shift!$B$4:$BJ$61,MATCH(Both_Shift_Roster!X$2,Morning_Shift!$B$2:$BJ$2,0),0),""))</f>
        <v>14:30-22:00</v>
      </c>
      <c r="Y74" s="2" t="str">
        <f>IF(IFERROR(VLOOKUP($B74,Morning_Shift!$B$4:$BJ$61,MATCH(Both_Shift_Roster!Y$2,Morning_Shift!$B$2:$BJ$2,0),0),"")="",IFERROR(VLOOKUP($B74,Evening_Shift!$B$4:$BJ$62,MATCH(Both_Shift_Roster!Y$2,Evening_Shift!$B$2:$BJ$2,0),0),""),IFERROR(VLOOKUP($B74,Morning_Shift!$B$4:$BJ$61,MATCH(Both_Shift_Roster!Y$2,Morning_Shift!$B$2:$BJ$2,0),0),""))</f>
        <v>Agent Choice WO</v>
      </c>
      <c r="Z74" s="2">
        <f t="shared" si="46"/>
        <v>1</v>
      </c>
      <c r="AA74" s="2">
        <f t="shared" si="47"/>
        <v>0</v>
      </c>
      <c r="AB74" s="2">
        <f t="shared" si="48"/>
        <v>0</v>
      </c>
      <c r="AC74" s="2">
        <f t="shared" si="49"/>
        <v>0</v>
      </c>
      <c r="AD74" s="2">
        <f t="shared" si="50"/>
        <v>0</v>
      </c>
      <c r="AE74" s="2" t="str">
        <f>IF(IFERROR(VLOOKUP($B74,Morning_Shift!$B$4:$BJ$61,MATCH(Both_Shift_Roster!AE$2,Morning_Shift!$B$2:$BJ$2,0),0),"")="",IFERROR(VLOOKUP($B74,Evening_Shift!$B$4:$BJ$62,MATCH(Both_Shift_Roster!AE$2,Evening_Shift!$B$2:$BJ$2,0),0),""),IFERROR(VLOOKUP($B74,Morning_Shift!$B$4:$BJ$61,MATCH(Both_Shift_Roster!AE$2,Morning_Shift!$B$2:$BJ$2,0),0),""))</f>
        <v>Agent Choice WO</v>
      </c>
      <c r="AF74" s="2" t="str">
        <f>IF(IFERROR(VLOOKUP($B74,Morning_Shift!$B$4:$BJ$61,MATCH(Both_Shift_Roster!AF$2,Morning_Shift!$B$2:$BJ$2,0),0),"")="",IFERROR(VLOOKUP($B74,Evening_Shift!$B$4:$BJ$62,MATCH(Both_Shift_Roster!AF$2,Evening_Shift!$B$2:$BJ$2,0),0),""),IFERROR(VLOOKUP($B74,Morning_Shift!$B$4:$BJ$61,MATCH(Both_Shift_Roster!AF$2,Morning_Shift!$B$2:$BJ$2,0),0),""))</f>
        <v>Agent Choice WO</v>
      </c>
      <c r="AG74" s="2" t="str">
        <f>IF(IFERROR(VLOOKUP($B74,Morning_Shift!$B$4:$BJ$61,MATCH(Both_Shift_Roster!AG$2,Morning_Shift!$B$2:$BJ$2,0),0),"")="",IFERROR(VLOOKUP($B74,Evening_Shift!$B$4:$BJ$62,MATCH(Both_Shift_Roster!AG$2,Evening_Shift!$B$2:$BJ$2,0),0),""),IFERROR(VLOOKUP($B74,Morning_Shift!$B$4:$BJ$61,MATCH(Both_Shift_Roster!AG$2,Morning_Shift!$B$2:$BJ$2,0),0),""))</f>
        <v>14:30-22:00</v>
      </c>
      <c r="AH74" s="2" t="str">
        <f>IF(IFERROR(VLOOKUP($B74,Morning_Shift!$B$4:$BJ$61,MATCH(Both_Shift_Roster!AH$2,Morning_Shift!$B$2:$BJ$2,0),0),"")="",IFERROR(VLOOKUP($B74,Evening_Shift!$B$4:$BJ$62,MATCH(Both_Shift_Roster!AH$2,Evening_Shift!$B$2:$BJ$2,0),0),""),IFERROR(VLOOKUP($B74,Morning_Shift!$B$4:$BJ$61,MATCH(Both_Shift_Roster!AH$2,Morning_Shift!$B$2:$BJ$2,0),0),""))</f>
        <v>14:30-22:00</v>
      </c>
      <c r="AI74" s="2" t="str">
        <f>IF(IFERROR(VLOOKUP($B74,Morning_Shift!$B$4:$BJ$61,MATCH(Both_Shift_Roster!AI$2,Morning_Shift!$B$2:$BJ$2,0),0),"")="",IFERROR(VLOOKUP($B74,Evening_Shift!$B$4:$BJ$62,MATCH(Both_Shift_Roster!AI$2,Evening_Shift!$B$2:$BJ$2,0),0),""),IFERROR(VLOOKUP($B74,Morning_Shift!$B$4:$BJ$61,MATCH(Both_Shift_Roster!AI$2,Morning_Shift!$B$2:$BJ$2,0),0),""))</f>
        <v>14:30-22:00</v>
      </c>
      <c r="AJ74" s="2" t="str">
        <f>IF(IFERROR(VLOOKUP($B74,Morning_Shift!$B$4:$BJ$61,MATCH(Both_Shift_Roster!AJ$2,Morning_Shift!$B$2:$BJ$2,0),0),"")="",IFERROR(VLOOKUP($B74,Evening_Shift!$B$4:$BJ$62,MATCH(Both_Shift_Roster!AJ$2,Evening_Shift!$B$2:$BJ$2,0),0),""),IFERROR(VLOOKUP($B74,Morning_Shift!$B$4:$BJ$61,MATCH(Both_Shift_Roster!AJ$2,Morning_Shift!$B$2:$BJ$2,0),0),""))</f>
        <v>14:30-22:00</v>
      </c>
      <c r="AK74" s="2" t="str">
        <f>IF(IFERROR(VLOOKUP($B74,Morning_Shift!$B$4:$BJ$61,MATCH(Both_Shift_Roster!AK$2,Morning_Shift!$B$2:$BJ$2,0),0),"")="",IFERROR(VLOOKUP($B74,Evening_Shift!$B$4:$BJ$62,MATCH(Both_Shift_Roster!AK$2,Evening_Shift!$B$2:$BJ$2,0),0),""),IFERROR(VLOOKUP($B74,Morning_Shift!$B$4:$BJ$61,MATCH(Both_Shift_Roster!AK$2,Morning_Shift!$B$2:$BJ$2,0),0),""))</f>
        <v>14:30-22:00</v>
      </c>
      <c r="AL74" s="2">
        <f t="shared" si="51"/>
        <v>2</v>
      </c>
      <c r="AM74" s="2">
        <f t="shared" si="52"/>
        <v>0</v>
      </c>
      <c r="AN74" s="2">
        <f t="shared" si="53"/>
        <v>0</v>
      </c>
      <c r="AO74" s="2">
        <f t="shared" si="54"/>
        <v>0</v>
      </c>
      <c r="AP74" s="2">
        <f t="shared" si="55"/>
        <v>0</v>
      </c>
      <c r="AQ74" s="2" t="str">
        <f>IF(IFERROR(VLOOKUP($B74,Morning_Shift!$B$4:$BJ$61,MATCH(Both_Shift_Roster!AQ$2,Morning_Shift!$B$2:$BJ$2,0),0),"")="",IFERROR(VLOOKUP($B74,Evening_Shift!$B$4:$BJ$62,MATCH(Both_Shift_Roster!AQ$2,Evening_Shift!$B$2:$BJ$2,0),0),""),IFERROR(VLOOKUP($B74,Morning_Shift!$B$4:$BJ$61,MATCH(Both_Shift_Roster!AQ$2,Morning_Shift!$B$2:$BJ$2,0),0),""))</f>
        <v>14:30-22:00</v>
      </c>
      <c r="AR74" s="2" t="str">
        <f>IF(IFERROR(VLOOKUP($B74,Morning_Shift!$B$4:$BJ$61,MATCH(Both_Shift_Roster!AR$2,Morning_Shift!$B$2:$BJ$2,0),0),"")="",IFERROR(VLOOKUP($B74,Evening_Shift!$B$4:$BJ$62,MATCH(Both_Shift_Roster!AR$2,Evening_Shift!$B$2:$BJ$2,0),0),""),IFERROR(VLOOKUP($B74,Morning_Shift!$B$4:$BJ$61,MATCH(Both_Shift_Roster!AR$2,Morning_Shift!$B$2:$BJ$2,0),0),""))</f>
        <v>14:30-22:00</v>
      </c>
      <c r="AS74" s="2" t="str">
        <f>IF(IFERROR(VLOOKUP($B74,Morning_Shift!$B$4:$BJ$61,MATCH(Both_Shift_Roster!AS$2,Morning_Shift!$B$2:$BJ$2,0),0),"")="",IFERROR(VLOOKUP($B74,Evening_Shift!$B$4:$BJ$62,MATCH(Both_Shift_Roster!AS$2,Evening_Shift!$B$2:$BJ$2,0),0),""),IFERROR(VLOOKUP($B74,Morning_Shift!$B$4:$BJ$61,MATCH(Both_Shift_Roster!AS$2,Morning_Shift!$B$2:$BJ$2,0),0),""))</f>
        <v>Agent Choice WO</v>
      </c>
      <c r="AT74" s="2" t="str">
        <f>IF(IFERROR(VLOOKUP($B74,Morning_Shift!$B$4:$BJ$61,MATCH(Both_Shift_Roster!AT$2,Morning_Shift!$B$2:$BJ$2,0),0),"")="",IFERROR(VLOOKUP($B74,Evening_Shift!$B$4:$BJ$62,MATCH(Both_Shift_Roster!AT$2,Evening_Shift!$B$2:$BJ$2,0),0),""),IFERROR(VLOOKUP($B74,Morning_Shift!$B$4:$BJ$61,MATCH(Both_Shift_Roster!AT$2,Morning_Shift!$B$2:$BJ$2,0),0),""))</f>
        <v>14:30-22:00</v>
      </c>
      <c r="AU74" s="2" t="str">
        <f>IF(IFERROR(VLOOKUP($B74,Morning_Shift!$B$4:$BJ$61,MATCH(Both_Shift_Roster!AU$2,Morning_Shift!$B$2:$BJ$2,0),0),"")="",IFERROR(VLOOKUP($B74,Evening_Shift!$B$4:$BJ$62,MATCH(Both_Shift_Roster!AU$2,Evening_Shift!$B$2:$BJ$2,0),0),""),IFERROR(VLOOKUP($B74,Morning_Shift!$B$4:$BJ$61,MATCH(Both_Shift_Roster!AU$2,Morning_Shift!$B$2:$BJ$2,0),0),""))</f>
        <v>14:30-22:00</v>
      </c>
      <c r="AV74" s="2" t="str">
        <f>IF(IFERROR(VLOOKUP($B74,Morning_Shift!$B$4:$BJ$61,MATCH(Both_Shift_Roster!AV$2,Morning_Shift!$B$2:$BJ$2,0),0),"")="",IFERROR(VLOOKUP($B74,Evening_Shift!$B$4:$BJ$62,MATCH(Both_Shift_Roster!AV$2,Evening_Shift!$B$2:$BJ$2,0),0),""),IFERROR(VLOOKUP($B74,Morning_Shift!$B$4:$BJ$61,MATCH(Both_Shift_Roster!AV$2,Morning_Shift!$B$2:$BJ$2,0),0),""))</f>
        <v>14:30-22:00</v>
      </c>
      <c r="AW74" s="2" t="str">
        <f>IF(IFERROR(VLOOKUP($B74,Morning_Shift!$B$4:$BJ$61,MATCH(Both_Shift_Roster!AW$2,Morning_Shift!$B$2:$BJ$2,0),0),"")="",IFERROR(VLOOKUP($B74,Evening_Shift!$B$4:$BJ$62,MATCH(Both_Shift_Roster!AW$2,Evening_Shift!$B$2:$BJ$2,0),0),""),IFERROR(VLOOKUP($B74,Morning_Shift!$B$4:$BJ$61,MATCH(Both_Shift_Roster!AW$2,Morning_Shift!$B$2:$BJ$2,0),0),""))</f>
        <v>14:30-22:00</v>
      </c>
      <c r="AX74" s="2">
        <f t="shared" si="56"/>
        <v>1</v>
      </c>
      <c r="AY74" s="2">
        <f t="shared" si="57"/>
        <v>0</v>
      </c>
      <c r="AZ74" s="2">
        <f t="shared" si="58"/>
        <v>0</v>
      </c>
      <c r="BA74" s="2">
        <f t="shared" si="59"/>
        <v>0</v>
      </c>
      <c r="BB74" s="2">
        <f t="shared" si="60"/>
        <v>0</v>
      </c>
      <c r="BC74" s="2" t="str">
        <f>IF(IFERROR(VLOOKUP($B74,Morning_Shift!$B$4:$BJ$61,MATCH(Both_Shift_Roster!BC$2,Morning_Shift!$B$2:$BJ$2,0),0),"")="",IFERROR(VLOOKUP($B74,Evening_Shift!$B$4:$BJ$62,MATCH(Both_Shift_Roster!BC$2,Evening_Shift!$B$2:$BJ$2,0),0),""),IFERROR(VLOOKUP($B74,Morning_Shift!$B$4:$BJ$61,MATCH(Both_Shift_Roster!BC$2,Morning_Shift!$B$2:$BJ$2,0),0),""))</f>
        <v>14:30-22:00</v>
      </c>
      <c r="BD74" s="2" t="str">
        <f>IF(IFERROR(VLOOKUP($B74,Morning_Shift!$B$4:$BJ$61,MATCH(Both_Shift_Roster!BD$2,Morning_Shift!$B$2:$BJ$2,0),0),"")="",IFERROR(VLOOKUP($B74,Evening_Shift!$B$4:$BJ$62,MATCH(Both_Shift_Roster!BD$2,Evening_Shift!$B$2:$BJ$2,0),0),""),IFERROR(VLOOKUP($B74,Morning_Shift!$B$4:$BJ$61,MATCH(Both_Shift_Roster!BD$2,Morning_Shift!$B$2:$BJ$2,0),0),""))</f>
        <v>14:30-22:00</v>
      </c>
      <c r="BE74" s="2" t="str">
        <f>IF(IFERROR(VLOOKUP($B74,Morning_Shift!$B$4:$BJ$61,MATCH(Both_Shift_Roster!BE$2,Morning_Shift!$B$2:$BJ$2,0),0),"")="",IFERROR(VLOOKUP($B74,Evening_Shift!$B$4:$BJ$59,MATCH(Both_Shift_Roster!BE$2,Evening_Shift!$B$2:$BJ$2,0),0),""),IFERROR(VLOOKUP($B74,Morning_Shift!$B$4:$BJ$61,MATCH(Both_Shift_Roster!BE$2,Morning_Shift!$B$2:$BJ$2,0),0),""))</f>
        <v>14:30-22:00</v>
      </c>
      <c r="BF74" s="2">
        <f t="shared" si="61"/>
        <v>0</v>
      </c>
      <c r="BG74" s="2">
        <f t="shared" si="62"/>
        <v>0</v>
      </c>
      <c r="BH74" s="2">
        <f t="shared" si="63"/>
        <v>0</v>
      </c>
      <c r="BI74" s="2">
        <f t="shared" si="64"/>
        <v>0</v>
      </c>
      <c r="BJ74" s="2">
        <f t="shared" si="65"/>
        <v>0</v>
      </c>
    </row>
    <row r="75" spans="1:62">
      <c r="A75" s="17">
        <f t="shared" si="66"/>
        <v>72</v>
      </c>
      <c r="B75" s="16" t="str">
        <f>Evening_Shift!$B17</f>
        <v>Dritm58</v>
      </c>
      <c r="C75" s="21" t="str">
        <f>IF(IFERROR(VLOOKUP(B75,Morning_Shift!B:C,2,0),"")="",IFERROR(VLOOKUP(B75,Evening_Shift!B:C,2,0),""),IFERROR(VLOOKUP(B75,Morning_Shift!B:C,2,0),""))</f>
        <v>Bhupender</v>
      </c>
      <c r="D75" s="15" t="str">
        <f>IF(IFERROR(VLOOKUP(B75,Morning_Shift!B:D,3,0),"")="",IFERROR(VLOOKUP(B75,Evening_Shift!B:D,3,0),""),IFERROR(VLOOKUP(B75,Morning_Shift!B:D,3,0),""))</f>
        <v xml:space="preserve">Sanjesh </v>
      </c>
      <c r="E75" s="4" t="str">
        <f>IF(IFERROR(VLOOKUP(B75,Morning_Shift!B:E,4,0),"")="",IFERROR(VLOOKUP(B75,Evening_Shift!B:E,4,0),""),IFERROR(VLOOKUP(B75,Morning_Shift!B:E,4,0),""))</f>
        <v>M</v>
      </c>
      <c r="F75" s="5" t="str">
        <f>IF(IFERROR(VLOOKUP(B75,Morning_Shift!B:F,5,0),"")="",IFERROR(VLOOKUP(B75,Evening_Shift!B:F,5,0),""),IFERROR(VLOOKUP(B75,Morning_Shift!B:F,5,0),""))</f>
        <v>Himseva manual preview</v>
      </c>
      <c r="G75" s="2" t="str">
        <f>IF(IFERROR(VLOOKUP($B75,Morning_Shift!$B$4:$BJ$61,MATCH(Both_Shift_Roster!G$2,Morning_Shift!$B$2:$BJ$2,0),0),"")="",IFERROR(VLOOKUP($B75,Evening_Shift!$B$4:$BJ$62,MATCH(Both_Shift_Roster!G$2,Evening_Shift!$B$2:$BJ$2,0),0),""),IFERROR(VLOOKUP($B75,Morning_Shift!$B$4:$BJ$61,MATCH(Both_Shift_Roster!G$2,Morning_Shift!$B$2:$BJ$2,0),0),""))</f>
        <v>14:30-22:00</v>
      </c>
      <c r="H75" s="2" t="str">
        <f>IF(IFERROR(VLOOKUP($B75,Morning_Shift!$B$4:$BJ$61,MATCH(Both_Shift_Roster!H$2,Morning_Shift!$B$2:$BJ$2,0),0),"")="",IFERROR(VLOOKUP($B75,Evening_Shift!$B$4:$BJ$62,MATCH(Both_Shift_Roster!H$2,Evening_Shift!$B$2:$BJ$2,0),0),""),IFERROR(VLOOKUP($B75,Morning_Shift!$B$4:$BJ$61,MATCH(Both_Shift_Roster!H$2,Morning_Shift!$B$2:$BJ$2,0),0),""))</f>
        <v>14:30-22:00</v>
      </c>
      <c r="I75" s="2" t="str">
        <f>IF(IFERROR(VLOOKUP($B75,Morning_Shift!$B$4:$BJ$61,MATCH(Both_Shift_Roster!I$2,Morning_Shift!$B$2:$BJ$2,0),0),"")="",IFERROR(VLOOKUP($B75,Evening_Shift!$B$4:$BJ$62,MATCH(Both_Shift_Roster!I$2,Evening_Shift!$B$2:$BJ$2,0),0),""),IFERROR(VLOOKUP($B75,Morning_Shift!$B$4:$BJ$61,MATCH(Both_Shift_Roster!I$2,Morning_Shift!$B$2:$BJ$2,0),0),""))</f>
        <v>14:30-22:00</v>
      </c>
      <c r="J75" s="2" t="str">
        <f>IF(IFERROR(VLOOKUP($B75,Morning_Shift!$B$4:$BJ$61,MATCH(Both_Shift_Roster!J$2,Morning_Shift!$B$2:$BJ$2,0),0),"")="",IFERROR(VLOOKUP($B75,Evening_Shift!$B$4:$BJ$62,MATCH(Both_Shift_Roster!J$2,Evening_Shift!$B$2:$BJ$2,0),0),""),IFERROR(VLOOKUP($B75,Morning_Shift!$B$4:$BJ$61,MATCH(Both_Shift_Roster!J$2,Morning_Shift!$B$2:$BJ$2,0),0),""))</f>
        <v>14:30-22:00</v>
      </c>
      <c r="K75" s="2" t="str">
        <f>IF(IFERROR(VLOOKUP($B75,Morning_Shift!$B$4:$BJ$61,MATCH(Both_Shift_Roster!K$2,Morning_Shift!$B$2:$BJ$2,0),0),"")="",IFERROR(VLOOKUP($B75,Evening_Shift!$B$4:$BJ$62,MATCH(Both_Shift_Roster!K$2,Evening_Shift!$B$2:$BJ$2,0),0),""),IFERROR(VLOOKUP($B75,Morning_Shift!$B$4:$BJ$61,MATCH(Both_Shift_Roster!K$2,Morning_Shift!$B$2:$BJ$2,0),0),""))</f>
        <v>14:30-22:00</v>
      </c>
      <c r="L75" s="2" t="str">
        <f>IF(IFERROR(VLOOKUP($B75,Morning_Shift!$B$4:$BJ$61,MATCH(Both_Shift_Roster!L$2,Morning_Shift!$B$2:$BJ$2,0),0),"")="",IFERROR(VLOOKUP($B75,Evening_Shift!$B$4:$BJ$62,MATCH(Both_Shift_Roster!L$2,Evening_Shift!$B$2:$BJ$2,0),0),""),IFERROR(VLOOKUP($B75,Morning_Shift!$B$4:$BJ$61,MATCH(Both_Shift_Roster!L$2,Morning_Shift!$B$2:$BJ$2,0),0),""))</f>
        <v>14:30-22:00</v>
      </c>
      <c r="M75" s="2" t="str">
        <f>IF(IFERROR(VLOOKUP($B75,Morning_Shift!$B$4:$BJ$61,MATCH(Both_Shift_Roster!M$2,Morning_Shift!$B$2:$BJ$2,0),0),"")="",IFERROR(VLOOKUP($B75,Evening_Shift!$B$4:$BJ$62,MATCH(Both_Shift_Roster!M$2,Evening_Shift!$B$2:$BJ$2,0),0),""),IFERROR(VLOOKUP($B75,Morning_Shift!$B$4:$BJ$61,MATCH(Both_Shift_Roster!M$2,Morning_Shift!$B$2:$BJ$2,0),0),""))</f>
        <v>14:30-22:00</v>
      </c>
      <c r="N75" s="2">
        <f t="shared" si="41"/>
        <v>0</v>
      </c>
      <c r="O75" s="2">
        <f t="shared" si="42"/>
        <v>0</v>
      </c>
      <c r="P75" s="2">
        <f t="shared" si="43"/>
        <v>0</v>
      </c>
      <c r="Q75" s="2">
        <f t="shared" si="44"/>
        <v>0</v>
      </c>
      <c r="R75" s="2">
        <f t="shared" si="45"/>
        <v>0</v>
      </c>
      <c r="S75" s="2" t="str">
        <f>IF(IFERROR(VLOOKUP($B75,Morning_Shift!$B$4:$BJ$61,MATCH(Both_Shift_Roster!S$2,Morning_Shift!$B$2:$BJ$2,0),0),"")="",IFERROR(VLOOKUP($B75,Evening_Shift!$B$4:$BJ$62,MATCH(Both_Shift_Roster!S$2,Evening_Shift!$B$2:$BJ$2,0),0),""),IFERROR(VLOOKUP($B75,Morning_Shift!$B$4:$BJ$61,MATCH(Both_Shift_Roster!S$2,Morning_Shift!$B$2:$BJ$2,0),0),""))</f>
        <v>14:30-22:00</v>
      </c>
      <c r="T75" s="2" t="str">
        <f>IF(IFERROR(VLOOKUP($B75,Morning_Shift!$B$4:$BJ$61,MATCH(Both_Shift_Roster!T$2,Morning_Shift!$B$2:$BJ$2,0),0),"")="",IFERROR(VLOOKUP($B75,Evening_Shift!$B$4:$BJ$62,MATCH(Both_Shift_Roster!T$2,Evening_Shift!$B$2:$BJ$2,0),0),""),IFERROR(VLOOKUP($B75,Morning_Shift!$B$4:$BJ$61,MATCH(Both_Shift_Roster!T$2,Morning_Shift!$B$2:$BJ$2,0),0),""))</f>
        <v>14:30-22:00</v>
      </c>
      <c r="U75" s="2" t="str">
        <f>IF(IFERROR(VLOOKUP($B75,Morning_Shift!$B$4:$BJ$61,MATCH(Both_Shift_Roster!U$2,Morning_Shift!$B$2:$BJ$2,0),0),"")="",IFERROR(VLOOKUP($B75,Evening_Shift!$B$4:$BJ$62,MATCH(Both_Shift_Roster!U$2,Evening_Shift!$B$2:$BJ$2,0),0),""),IFERROR(VLOOKUP($B75,Morning_Shift!$B$4:$BJ$61,MATCH(Both_Shift_Roster!U$2,Morning_Shift!$B$2:$BJ$2,0),0),""))</f>
        <v>14:30-22:00</v>
      </c>
      <c r="V75" s="2" t="str">
        <f>IF(IFERROR(VLOOKUP($B75,Morning_Shift!$B$4:$BJ$61,MATCH(Both_Shift_Roster!V$2,Morning_Shift!$B$2:$BJ$2,0),0),"")="",IFERROR(VLOOKUP($B75,Evening_Shift!$B$4:$BJ$62,MATCH(Both_Shift_Roster!V$2,Evening_Shift!$B$2:$BJ$2,0),0),""),IFERROR(VLOOKUP($B75,Morning_Shift!$B$4:$BJ$61,MATCH(Both_Shift_Roster!V$2,Morning_Shift!$B$2:$BJ$2,0),0),""))</f>
        <v>14:30-22:00</v>
      </c>
      <c r="W75" s="2" t="str">
        <f>IF(IFERROR(VLOOKUP($B75,Morning_Shift!$B$4:$BJ$61,MATCH(Both_Shift_Roster!W$2,Morning_Shift!$B$2:$BJ$2,0),0),"")="",IFERROR(VLOOKUP($B75,Evening_Shift!$B$4:$BJ$62,MATCH(Both_Shift_Roster!W$2,Evening_Shift!$B$2:$BJ$2,0),0),""),IFERROR(VLOOKUP($B75,Morning_Shift!$B$4:$BJ$61,MATCH(Both_Shift_Roster!W$2,Morning_Shift!$B$2:$BJ$2,0),0),""))</f>
        <v>14:30-22:00</v>
      </c>
      <c r="X75" s="2" t="str">
        <f>IF(IFERROR(VLOOKUP($B75,Morning_Shift!$B$4:$BJ$61,MATCH(Both_Shift_Roster!X$2,Morning_Shift!$B$2:$BJ$2,0),0),"")="",IFERROR(VLOOKUP($B75,Evening_Shift!$B$4:$BJ$62,MATCH(Both_Shift_Roster!X$2,Evening_Shift!$B$2:$BJ$2,0),0),""),IFERROR(VLOOKUP($B75,Morning_Shift!$B$4:$BJ$61,MATCH(Both_Shift_Roster!X$2,Morning_Shift!$B$2:$BJ$2,0),0),""))</f>
        <v>14:30-22:00</v>
      </c>
      <c r="Y75" s="2" t="str">
        <f>IF(IFERROR(VLOOKUP($B75,Morning_Shift!$B$4:$BJ$61,MATCH(Both_Shift_Roster!Y$2,Morning_Shift!$B$2:$BJ$2,0),0),"")="",IFERROR(VLOOKUP($B75,Evening_Shift!$B$4:$BJ$62,MATCH(Both_Shift_Roster!Y$2,Evening_Shift!$B$2:$BJ$2,0),0),""),IFERROR(VLOOKUP($B75,Morning_Shift!$B$4:$BJ$61,MATCH(Both_Shift_Roster!Y$2,Morning_Shift!$B$2:$BJ$2,0),0),""))</f>
        <v>14:30-22:00</v>
      </c>
      <c r="Z75" s="2">
        <f t="shared" si="46"/>
        <v>0</v>
      </c>
      <c r="AA75" s="2">
        <f t="shared" si="47"/>
        <v>0</v>
      </c>
      <c r="AB75" s="2">
        <f t="shared" si="48"/>
        <v>0</v>
      </c>
      <c r="AC75" s="2">
        <f t="shared" si="49"/>
        <v>0</v>
      </c>
      <c r="AD75" s="2">
        <f t="shared" si="50"/>
        <v>0</v>
      </c>
      <c r="AE75" s="2" t="str">
        <f>IF(IFERROR(VLOOKUP($B75,Morning_Shift!$B$4:$BJ$61,MATCH(Both_Shift_Roster!AE$2,Morning_Shift!$B$2:$BJ$2,0),0),"")="",IFERROR(VLOOKUP($B75,Evening_Shift!$B$4:$BJ$62,MATCH(Both_Shift_Roster!AE$2,Evening_Shift!$B$2:$BJ$2,0),0),""),IFERROR(VLOOKUP($B75,Morning_Shift!$B$4:$BJ$61,MATCH(Both_Shift_Roster!AE$2,Morning_Shift!$B$2:$BJ$2,0),0),""))</f>
        <v>Agent Choice WO</v>
      </c>
      <c r="AF75" s="2" t="str">
        <f>IF(IFERROR(VLOOKUP($B75,Morning_Shift!$B$4:$BJ$61,MATCH(Both_Shift_Roster!AF$2,Morning_Shift!$B$2:$BJ$2,0),0),"")="",IFERROR(VLOOKUP($B75,Evening_Shift!$B$4:$BJ$62,MATCH(Both_Shift_Roster!AF$2,Evening_Shift!$B$2:$BJ$2,0),0),""),IFERROR(VLOOKUP($B75,Morning_Shift!$B$4:$BJ$61,MATCH(Both_Shift_Roster!AF$2,Morning_Shift!$B$2:$BJ$2,0),0),""))</f>
        <v>Agent Choice WO</v>
      </c>
      <c r="AG75" s="2" t="str">
        <f>IF(IFERROR(VLOOKUP($B75,Morning_Shift!$B$4:$BJ$61,MATCH(Both_Shift_Roster!AG$2,Morning_Shift!$B$2:$BJ$2,0),0),"")="",IFERROR(VLOOKUP($B75,Evening_Shift!$B$4:$BJ$62,MATCH(Both_Shift_Roster!AG$2,Evening_Shift!$B$2:$BJ$2,0),0),""),IFERROR(VLOOKUP($B75,Morning_Shift!$B$4:$BJ$61,MATCH(Both_Shift_Roster!AG$2,Morning_Shift!$B$2:$BJ$2,0),0),""))</f>
        <v>Agent Choice WO</v>
      </c>
      <c r="AH75" s="2" t="str">
        <f>IF(IFERROR(VLOOKUP($B75,Morning_Shift!$B$4:$BJ$61,MATCH(Both_Shift_Roster!AH$2,Morning_Shift!$B$2:$BJ$2,0),0),"")="",IFERROR(VLOOKUP($B75,Evening_Shift!$B$4:$BJ$62,MATCH(Both_Shift_Roster!AH$2,Evening_Shift!$B$2:$BJ$2,0),0),""),IFERROR(VLOOKUP($B75,Morning_Shift!$B$4:$BJ$61,MATCH(Both_Shift_Roster!AH$2,Morning_Shift!$B$2:$BJ$2,0),0),""))</f>
        <v>14:30-22:00</v>
      </c>
      <c r="AI75" s="2" t="str">
        <f>IF(IFERROR(VLOOKUP($B75,Morning_Shift!$B$4:$BJ$61,MATCH(Both_Shift_Roster!AI$2,Morning_Shift!$B$2:$BJ$2,0),0),"")="",IFERROR(VLOOKUP($B75,Evening_Shift!$B$4:$BJ$62,MATCH(Both_Shift_Roster!AI$2,Evening_Shift!$B$2:$BJ$2,0),0),""),IFERROR(VLOOKUP($B75,Morning_Shift!$B$4:$BJ$61,MATCH(Both_Shift_Roster!AI$2,Morning_Shift!$B$2:$BJ$2,0),0),""))</f>
        <v>14:30-22:00</v>
      </c>
      <c r="AJ75" s="2" t="str">
        <f>IF(IFERROR(VLOOKUP($B75,Morning_Shift!$B$4:$BJ$61,MATCH(Both_Shift_Roster!AJ$2,Morning_Shift!$B$2:$BJ$2,0),0),"")="",IFERROR(VLOOKUP($B75,Evening_Shift!$B$4:$BJ$62,MATCH(Both_Shift_Roster!AJ$2,Evening_Shift!$B$2:$BJ$2,0),0),""),IFERROR(VLOOKUP($B75,Morning_Shift!$B$4:$BJ$61,MATCH(Both_Shift_Roster!AJ$2,Morning_Shift!$B$2:$BJ$2,0),0),""))</f>
        <v>Agent Choice WO</v>
      </c>
      <c r="AK75" s="2" t="str">
        <f>IF(IFERROR(VLOOKUP($B75,Morning_Shift!$B$4:$BJ$61,MATCH(Both_Shift_Roster!AK$2,Morning_Shift!$B$2:$BJ$2,0),0),"")="",IFERROR(VLOOKUP($B75,Evening_Shift!$B$4:$BJ$62,MATCH(Both_Shift_Roster!AK$2,Evening_Shift!$B$2:$BJ$2,0),0),""),IFERROR(VLOOKUP($B75,Morning_Shift!$B$4:$BJ$61,MATCH(Both_Shift_Roster!AK$2,Morning_Shift!$B$2:$BJ$2,0),0),""))</f>
        <v>14:30-22:00</v>
      </c>
      <c r="AL75" s="2">
        <f t="shared" si="51"/>
        <v>4</v>
      </c>
      <c r="AM75" s="2">
        <f t="shared" si="52"/>
        <v>0</v>
      </c>
      <c r="AN75" s="2">
        <f t="shared" si="53"/>
        <v>0</v>
      </c>
      <c r="AO75" s="2">
        <f t="shared" si="54"/>
        <v>0</v>
      </c>
      <c r="AP75" s="2">
        <f t="shared" si="55"/>
        <v>0</v>
      </c>
      <c r="AQ75" s="2" t="str">
        <f>IF(IFERROR(VLOOKUP($B75,Morning_Shift!$B$4:$BJ$61,MATCH(Both_Shift_Roster!AQ$2,Morning_Shift!$B$2:$BJ$2,0),0),"")="",IFERROR(VLOOKUP($B75,Evening_Shift!$B$4:$BJ$62,MATCH(Both_Shift_Roster!AQ$2,Evening_Shift!$B$2:$BJ$2,0),0),""),IFERROR(VLOOKUP($B75,Morning_Shift!$B$4:$BJ$61,MATCH(Both_Shift_Roster!AQ$2,Morning_Shift!$B$2:$BJ$2,0),0),""))</f>
        <v>14:30-22:00</v>
      </c>
      <c r="AR75" s="2" t="str">
        <f>IF(IFERROR(VLOOKUP($B75,Morning_Shift!$B$4:$BJ$61,MATCH(Both_Shift_Roster!AR$2,Morning_Shift!$B$2:$BJ$2,0),0),"")="",IFERROR(VLOOKUP($B75,Evening_Shift!$B$4:$BJ$62,MATCH(Both_Shift_Roster!AR$2,Evening_Shift!$B$2:$BJ$2,0),0),""),IFERROR(VLOOKUP($B75,Morning_Shift!$B$4:$BJ$61,MATCH(Both_Shift_Roster!AR$2,Morning_Shift!$B$2:$BJ$2,0),0),""))</f>
        <v>14:30-22:00</v>
      </c>
      <c r="AS75" s="2" t="str">
        <f>IF(IFERROR(VLOOKUP($B75,Morning_Shift!$B$4:$BJ$61,MATCH(Both_Shift_Roster!AS$2,Morning_Shift!$B$2:$BJ$2,0),0),"")="",IFERROR(VLOOKUP($B75,Evening_Shift!$B$4:$BJ$62,MATCH(Both_Shift_Roster!AS$2,Evening_Shift!$B$2:$BJ$2,0),0),""),IFERROR(VLOOKUP($B75,Morning_Shift!$B$4:$BJ$61,MATCH(Both_Shift_Roster!AS$2,Morning_Shift!$B$2:$BJ$2,0),0),""))</f>
        <v>14:30-22:00</v>
      </c>
      <c r="AT75" s="2" t="str">
        <f>IF(IFERROR(VLOOKUP($B75,Morning_Shift!$B$4:$BJ$61,MATCH(Both_Shift_Roster!AT$2,Morning_Shift!$B$2:$BJ$2,0),0),"")="",IFERROR(VLOOKUP($B75,Evening_Shift!$B$4:$BJ$62,MATCH(Both_Shift_Roster!AT$2,Evening_Shift!$B$2:$BJ$2,0),0),""),IFERROR(VLOOKUP($B75,Morning_Shift!$B$4:$BJ$61,MATCH(Both_Shift_Roster!AT$2,Morning_Shift!$B$2:$BJ$2,0),0),""))</f>
        <v>14:30-22:00</v>
      </c>
      <c r="AU75" s="2" t="str">
        <f>IF(IFERROR(VLOOKUP($B75,Morning_Shift!$B$4:$BJ$61,MATCH(Both_Shift_Roster!AU$2,Morning_Shift!$B$2:$BJ$2,0),0),"")="",IFERROR(VLOOKUP($B75,Evening_Shift!$B$4:$BJ$62,MATCH(Both_Shift_Roster!AU$2,Evening_Shift!$B$2:$BJ$2,0),0),""),IFERROR(VLOOKUP($B75,Morning_Shift!$B$4:$BJ$61,MATCH(Both_Shift_Roster!AU$2,Morning_Shift!$B$2:$BJ$2,0),0),""))</f>
        <v>14:30-22:00</v>
      </c>
      <c r="AV75" s="2" t="str">
        <f>IF(IFERROR(VLOOKUP($B75,Morning_Shift!$B$4:$BJ$61,MATCH(Both_Shift_Roster!AV$2,Morning_Shift!$B$2:$BJ$2,0),0),"")="",IFERROR(VLOOKUP($B75,Evening_Shift!$B$4:$BJ$62,MATCH(Both_Shift_Roster!AV$2,Evening_Shift!$B$2:$BJ$2,0),0),""),IFERROR(VLOOKUP($B75,Morning_Shift!$B$4:$BJ$61,MATCH(Both_Shift_Roster!AV$2,Morning_Shift!$B$2:$BJ$2,0),0),""))</f>
        <v>14:30-22:00</v>
      </c>
      <c r="AW75" s="2" t="str">
        <f>IF(IFERROR(VLOOKUP($B75,Morning_Shift!$B$4:$BJ$61,MATCH(Both_Shift_Roster!AW$2,Morning_Shift!$B$2:$BJ$2,0),0),"")="",IFERROR(VLOOKUP($B75,Evening_Shift!$B$4:$BJ$62,MATCH(Both_Shift_Roster!AW$2,Evening_Shift!$B$2:$BJ$2,0),0),""),IFERROR(VLOOKUP($B75,Morning_Shift!$B$4:$BJ$61,MATCH(Both_Shift_Roster!AW$2,Morning_Shift!$B$2:$BJ$2,0),0),""))</f>
        <v>14:30-22:00</v>
      </c>
      <c r="AX75" s="2">
        <f t="shared" si="56"/>
        <v>0</v>
      </c>
      <c r="AY75" s="2">
        <f t="shared" si="57"/>
        <v>0</v>
      </c>
      <c r="AZ75" s="2">
        <f t="shared" si="58"/>
        <v>0</v>
      </c>
      <c r="BA75" s="2">
        <f t="shared" si="59"/>
        <v>0</v>
      </c>
      <c r="BB75" s="2">
        <f t="shared" si="60"/>
        <v>0</v>
      </c>
      <c r="BC75" s="2" t="str">
        <f>IF(IFERROR(VLOOKUP($B75,Morning_Shift!$B$4:$BJ$61,MATCH(Both_Shift_Roster!BC$2,Morning_Shift!$B$2:$BJ$2,0),0),"")="",IFERROR(VLOOKUP($B75,Evening_Shift!$B$4:$BJ$62,MATCH(Both_Shift_Roster!BC$2,Evening_Shift!$B$2:$BJ$2,0),0),""),IFERROR(VLOOKUP($B75,Morning_Shift!$B$4:$BJ$61,MATCH(Both_Shift_Roster!BC$2,Morning_Shift!$B$2:$BJ$2,0),0),""))</f>
        <v>14:30-22:00</v>
      </c>
      <c r="BD75" s="2" t="str">
        <f>IF(IFERROR(VLOOKUP($B75,Morning_Shift!$B$4:$BJ$61,MATCH(Both_Shift_Roster!BD$2,Morning_Shift!$B$2:$BJ$2,0),0),"")="",IFERROR(VLOOKUP($B75,Evening_Shift!$B$4:$BJ$62,MATCH(Both_Shift_Roster!BD$2,Evening_Shift!$B$2:$BJ$2,0),0),""),IFERROR(VLOOKUP($B75,Morning_Shift!$B$4:$BJ$61,MATCH(Both_Shift_Roster!BD$2,Morning_Shift!$B$2:$BJ$2,0),0),""))</f>
        <v>14:30-22:00</v>
      </c>
      <c r="BE75" s="2" t="str">
        <f>IF(IFERROR(VLOOKUP($B75,Morning_Shift!$B$4:$BJ$61,MATCH(Both_Shift_Roster!BE$2,Morning_Shift!$B$2:$BJ$2,0),0),"")="",IFERROR(VLOOKUP($B75,Evening_Shift!$B$4:$BJ$59,MATCH(Both_Shift_Roster!BE$2,Evening_Shift!$B$2:$BJ$2,0),0),""),IFERROR(VLOOKUP($B75,Morning_Shift!$B$4:$BJ$61,MATCH(Both_Shift_Roster!BE$2,Morning_Shift!$B$2:$BJ$2,0),0),""))</f>
        <v>14:30-22:00</v>
      </c>
      <c r="BF75" s="2">
        <f t="shared" si="61"/>
        <v>0</v>
      </c>
      <c r="BG75" s="2">
        <f t="shared" si="62"/>
        <v>0</v>
      </c>
      <c r="BH75" s="2">
        <f t="shared" si="63"/>
        <v>0</v>
      </c>
      <c r="BI75" s="2">
        <f t="shared" si="64"/>
        <v>0</v>
      </c>
      <c r="BJ75" s="2">
        <f t="shared" si="65"/>
        <v>0</v>
      </c>
    </row>
    <row r="76" spans="1:62">
      <c r="A76" s="17">
        <f t="shared" si="66"/>
        <v>73</v>
      </c>
      <c r="B76" s="16" t="str">
        <f>Evening_Shift!$B18</f>
        <v>Dritm59</v>
      </c>
      <c r="C76" s="21" t="str">
        <f>IF(IFERROR(VLOOKUP(B76,Morning_Shift!B:C,2,0),"")="",IFERROR(VLOOKUP(B76,Evening_Shift!B:C,2,0),""),IFERROR(VLOOKUP(B76,Morning_Shift!B:C,2,0),""))</f>
        <v>Bhanu Priya</v>
      </c>
      <c r="D76" s="15" t="str">
        <f>IF(IFERROR(VLOOKUP(B76,Morning_Shift!B:D,3,0),"")="",IFERROR(VLOOKUP(B76,Evening_Shift!B:D,3,0),""),IFERROR(VLOOKUP(B76,Morning_Shift!B:D,3,0),""))</f>
        <v xml:space="preserve">Sanjesh </v>
      </c>
      <c r="E76" s="4" t="str">
        <f>IF(IFERROR(VLOOKUP(B76,Morning_Shift!B:E,4,0),"")="",IFERROR(VLOOKUP(B76,Evening_Shift!B:E,4,0),""),IFERROR(VLOOKUP(B76,Morning_Shift!B:E,4,0),""))</f>
        <v>F</v>
      </c>
      <c r="F76" s="5" t="str">
        <f>IF(IFERROR(VLOOKUP(B76,Morning_Shift!B:F,5,0),"")="",IFERROR(VLOOKUP(B76,Evening_Shift!B:F,5,0),""),IFERROR(VLOOKUP(B76,Morning_Shift!B:F,5,0),""))</f>
        <v>Himseva manual preview</v>
      </c>
      <c r="G76" s="2" t="str">
        <f>IF(IFERROR(VLOOKUP($B76,Morning_Shift!$B$4:$BJ$61,MATCH(Both_Shift_Roster!G$2,Morning_Shift!$B$2:$BJ$2,0),0),"")="",IFERROR(VLOOKUP($B76,Evening_Shift!$B$4:$BJ$62,MATCH(Both_Shift_Roster!G$2,Evening_Shift!$B$2:$BJ$2,0),0),""),IFERROR(VLOOKUP($B76,Morning_Shift!$B$4:$BJ$61,MATCH(Both_Shift_Roster!G$2,Morning_Shift!$B$2:$BJ$2,0),0),""))</f>
        <v>14:30-22:00</v>
      </c>
      <c r="H76" s="2" t="str">
        <f>IF(IFERROR(VLOOKUP($B76,Morning_Shift!$B$4:$BJ$61,MATCH(Both_Shift_Roster!H$2,Morning_Shift!$B$2:$BJ$2,0),0),"")="",IFERROR(VLOOKUP($B76,Evening_Shift!$B$4:$BJ$62,MATCH(Both_Shift_Roster!H$2,Evening_Shift!$B$2:$BJ$2,0),0),""),IFERROR(VLOOKUP($B76,Morning_Shift!$B$4:$BJ$61,MATCH(Both_Shift_Roster!H$2,Morning_Shift!$B$2:$BJ$2,0),0),""))</f>
        <v>14:30-22:00</v>
      </c>
      <c r="I76" s="2" t="str">
        <f>IF(IFERROR(VLOOKUP($B76,Morning_Shift!$B$4:$BJ$61,MATCH(Both_Shift_Roster!I$2,Morning_Shift!$B$2:$BJ$2,0),0),"")="",IFERROR(VLOOKUP($B76,Evening_Shift!$B$4:$BJ$62,MATCH(Both_Shift_Roster!I$2,Evening_Shift!$B$2:$BJ$2,0),0),""),IFERROR(VLOOKUP($B76,Morning_Shift!$B$4:$BJ$61,MATCH(Both_Shift_Roster!I$2,Morning_Shift!$B$2:$BJ$2,0),0),""))</f>
        <v>14:30-22:00</v>
      </c>
      <c r="J76" s="2" t="str">
        <f>IF(IFERROR(VLOOKUP($B76,Morning_Shift!$B$4:$BJ$61,MATCH(Both_Shift_Roster!J$2,Morning_Shift!$B$2:$BJ$2,0),0),"")="",IFERROR(VLOOKUP($B76,Evening_Shift!$B$4:$BJ$62,MATCH(Both_Shift_Roster!J$2,Evening_Shift!$B$2:$BJ$2,0),0),""),IFERROR(VLOOKUP($B76,Morning_Shift!$B$4:$BJ$61,MATCH(Both_Shift_Roster!J$2,Morning_Shift!$B$2:$BJ$2,0),0),""))</f>
        <v>14:30-22:00</v>
      </c>
      <c r="K76" s="2" t="str">
        <f>IF(IFERROR(VLOOKUP($B76,Morning_Shift!$B$4:$BJ$61,MATCH(Both_Shift_Roster!K$2,Morning_Shift!$B$2:$BJ$2,0),0),"")="",IFERROR(VLOOKUP($B76,Evening_Shift!$B$4:$BJ$62,MATCH(Both_Shift_Roster!K$2,Evening_Shift!$B$2:$BJ$2,0),0),""),IFERROR(VLOOKUP($B76,Morning_Shift!$B$4:$BJ$61,MATCH(Both_Shift_Roster!K$2,Morning_Shift!$B$2:$BJ$2,0),0),""))</f>
        <v>14:30-22:00</v>
      </c>
      <c r="L76" s="2" t="str">
        <f>IF(IFERROR(VLOOKUP($B76,Morning_Shift!$B$4:$BJ$61,MATCH(Both_Shift_Roster!L$2,Morning_Shift!$B$2:$BJ$2,0),0),"")="",IFERROR(VLOOKUP($B76,Evening_Shift!$B$4:$BJ$62,MATCH(Both_Shift_Roster!L$2,Evening_Shift!$B$2:$BJ$2,0),0),""),IFERROR(VLOOKUP($B76,Morning_Shift!$B$4:$BJ$61,MATCH(Both_Shift_Roster!L$2,Morning_Shift!$B$2:$BJ$2,0),0),""))</f>
        <v>14:30-22:00</v>
      </c>
      <c r="M76" s="2" t="str">
        <f>IF(IFERROR(VLOOKUP($B76,Morning_Shift!$B$4:$BJ$61,MATCH(Both_Shift_Roster!M$2,Morning_Shift!$B$2:$BJ$2,0),0),"")="",IFERROR(VLOOKUP($B76,Evening_Shift!$B$4:$BJ$62,MATCH(Both_Shift_Roster!M$2,Evening_Shift!$B$2:$BJ$2,0),0),""),IFERROR(VLOOKUP($B76,Morning_Shift!$B$4:$BJ$61,MATCH(Both_Shift_Roster!M$2,Morning_Shift!$B$2:$BJ$2,0),0),""))</f>
        <v>14:30-22:00</v>
      </c>
      <c r="N76" s="2">
        <f t="shared" si="41"/>
        <v>0</v>
      </c>
      <c r="O76" s="2">
        <f t="shared" si="42"/>
        <v>0</v>
      </c>
      <c r="P76" s="2">
        <f t="shared" si="43"/>
        <v>0</v>
      </c>
      <c r="Q76" s="2">
        <f t="shared" si="44"/>
        <v>0</v>
      </c>
      <c r="R76" s="2">
        <f t="shared" si="45"/>
        <v>0</v>
      </c>
      <c r="S76" s="2" t="str">
        <f>IF(IFERROR(VLOOKUP($B76,Morning_Shift!$B$4:$BJ$61,MATCH(Both_Shift_Roster!S$2,Morning_Shift!$B$2:$BJ$2,0),0),"")="",IFERROR(VLOOKUP($B76,Evening_Shift!$B$4:$BJ$62,MATCH(Both_Shift_Roster!S$2,Evening_Shift!$B$2:$BJ$2,0),0),""),IFERROR(VLOOKUP($B76,Morning_Shift!$B$4:$BJ$61,MATCH(Both_Shift_Roster!S$2,Morning_Shift!$B$2:$BJ$2,0),0),""))</f>
        <v>14:30-22:00</v>
      </c>
      <c r="T76" s="2" t="str">
        <f>IF(IFERROR(VLOOKUP($B76,Morning_Shift!$B$4:$BJ$61,MATCH(Both_Shift_Roster!T$2,Morning_Shift!$B$2:$BJ$2,0),0),"")="",IFERROR(VLOOKUP($B76,Evening_Shift!$B$4:$BJ$62,MATCH(Both_Shift_Roster!T$2,Evening_Shift!$B$2:$BJ$2,0),0),""),IFERROR(VLOOKUP($B76,Morning_Shift!$B$4:$BJ$61,MATCH(Both_Shift_Roster!T$2,Morning_Shift!$B$2:$BJ$2,0),0),""))</f>
        <v>14:30-22:00</v>
      </c>
      <c r="U76" s="2" t="str">
        <f>IF(IFERROR(VLOOKUP($B76,Morning_Shift!$B$4:$BJ$61,MATCH(Both_Shift_Roster!U$2,Morning_Shift!$B$2:$BJ$2,0),0),"")="",IFERROR(VLOOKUP($B76,Evening_Shift!$B$4:$BJ$62,MATCH(Both_Shift_Roster!U$2,Evening_Shift!$B$2:$BJ$2,0),0),""),IFERROR(VLOOKUP($B76,Morning_Shift!$B$4:$BJ$61,MATCH(Both_Shift_Roster!U$2,Morning_Shift!$B$2:$BJ$2,0),0),""))</f>
        <v>14:30-22:00</v>
      </c>
      <c r="V76" s="2" t="str">
        <f>IF(IFERROR(VLOOKUP($B76,Morning_Shift!$B$4:$BJ$61,MATCH(Both_Shift_Roster!V$2,Morning_Shift!$B$2:$BJ$2,0),0),"")="",IFERROR(VLOOKUP($B76,Evening_Shift!$B$4:$BJ$62,MATCH(Both_Shift_Roster!V$2,Evening_Shift!$B$2:$BJ$2,0),0),""),IFERROR(VLOOKUP($B76,Morning_Shift!$B$4:$BJ$61,MATCH(Both_Shift_Roster!V$2,Morning_Shift!$B$2:$BJ$2,0),0),""))</f>
        <v>14:30-22:00</v>
      </c>
      <c r="W76" s="2" t="str">
        <f>IF(IFERROR(VLOOKUP($B76,Morning_Shift!$B$4:$BJ$61,MATCH(Both_Shift_Roster!W$2,Morning_Shift!$B$2:$BJ$2,0),0),"")="",IFERROR(VLOOKUP($B76,Evening_Shift!$B$4:$BJ$62,MATCH(Both_Shift_Roster!W$2,Evening_Shift!$B$2:$BJ$2,0),0),""),IFERROR(VLOOKUP($B76,Morning_Shift!$B$4:$BJ$61,MATCH(Both_Shift_Roster!W$2,Morning_Shift!$B$2:$BJ$2,0),0),""))</f>
        <v>14:30-22:00</v>
      </c>
      <c r="X76" s="2" t="str">
        <f>IF(IFERROR(VLOOKUP($B76,Morning_Shift!$B$4:$BJ$61,MATCH(Both_Shift_Roster!X$2,Morning_Shift!$B$2:$BJ$2,0),0),"")="",IFERROR(VLOOKUP($B76,Evening_Shift!$B$4:$BJ$62,MATCH(Both_Shift_Roster!X$2,Evening_Shift!$B$2:$BJ$2,0),0),""),IFERROR(VLOOKUP($B76,Morning_Shift!$B$4:$BJ$61,MATCH(Both_Shift_Roster!X$2,Morning_Shift!$B$2:$BJ$2,0),0),""))</f>
        <v>14:30-22:00</v>
      </c>
      <c r="Y76" s="2" t="str">
        <f>IF(IFERROR(VLOOKUP($B76,Morning_Shift!$B$4:$BJ$61,MATCH(Both_Shift_Roster!Y$2,Morning_Shift!$B$2:$BJ$2,0),0),"")="",IFERROR(VLOOKUP($B76,Evening_Shift!$B$4:$BJ$62,MATCH(Both_Shift_Roster!Y$2,Evening_Shift!$B$2:$BJ$2,0),0),""),IFERROR(VLOOKUP($B76,Morning_Shift!$B$4:$BJ$61,MATCH(Both_Shift_Roster!Y$2,Morning_Shift!$B$2:$BJ$2,0),0),""))</f>
        <v>14:30-22:00</v>
      </c>
      <c r="Z76" s="2">
        <f t="shared" si="46"/>
        <v>0</v>
      </c>
      <c r="AA76" s="2">
        <f t="shared" si="47"/>
        <v>0</v>
      </c>
      <c r="AB76" s="2">
        <f t="shared" si="48"/>
        <v>0</v>
      </c>
      <c r="AC76" s="2">
        <f t="shared" si="49"/>
        <v>0</v>
      </c>
      <c r="AD76" s="2">
        <f t="shared" si="50"/>
        <v>0</v>
      </c>
      <c r="AE76" s="2" t="str">
        <f>IF(IFERROR(VLOOKUP($B76,Morning_Shift!$B$4:$BJ$61,MATCH(Both_Shift_Roster!AE$2,Morning_Shift!$B$2:$BJ$2,0),0),"")="",IFERROR(VLOOKUP($B76,Evening_Shift!$B$4:$BJ$62,MATCH(Both_Shift_Roster!AE$2,Evening_Shift!$B$2:$BJ$2,0),0),""),IFERROR(VLOOKUP($B76,Morning_Shift!$B$4:$BJ$61,MATCH(Both_Shift_Roster!AE$2,Morning_Shift!$B$2:$BJ$2,0),0),""))</f>
        <v>Agent Choice WO</v>
      </c>
      <c r="AF76" s="2" t="str">
        <f>IF(IFERROR(VLOOKUP($B76,Morning_Shift!$B$4:$BJ$61,MATCH(Both_Shift_Roster!AF$2,Morning_Shift!$B$2:$BJ$2,0),0),"")="",IFERROR(VLOOKUP($B76,Evening_Shift!$B$4:$BJ$62,MATCH(Both_Shift_Roster!AF$2,Evening_Shift!$B$2:$BJ$2,0),0),""),IFERROR(VLOOKUP($B76,Morning_Shift!$B$4:$BJ$61,MATCH(Both_Shift_Roster!AF$2,Morning_Shift!$B$2:$BJ$2,0),0),""))</f>
        <v>14:30-22:00</v>
      </c>
      <c r="AG76" s="2" t="str">
        <f>IF(IFERROR(VLOOKUP($B76,Morning_Shift!$B$4:$BJ$61,MATCH(Both_Shift_Roster!AG$2,Morning_Shift!$B$2:$BJ$2,0),0),"")="",IFERROR(VLOOKUP($B76,Evening_Shift!$B$4:$BJ$62,MATCH(Both_Shift_Roster!AG$2,Evening_Shift!$B$2:$BJ$2,0),0),""),IFERROR(VLOOKUP($B76,Morning_Shift!$B$4:$BJ$61,MATCH(Both_Shift_Roster!AG$2,Morning_Shift!$B$2:$BJ$2,0),0),""))</f>
        <v>14:30-22:00</v>
      </c>
      <c r="AH76" s="2" t="str">
        <f>IF(IFERROR(VLOOKUP($B76,Morning_Shift!$B$4:$BJ$61,MATCH(Both_Shift_Roster!AH$2,Morning_Shift!$B$2:$BJ$2,0),0),"")="",IFERROR(VLOOKUP($B76,Evening_Shift!$B$4:$BJ$62,MATCH(Both_Shift_Roster!AH$2,Evening_Shift!$B$2:$BJ$2,0),0),""),IFERROR(VLOOKUP($B76,Morning_Shift!$B$4:$BJ$61,MATCH(Both_Shift_Roster!AH$2,Morning_Shift!$B$2:$BJ$2,0),0),""))</f>
        <v>14:30-22:00</v>
      </c>
      <c r="AI76" s="2" t="str">
        <f>IF(IFERROR(VLOOKUP($B76,Morning_Shift!$B$4:$BJ$61,MATCH(Both_Shift_Roster!AI$2,Morning_Shift!$B$2:$BJ$2,0),0),"")="",IFERROR(VLOOKUP($B76,Evening_Shift!$B$4:$BJ$62,MATCH(Both_Shift_Roster!AI$2,Evening_Shift!$B$2:$BJ$2,0),0),""),IFERROR(VLOOKUP($B76,Morning_Shift!$B$4:$BJ$61,MATCH(Both_Shift_Roster!AI$2,Morning_Shift!$B$2:$BJ$2,0),0),""))</f>
        <v>14:30-22:00</v>
      </c>
      <c r="AJ76" s="2" t="str">
        <f>IF(IFERROR(VLOOKUP($B76,Morning_Shift!$B$4:$BJ$61,MATCH(Both_Shift_Roster!AJ$2,Morning_Shift!$B$2:$BJ$2,0),0),"")="",IFERROR(VLOOKUP($B76,Evening_Shift!$B$4:$BJ$62,MATCH(Both_Shift_Roster!AJ$2,Evening_Shift!$B$2:$BJ$2,0),0),""),IFERROR(VLOOKUP($B76,Morning_Shift!$B$4:$BJ$61,MATCH(Both_Shift_Roster!AJ$2,Morning_Shift!$B$2:$BJ$2,0),0),""))</f>
        <v>Agent Choice WO</v>
      </c>
      <c r="AK76" s="2" t="str">
        <f>IF(IFERROR(VLOOKUP($B76,Morning_Shift!$B$4:$BJ$61,MATCH(Both_Shift_Roster!AK$2,Morning_Shift!$B$2:$BJ$2,0),0),"")="",IFERROR(VLOOKUP($B76,Evening_Shift!$B$4:$BJ$62,MATCH(Both_Shift_Roster!AK$2,Evening_Shift!$B$2:$BJ$2,0),0),""),IFERROR(VLOOKUP($B76,Morning_Shift!$B$4:$BJ$61,MATCH(Both_Shift_Roster!AK$2,Morning_Shift!$B$2:$BJ$2,0),0),""))</f>
        <v>14:30-22:00</v>
      </c>
      <c r="AL76" s="2">
        <f t="shared" si="51"/>
        <v>2</v>
      </c>
      <c r="AM76" s="2">
        <f t="shared" si="52"/>
        <v>0</v>
      </c>
      <c r="AN76" s="2">
        <f t="shared" si="53"/>
        <v>0</v>
      </c>
      <c r="AO76" s="2">
        <f t="shared" si="54"/>
        <v>0</v>
      </c>
      <c r="AP76" s="2">
        <f t="shared" si="55"/>
        <v>0</v>
      </c>
      <c r="AQ76" s="2" t="str">
        <f>IF(IFERROR(VLOOKUP($B76,Morning_Shift!$B$4:$BJ$61,MATCH(Both_Shift_Roster!AQ$2,Morning_Shift!$B$2:$BJ$2,0),0),"")="",IFERROR(VLOOKUP($B76,Evening_Shift!$B$4:$BJ$62,MATCH(Both_Shift_Roster!AQ$2,Evening_Shift!$B$2:$BJ$2,0),0),""),IFERROR(VLOOKUP($B76,Morning_Shift!$B$4:$BJ$61,MATCH(Both_Shift_Roster!AQ$2,Morning_Shift!$B$2:$BJ$2,0),0),""))</f>
        <v>14:30-22:00</v>
      </c>
      <c r="AR76" s="2" t="str">
        <f>IF(IFERROR(VLOOKUP($B76,Morning_Shift!$B$4:$BJ$61,MATCH(Both_Shift_Roster!AR$2,Morning_Shift!$B$2:$BJ$2,0),0),"")="",IFERROR(VLOOKUP($B76,Evening_Shift!$B$4:$BJ$62,MATCH(Both_Shift_Roster!AR$2,Evening_Shift!$B$2:$BJ$2,0),0),""),IFERROR(VLOOKUP($B76,Morning_Shift!$B$4:$BJ$61,MATCH(Both_Shift_Roster!AR$2,Morning_Shift!$B$2:$BJ$2,0),0),""))</f>
        <v>14:30-22:00</v>
      </c>
      <c r="AS76" s="2" t="str">
        <f>IF(IFERROR(VLOOKUP($B76,Morning_Shift!$B$4:$BJ$61,MATCH(Both_Shift_Roster!AS$2,Morning_Shift!$B$2:$BJ$2,0),0),"")="",IFERROR(VLOOKUP($B76,Evening_Shift!$B$4:$BJ$62,MATCH(Both_Shift_Roster!AS$2,Evening_Shift!$B$2:$BJ$2,0),0),""),IFERROR(VLOOKUP($B76,Morning_Shift!$B$4:$BJ$61,MATCH(Both_Shift_Roster!AS$2,Morning_Shift!$B$2:$BJ$2,0),0),""))</f>
        <v>14:30-22:00</v>
      </c>
      <c r="AT76" s="2" t="str">
        <f>IF(IFERROR(VLOOKUP($B76,Morning_Shift!$B$4:$BJ$61,MATCH(Both_Shift_Roster!AT$2,Morning_Shift!$B$2:$BJ$2,0),0),"")="",IFERROR(VLOOKUP($B76,Evening_Shift!$B$4:$BJ$62,MATCH(Both_Shift_Roster!AT$2,Evening_Shift!$B$2:$BJ$2,0),0),""),IFERROR(VLOOKUP($B76,Morning_Shift!$B$4:$BJ$61,MATCH(Both_Shift_Roster!AT$2,Morning_Shift!$B$2:$BJ$2,0),0),""))</f>
        <v>14:30-22:00</v>
      </c>
      <c r="AU76" s="2" t="str">
        <f>IF(IFERROR(VLOOKUP($B76,Morning_Shift!$B$4:$BJ$61,MATCH(Both_Shift_Roster!AU$2,Morning_Shift!$B$2:$BJ$2,0),0),"")="",IFERROR(VLOOKUP($B76,Evening_Shift!$B$4:$BJ$62,MATCH(Both_Shift_Roster!AU$2,Evening_Shift!$B$2:$BJ$2,0),0),""),IFERROR(VLOOKUP($B76,Morning_Shift!$B$4:$BJ$61,MATCH(Both_Shift_Roster!AU$2,Morning_Shift!$B$2:$BJ$2,0),0),""))</f>
        <v>14:30-22:00</v>
      </c>
      <c r="AV76" s="2" t="str">
        <f>IF(IFERROR(VLOOKUP($B76,Morning_Shift!$B$4:$BJ$61,MATCH(Both_Shift_Roster!AV$2,Morning_Shift!$B$2:$BJ$2,0),0),"")="",IFERROR(VLOOKUP($B76,Evening_Shift!$B$4:$BJ$62,MATCH(Both_Shift_Roster!AV$2,Evening_Shift!$B$2:$BJ$2,0),0),""),IFERROR(VLOOKUP($B76,Morning_Shift!$B$4:$BJ$61,MATCH(Both_Shift_Roster!AV$2,Morning_Shift!$B$2:$BJ$2,0),0),""))</f>
        <v>14:30-22:00</v>
      </c>
      <c r="AW76" s="2" t="str">
        <f>IF(IFERROR(VLOOKUP($B76,Morning_Shift!$B$4:$BJ$61,MATCH(Both_Shift_Roster!AW$2,Morning_Shift!$B$2:$BJ$2,0),0),"")="",IFERROR(VLOOKUP($B76,Evening_Shift!$B$4:$BJ$62,MATCH(Both_Shift_Roster!AW$2,Evening_Shift!$B$2:$BJ$2,0),0),""),IFERROR(VLOOKUP($B76,Morning_Shift!$B$4:$BJ$61,MATCH(Both_Shift_Roster!AW$2,Morning_Shift!$B$2:$BJ$2,0),0),""))</f>
        <v>Agent Choice WO</v>
      </c>
      <c r="AX76" s="2">
        <f t="shared" si="56"/>
        <v>1</v>
      </c>
      <c r="AY76" s="2">
        <f t="shared" si="57"/>
        <v>0</v>
      </c>
      <c r="AZ76" s="2">
        <f t="shared" si="58"/>
        <v>0</v>
      </c>
      <c r="BA76" s="2">
        <f t="shared" si="59"/>
        <v>0</v>
      </c>
      <c r="BB76" s="2">
        <f t="shared" si="60"/>
        <v>0</v>
      </c>
      <c r="BC76" s="2" t="str">
        <f>IF(IFERROR(VLOOKUP($B76,Morning_Shift!$B$4:$BJ$61,MATCH(Both_Shift_Roster!BC$2,Morning_Shift!$B$2:$BJ$2,0),0),"")="",IFERROR(VLOOKUP($B76,Evening_Shift!$B$4:$BJ$62,MATCH(Both_Shift_Roster!BC$2,Evening_Shift!$B$2:$BJ$2,0),0),""),IFERROR(VLOOKUP($B76,Morning_Shift!$B$4:$BJ$61,MATCH(Both_Shift_Roster!BC$2,Morning_Shift!$B$2:$BJ$2,0),0),""))</f>
        <v>Agent Choice WO</v>
      </c>
      <c r="BD76" s="2" t="str">
        <f>IF(IFERROR(VLOOKUP($B76,Morning_Shift!$B$4:$BJ$61,MATCH(Both_Shift_Roster!BD$2,Morning_Shift!$B$2:$BJ$2,0),0),"")="",IFERROR(VLOOKUP($B76,Evening_Shift!$B$4:$BJ$62,MATCH(Both_Shift_Roster!BD$2,Evening_Shift!$B$2:$BJ$2,0),0),""),IFERROR(VLOOKUP($B76,Morning_Shift!$B$4:$BJ$61,MATCH(Both_Shift_Roster!BD$2,Morning_Shift!$B$2:$BJ$2,0),0),""))</f>
        <v>14:30-22:00</v>
      </c>
      <c r="BE76" s="2" t="str">
        <f>IF(IFERROR(VLOOKUP($B76,Morning_Shift!$B$4:$BJ$61,MATCH(Both_Shift_Roster!BE$2,Morning_Shift!$B$2:$BJ$2,0),0),"")="",IFERROR(VLOOKUP($B76,Evening_Shift!$B$4:$BJ$59,MATCH(Both_Shift_Roster!BE$2,Evening_Shift!$B$2:$BJ$2,0),0),""),IFERROR(VLOOKUP($B76,Morning_Shift!$B$4:$BJ$61,MATCH(Both_Shift_Roster!BE$2,Morning_Shift!$B$2:$BJ$2,0),0),""))</f>
        <v>14:30-22:00</v>
      </c>
      <c r="BF76" s="2">
        <f t="shared" si="61"/>
        <v>1</v>
      </c>
      <c r="BG76" s="2">
        <f t="shared" si="62"/>
        <v>0</v>
      </c>
      <c r="BH76" s="2">
        <f t="shared" si="63"/>
        <v>0</v>
      </c>
      <c r="BI76" s="2">
        <f t="shared" si="64"/>
        <v>0</v>
      </c>
      <c r="BJ76" s="2">
        <f t="shared" si="65"/>
        <v>0</v>
      </c>
    </row>
    <row r="77" spans="1:62">
      <c r="A77" s="17">
        <f t="shared" si="66"/>
        <v>74</v>
      </c>
      <c r="B77" s="16" t="str">
        <f>Evening_Shift!$B19</f>
        <v>Dritm60</v>
      </c>
      <c r="C77" s="21" t="str">
        <f>IF(IFERROR(VLOOKUP(B77,Morning_Shift!B:C,2,0),"")="",IFERROR(VLOOKUP(B77,Evening_Shift!B:C,2,0),""),IFERROR(VLOOKUP(B77,Morning_Shift!B:C,2,0),""))</f>
        <v>Sourabh Kumar Sharma</v>
      </c>
      <c r="D77" s="15" t="str">
        <f>IF(IFERROR(VLOOKUP(B77,Morning_Shift!B:D,3,0),"")="",IFERROR(VLOOKUP(B77,Evening_Shift!B:D,3,0),""),IFERROR(VLOOKUP(B77,Morning_Shift!B:D,3,0),""))</f>
        <v xml:space="preserve">Sanjesh </v>
      </c>
      <c r="E77" s="4" t="str">
        <f>IF(IFERROR(VLOOKUP(B77,Morning_Shift!B:E,4,0),"")="",IFERROR(VLOOKUP(B77,Evening_Shift!B:E,4,0),""),IFERROR(VLOOKUP(B77,Morning_Shift!B:E,4,0),""))</f>
        <v>M</v>
      </c>
      <c r="F77" s="5" t="str">
        <f>IF(IFERROR(VLOOKUP(B77,Morning_Shift!B:F,5,0),"")="",IFERROR(VLOOKUP(B77,Evening_Shift!B:F,5,0),""),IFERROR(VLOOKUP(B77,Morning_Shift!B:F,5,0),""))</f>
        <v>Himseva manual preview</v>
      </c>
      <c r="G77" s="2" t="str">
        <f>IF(IFERROR(VLOOKUP($B77,Morning_Shift!$B$4:$BJ$61,MATCH(Both_Shift_Roster!G$2,Morning_Shift!$B$2:$BJ$2,0),0),"")="",IFERROR(VLOOKUP($B77,Evening_Shift!$B$4:$BJ$62,MATCH(Both_Shift_Roster!G$2,Evening_Shift!$B$2:$BJ$2,0),0),""),IFERROR(VLOOKUP($B77,Morning_Shift!$B$4:$BJ$61,MATCH(Both_Shift_Roster!G$2,Morning_Shift!$B$2:$BJ$2,0),0),""))</f>
        <v>14:30-22:00</v>
      </c>
      <c r="H77" s="2" t="str">
        <f>IF(IFERROR(VLOOKUP($B77,Morning_Shift!$B$4:$BJ$61,MATCH(Both_Shift_Roster!H$2,Morning_Shift!$B$2:$BJ$2,0),0),"")="",IFERROR(VLOOKUP($B77,Evening_Shift!$B$4:$BJ$62,MATCH(Both_Shift_Roster!H$2,Evening_Shift!$B$2:$BJ$2,0),0),""),IFERROR(VLOOKUP($B77,Morning_Shift!$B$4:$BJ$61,MATCH(Both_Shift_Roster!H$2,Morning_Shift!$B$2:$BJ$2,0),0),""))</f>
        <v>14:30-22:00</v>
      </c>
      <c r="I77" s="2" t="str">
        <f>IF(IFERROR(VLOOKUP($B77,Morning_Shift!$B$4:$BJ$61,MATCH(Both_Shift_Roster!I$2,Morning_Shift!$B$2:$BJ$2,0),0),"")="",IFERROR(VLOOKUP($B77,Evening_Shift!$B$4:$BJ$62,MATCH(Both_Shift_Roster!I$2,Evening_Shift!$B$2:$BJ$2,0),0),""),IFERROR(VLOOKUP($B77,Morning_Shift!$B$4:$BJ$61,MATCH(Both_Shift_Roster!I$2,Morning_Shift!$B$2:$BJ$2,0),0),""))</f>
        <v>14:30-22:00</v>
      </c>
      <c r="J77" s="2" t="str">
        <f>IF(IFERROR(VLOOKUP($B77,Morning_Shift!$B$4:$BJ$61,MATCH(Both_Shift_Roster!J$2,Morning_Shift!$B$2:$BJ$2,0),0),"")="",IFERROR(VLOOKUP($B77,Evening_Shift!$B$4:$BJ$62,MATCH(Both_Shift_Roster!J$2,Evening_Shift!$B$2:$BJ$2,0),0),""),IFERROR(VLOOKUP($B77,Morning_Shift!$B$4:$BJ$61,MATCH(Both_Shift_Roster!J$2,Morning_Shift!$B$2:$BJ$2,0),0),""))</f>
        <v>14:30-22:00</v>
      </c>
      <c r="K77" s="2" t="str">
        <f>IF(IFERROR(VLOOKUP($B77,Morning_Shift!$B$4:$BJ$61,MATCH(Both_Shift_Roster!K$2,Morning_Shift!$B$2:$BJ$2,0),0),"")="",IFERROR(VLOOKUP($B77,Evening_Shift!$B$4:$BJ$62,MATCH(Both_Shift_Roster!K$2,Evening_Shift!$B$2:$BJ$2,0),0),""),IFERROR(VLOOKUP($B77,Morning_Shift!$B$4:$BJ$61,MATCH(Both_Shift_Roster!K$2,Morning_Shift!$B$2:$BJ$2,0),0),""))</f>
        <v>14:30-22:00</v>
      </c>
      <c r="L77" s="2" t="str">
        <f>IF(IFERROR(VLOOKUP($B77,Morning_Shift!$B$4:$BJ$61,MATCH(Both_Shift_Roster!L$2,Morning_Shift!$B$2:$BJ$2,0),0),"")="",IFERROR(VLOOKUP($B77,Evening_Shift!$B$4:$BJ$62,MATCH(Both_Shift_Roster!L$2,Evening_Shift!$B$2:$BJ$2,0),0),""),IFERROR(VLOOKUP($B77,Morning_Shift!$B$4:$BJ$61,MATCH(Both_Shift_Roster!L$2,Morning_Shift!$B$2:$BJ$2,0),0),""))</f>
        <v>Agent Choice WO</v>
      </c>
      <c r="M77" s="2" t="str">
        <f>IF(IFERROR(VLOOKUP($B77,Morning_Shift!$B$4:$BJ$61,MATCH(Both_Shift_Roster!M$2,Morning_Shift!$B$2:$BJ$2,0),0),"")="",IFERROR(VLOOKUP($B77,Evening_Shift!$B$4:$BJ$62,MATCH(Both_Shift_Roster!M$2,Evening_Shift!$B$2:$BJ$2,0),0),""),IFERROR(VLOOKUP($B77,Morning_Shift!$B$4:$BJ$61,MATCH(Both_Shift_Roster!M$2,Morning_Shift!$B$2:$BJ$2,0),0),""))</f>
        <v>14:30-22:00</v>
      </c>
      <c r="N77" s="2">
        <f t="shared" si="41"/>
        <v>1</v>
      </c>
      <c r="O77" s="2">
        <f t="shared" si="42"/>
        <v>0</v>
      </c>
      <c r="P77" s="2">
        <f t="shared" si="43"/>
        <v>0</v>
      </c>
      <c r="Q77" s="2">
        <f t="shared" si="44"/>
        <v>0</v>
      </c>
      <c r="R77" s="2">
        <f t="shared" si="45"/>
        <v>0</v>
      </c>
      <c r="S77" s="2" t="str">
        <f>IF(IFERROR(VLOOKUP($B77,Morning_Shift!$B$4:$BJ$61,MATCH(Both_Shift_Roster!S$2,Morning_Shift!$B$2:$BJ$2,0),0),"")="",IFERROR(VLOOKUP($B77,Evening_Shift!$B$4:$BJ$62,MATCH(Both_Shift_Roster!S$2,Evening_Shift!$B$2:$BJ$2,0),0),""),IFERROR(VLOOKUP($B77,Morning_Shift!$B$4:$BJ$61,MATCH(Both_Shift_Roster!S$2,Morning_Shift!$B$2:$BJ$2,0),0),""))</f>
        <v>14:30-22:00</v>
      </c>
      <c r="T77" s="2" t="str">
        <f>IF(IFERROR(VLOOKUP($B77,Morning_Shift!$B$4:$BJ$61,MATCH(Both_Shift_Roster!T$2,Morning_Shift!$B$2:$BJ$2,0),0),"")="",IFERROR(VLOOKUP($B77,Evening_Shift!$B$4:$BJ$62,MATCH(Both_Shift_Roster!T$2,Evening_Shift!$B$2:$BJ$2,0),0),""),IFERROR(VLOOKUP($B77,Morning_Shift!$B$4:$BJ$61,MATCH(Both_Shift_Roster!T$2,Morning_Shift!$B$2:$BJ$2,0),0),""))</f>
        <v>14:30-22:00</v>
      </c>
      <c r="U77" s="2" t="str">
        <f>IF(IFERROR(VLOOKUP($B77,Morning_Shift!$B$4:$BJ$61,MATCH(Both_Shift_Roster!U$2,Morning_Shift!$B$2:$BJ$2,0),0),"")="",IFERROR(VLOOKUP($B77,Evening_Shift!$B$4:$BJ$62,MATCH(Both_Shift_Roster!U$2,Evening_Shift!$B$2:$BJ$2,0),0),""),IFERROR(VLOOKUP($B77,Morning_Shift!$B$4:$BJ$61,MATCH(Both_Shift_Roster!U$2,Morning_Shift!$B$2:$BJ$2,0),0),""))</f>
        <v>14:30-22:00</v>
      </c>
      <c r="V77" s="2" t="str">
        <f>IF(IFERROR(VLOOKUP($B77,Morning_Shift!$B$4:$BJ$61,MATCH(Both_Shift_Roster!V$2,Morning_Shift!$B$2:$BJ$2,0),0),"")="",IFERROR(VLOOKUP($B77,Evening_Shift!$B$4:$BJ$62,MATCH(Both_Shift_Roster!V$2,Evening_Shift!$B$2:$BJ$2,0),0),""),IFERROR(VLOOKUP($B77,Morning_Shift!$B$4:$BJ$61,MATCH(Both_Shift_Roster!V$2,Morning_Shift!$B$2:$BJ$2,0),0),""))</f>
        <v>14:30-22:00</v>
      </c>
      <c r="W77" s="2" t="str">
        <f>IF(IFERROR(VLOOKUP($B77,Morning_Shift!$B$4:$BJ$61,MATCH(Both_Shift_Roster!W$2,Morning_Shift!$B$2:$BJ$2,0),0),"")="",IFERROR(VLOOKUP($B77,Evening_Shift!$B$4:$BJ$62,MATCH(Both_Shift_Roster!W$2,Evening_Shift!$B$2:$BJ$2,0),0),""),IFERROR(VLOOKUP($B77,Morning_Shift!$B$4:$BJ$61,MATCH(Both_Shift_Roster!W$2,Morning_Shift!$B$2:$BJ$2,0),0),""))</f>
        <v>14:30-22:00</v>
      </c>
      <c r="X77" s="2" t="str">
        <f>IF(IFERROR(VLOOKUP($B77,Morning_Shift!$B$4:$BJ$61,MATCH(Both_Shift_Roster!X$2,Morning_Shift!$B$2:$BJ$2,0),0),"")="",IFERROR(VLOOKUP($B77,Evening_Shift!$B$4:$BJ$62,MATCH(Both_Shift_Roster!X$2,Evening_Shift!$B$2:$BJ$2,0),0),""),IFERROR(VLOOKUP($B77,Morning_Shift!$B$4:$BJ$61,MATCH(Both_Shift_Roster!X$2,Morning_Shift!$B$2:$BJ$2,0),0),""))</f>
        <v>14:30-22:00</v>
      </c>
      <c r="Y77" s="2" t="str">
        <f>IF(IFERROR(VLOOKUP($B77,Morning_Shift!$B$4:$BJ$61,MATCH(Both_Shift_Roster!Y$2,Morning_Shift!$B$2:$BJ$2,0),0),"")="",IFERROR(VLOOKUP($B77,Evening_Shift!$B$4:$BJ$62,MATCH(Both_Shift_Roster!Y$2,Evening_Shift!$B$2:$BJ$2,0),0),""),IFERROR(VLOOKUP($B77,Morning_Shift!$B$4:$BJ$61,MATCH(Both_Shift_Roster!Y$2,Morning_Shift!$B$2:$BJ$2,0),0),""))</f>
        <v>14:30-22:00</v>
      </c>
      <c r="Z77" s="2">
        <f t="shared" si="46"/>
        <v>0</v>
      </c>
      <c r="AA77" s="2">
        <f t="shared" si="47"/>
        <v>0</v>
      </c>
      <c r="AB77" s="2">
        <f t="shared" si="48"/>
        <v>0</v>
      </c>
      <c r="AC77" s="2">
        <f t="shared" si="49"/>
        <v>0</v>
      </c>
      <c r="AD77" s="2">
        <f t="shared" si="50"/>
        <v>0</v>
      </c>
      <c r="AE77" s="2" t="str">
        <f>IF(IFERROR(VLOOKUP($B77,Morning_Shift!$B$4:$BJ$61,MATCH(Both_Shift_Roster!AE$2,Morning_Shift!$B$2:$BJ$2,0),0),"")="",IFERROR(VLOOKUP($B77,Evening_Shift!$B$4:$BJ$62,MATCH(Both_Shift_Roster!AE$2,Evening_Shift!$B$2:$BJ$2,0),0),""),IFERROR(VLOOKUP($B77,Morning_Shift!$B$4:$BJ$61,MATCH(Both_Shift_Roster!AE$2,Morning_Shift!$B$2:$BJ$2,0),0),""))</f>
        <v>14:30-22:00</v>
      </c>
      <c r="AF77" s="2" t="str">
        <f>IF(IFERROR(VLOOKUP($B77,Morning_Shift!$B$4:$BJ$61,MATCH(Both_Shift_Roster!AF$2,Morning_Shift!$B$2:$BJ$2,0),0),"")="",IFERROR(VLOOKUP($B77,Evening_Shift!$B$4:$BJ$62,MATCH(Both_Shift_Roster!AF$2,Evening_Shift!$B$2:$BJ$2,0),0),""),IFERROR(VLOOKUP($B77,Morning_Shift!$B$4:$BJ$61,MATCH(Both_Shift_Roster!AF$2,Morning_Shift!$B$2:$BJ$2,0),0),""))</f>
        <v>14:30-22:00</v>
      </c>
      <c r="AG77" s="2" t="str">
        <f>IF(IFERROR(VLOOKUP($B77,Morning_Shift!$B$4:$BJ$61,MATCH(Both_Shift_Roster!AG$2,Morning_Shift!$B$2:$BJ$2,0),0),"")="",IFERROR(VLOOKUP($B77,Evening_Shift!$B$4:$BJ$62,MATCH(Both_Shift_Roster!AG$2,Evening_Shift!$B$2:$BJ$2,0),0),""),IFERROR(VLOOKUP($B77,Morning_Shift!$B$4:$BJ$61,MATCH(Both_Shift_Roster!AG$2,Morning_Shift!$B$2:$BJ$2,0),0),""))</f>
        <v>Agent Choice WO</v>
      </c>
      <c r="AH77" s="2" t="str">
        <f>IF(IFERROR(VLOOKUP($B77,Morning_Shift!$B$4:$BJ$61,MATCH(Both_Shift_Roster!AH$2,Morning_Shift!$B$2:$BJ$2,0),0),"")="",IFERROR(VLOOKUP($B77,Evening_Shift!$B$4:$BJ$62,MATCH(Both_Shift_Roster!AH$2,Evening_Shift!$B$2:$BJ$2,0),0),""),IFERROR(VLOOKUP($B77,Morning_Shift!$B$4:$BJ$61,MATCH(Both_Shift_Roster!AH$2,Morning_Shift!$B$2:$BJ$2,0),0),""))</f>
        <v>14:30-22:00</v>
      </c>
      <c r="AI77" s="2" t="str">
        <f>IF(IFERROR(VLOOKUP($B77,Morning_Shift!$B$4:$BJ$61,MATCH(Both_Shift_Roster!AI$2,Morning_Shift!$B$2:$BJ$2,0),0),"")="",IFERROR(VLOOKUP($B77,Evening_Shift!$B$4:$BJ$62,MATCH(Both_Shift_Roster!AI$2,Evening_Shift!$B$2:$BJ$2,0),0),""),IFERROR(VLOOKUP($B77,Morning_Shift!$B$4:$BJ$61,MATCH(Both_Shift_Roster!AI$2,Morning_Shift!$B$2:$BJ$2,0),0),""))</f>
        <v>14:30-22:00</v>
      </c>
      <c r="AJ77" s="2" t="str">
        <f>IF(IFERROR(VLOOKUP($B77,Morning_Shift!$B$4:$BJ$61,MATCH(Both_Shift_Roster!AJ$2,Morning_Shift!$B$2:$BJ$2,0),0),"")="",IFERROR(VLOOKUP($B77,Evening_Shift!$B$4:$BJ$62,MATCH(Both_Shift_Roster!AJ$2,Evening_Shift!$B$2:$BJ$2,0),0),""),IFERROR(VLOOKUP($B77,Morning_Shift!$B$4:$BJ$61,MATCH(Both_Shift_Roster!AJ$2,Morning_Shift!$B$2:$BJ$2,0),0),""))</f>
        <v>14:30-22:00</v>
      </c>
      <c r="AK77" s="2" t="str">
        <f>IF(IFERROR(VLOOKUP($B77,Morning_Shift!$B$4:$BJ$61,MATCH(Both_Shift_Roster!AK$2,Morning_Shift!$B$2:$BJ$2,0),0),"")="",IFERROR(VLOOKUP($B77,Evening_Shift!$B$4:$BJ$62,MATCH(Both_Shift_Roster!AK$2,Evening_Shift!$B$2:$BJ$2,0),0),""),IFERROR(VLOOKUP($B77,Morning_Shift!$B$4:$BJ$61,MATCH(Both_Shift_Roster!AK$2,Morning_Shift!$B$2:$BJ$2,0),0),""))</f>
        <v>14:30-22:00</v>
      </c>
      <c r="AL77" s="2">
        <f t="shared" si="51"/>
        <v>1</v>
      </c>
      <c r="AM77" s="2">
        <f t="shared" si="52"/>
        <v>0</v>
      </c>
      <c r="AN77" s="2">
        <f t="shared" si="53"/>
        <v>0</v>
      </c>
      <c r="AO77" s="2">
        <f t="shared" si="54"/>
        <v>0</v>
      </c>
      <c r="AP77" s="2">
        <f t="shared" si="55"/>
        <v>0</v>
      </c>
      <c r="AQ77" s="2" t="str">
        <f>IF(IFERROR(VLOOKUP($B77,Morning_Shift!$B$4:$BJ$61,MATCH(Both_Shift_Roster!AQ$2,Morning_Shift!$B$2:$BJ$2,0),0),"")="",IFERROR(VLOOKUP($B77,Evening_Shift!$B$4:$BJ$62,MATCH(Both_Shift_Roster!AQ$2,Evening_Shift!$B$2:$BJ$2,0),0),""),IFERROR(VLOOKUP($B77,Morning_Shift!$B$4:$BJ$61,MATCH(Both_Shift_Roster!AQ$2,Morning_Shift!$B$2:$BJ$2,0),0),""))</f>
        <v>14:30-22:00</v>
      </c>
      <c r="AR77" s="2" t="str">
        <f>IF(IFERROR(VLOOKUP($B77,Morning_Shift!$B$4:$BJ$61,MATCH(Both_Shift_Roster!AR$2,Morning_Shift!$B$2:$BJ$2,0),0),"")="",IFERROR(VLOOKUP($B77,Evening_Shift!$B$4:$BJ$62,MATCH(Both_Shift_Roster!AR$2,Evening_Shift!$B$2:$BJ$2,0),0),""),IFERROR(VLOOKUP($B77,Morning_Shift!$B$4:$BJ$61,MATCH(Both_Shift_Roster!AR$2,Morning_Shift!$B$2:$BJ$2,0),0),""))</f>
        <v>14:30-22:00</v>
      </c>
      <c r="AS77" s="2" t="str">
        <f>IF(IFERROR(VLOOKUP($B77,Morning_Shift!$B$4:$BJ$61,MATCH(Both_Shift_Roster!AS$2,Morning_Shift!$B$2:$BJ$2,0),0),"")="",IFERROR(VLOOKUP($B77,Evening_Shift!$B$4:$BJ$62,MATCH(Both_Shift_Roster!AS$2,Evening_Shift!$B$2:$BJ$2,0),0),""),IFERROR(VLOOKUP($B77,Morning_Shift!$B$4:$BJ$61,MATCH(Both_Shift_Roster!AS$2,Morning_Shift!$B$2:$BJ$2,0),0),""))</f>
        <v>14:30-22:00</v>
      </c>
      <c r="AT77" s="2" t="str">
        <f>IF(IFERROR(VLOOKUP($B77,Morning_Shift!$B$4:$BJ$61,MATCH(Both_Shift_Roster!AT$2,Morning_Shift!$B$2:$BJ$2,0),0),"")="",IFERROR(VLOOKUP($B77,Evening_Shift!$B$4:$BJ$62,MATCH(Both_Shift_Roster!AT$2,Evening_Shift!$B$2:$BJ$2,0),0),""),IFERROR(VLOOKUP($B77,Morning_Shift!$B$4:$BJ$61,MATCH(Both_Shift_Roster!AT$2,Morning_Shift!$B$2:$BJ$2,0),0),""))</f>
        <v>14:30-22:00</v>
      </c>
      <c r="AU77" s="2" t="str">
        <f>IF(IFERROR(VLOOKUP($B77,Morning_Shift!$B$4:$BJ$61,MATCH(Both_Shift_Roster!AU$2,Morning_Shift!$B$2:$BJ$2,0),0),"")="",IFERROR(VLOOKUP($B77,Evening_Shift!$B$4:$BJ$62,MATCH(Both_Shift_Roster!AU$2,Evening_Shift!$B$2:$BJ$2,0),0),""),IFERROR(VLOOKUP($B77,Morning_Shift!$B$4:$BJ$61,MATCH(Both_Shift_Roster!AU$2,Morning_Shift!$B$2:$BJ$2,0),0),""))</f>
        <v>Agent Choice WO</v>
      </c>
      <c r="AV77" s="2" t="str">
        <f>IF(IFERROR(VLOOKUP($B77,Morning_Shift!$B$4:$BJ$61,MATCH(Both_Shift_Roster!AV$2,Morning_Shift!$B$2:$BJ$2,0),0),"")="",IFERROR(VLOOKUP($B77,Evening_Shift!$B$4:$BJ$62,MATCH(Both_Shift_Roster!AV$2,Evening_Shift!$B$2:$BJ$2,0),0),""),IFERROR(VLOOKUP($B77,Morning_Shift!$B$4:$BJ$61,MATCH(Both_Shift_Roster!AV$2,Morning_Shift!$B$2:$BJ$2,0),0),""))</f>
        <v>Agent Choice WO</v>
      </c>
      <c r="AW77" s="2" t="str">
        <f>IF(IFERROR(VLOOKUP($B77,Morning_Shift!$B$4:$BJ$61,MATCH(Both_Shift_Roster!AW$2,Morning_Shift!$B$2:$BJ$2,0),0),"")="",IFERROR(VLOOKUP($B77,Evening_Shift!$B$4:$BJ$62,MATCH(Both_Shift_Roster!AW$2,Evening_Shift!$B$2:$BJ$2,0),0),""),IFERROR(VLOOKUP($B77,Morning_Shift!$B$4:$BJ$61,MATCH(Both_Shift_Roster!AW$2,Morning_Shift!$B$2:$BJ$2,0),0),""))</f>
        <v>14:30-22:00</v>
      </c>
      <c r="AX77" s="2">
        <f t="shared" si="56"/>
        <v>2</v>
      </c>
      <c r="AY77" s="2">
        <f t="shared" si="57"/>
        <v>0</v>
      </c>
      <c r="AZ77" s="2">
        <f t="shared" si="58"/>
        <v>0</v>
      </c>
      <c r="BA77" s="2">
        <f t="shared" si="59"/>
        <v>0</v>
      </c>
      <c r="BB77" s="2">
        <f t="shared" si="60"/>
        <v>0</v>
      </c>
      <c r="BC77" s="2" t="str">
        <f>IF(IFERROR(VLOOKUP($B77,Morning_Shift!$B$4:$BJ$61,MATCH(Both_Shift_Roster!BC$2,Morning_Shift!$B$2:$BJ$2,0),0),"")="",IFERROR(VLOOKUP($B77,Evening_Shift!$B$4:$BJ$62,MATCH(Both_Shift_Roster!BC$2,Evening_Shift!$B$2:$BJ$2,0),0),""),IFERROR(VLOOKUP($B77,Morning_Shift!$B$4:$BJ$61,MATCH(Both_Shift_Roster!BC$2,Morning_Shift!$B$2:$BJ$2,0),0),""))</f>
        <v>14:30-22:00</v>
      </c>
      <c r="BD77" s="2" t="str">
        <f>IF(IFERROR(VLOOKUP($B77,Morning_Shift!$B$4:$BJ$61,MATCH(Both_Shift_Roster!BD$2,Morning_Shift!$B$2:$BJ$2,0),0),"")="",IFERROR(VLOOKUP($B77,Evening_Shift!$B$4:$BJ$62,MATCH(Both_Shift_Roster!BD$2,Evening_Shift!$B$2:$BJ$2,0),0),""),IFERROR(VLOOKUP($B77,Morning_Shift!$B$4:$BJ$61,MATCH(Both_Shift_Roster!BD$2,Morning_Shift!$B$2:$BJ$2,0),0),""))</f>
        <v>14:30-22:00</v>
      </c>
      <c r="BE77" s="2" t="str">
        <f>IF(IFERROR(VLOOKUP($B77,Morning_Shift!$B$4:$BJ$61,MATCH(Both_Shift_Roster!BE$2,Morning_Shift!$B$2:$BJ$2,0),0),"")="",IFERROR(VLOOKUP($B77,Evening_Shift!$B$4:$BJ$59,MATCH(Both_Shift_Roster!BE$2,Evening_Shift!$B$2:$BJ$2,0),0),""),IFERROR(VLOOKUP($B77,Morning_Shift!$B$4:$BJ$61,MATCH(Both_Shift_Roster!BE$2,Morning_Shift!$B$2:$BJ$2,0),0),""))</f>
        <v>14:30-22:00</v>
      </c>
      <c r="BF77" s="2">
        <f t="shared" si="61"/>
        <v>0</v>
      </c>
      <c r="BG77" s="2">
        <f t="shared" si="62"/>
        <v>0</v>
      </c>
      <c r="BH77" s="2">
        <f t="shared" si="63"/>
        <v>0</v>
      </c>
      <c r="BI77" s="2">
        <f t="shared" si="64"/>
        <v>0</v>
      </c>
      <c r="BJ77" s="2">
        <f t="shared" si="65"/>
        <v>0</v>
      </c>
    </row>
    <row r="78" spans="1:62">
      <c r="A78" s="17">
        <f t="shared" si="66"/>
        <v>75</v>
      </c>
      <c r="B78" s="16" t="str">
        <f>Evening_Shift!$B20</f>
        <v>Dritm61</v>
      </c>
      <c r="C78" s="21" t="str">
        <f>IF(IFERROR(VLOOKUP(B78,Morning_Shift!B:C,2,0),"")="",IFERROR(VLOOKUP(B78,Evening_Shift!B:C,2,0),""),IFERROR(VLOOKUP(B78,Morning_Shift!B:C,2,0),""))</f>
        <v>Aman Nanak</v>
      </c>
      <c r="D78" s="15" t="str">
        <f>IF(IFERROR(VLOOKUP(B78,Morning_Shift!B:D,3,0),"")="",IFERROR(VLOOKUP(B78,Evening_Shift!B:D,3,0),""),IFERROR(VLOOKUP(B78,Morning_Shift!B:D,3,0),""))</f>
        <v xml:space="preserve">Sanjesh </v>
      </c>
      <c r="E78" s="4" t="str">
        <f>IF(IFERROR(VLOOKUP(B78,Morning_Shift!B:E,4,0),"")="",IFERROR(VLOOKUP(B78,Evening_Shift!B:E,4,0),""),IFERROR(VLOOKUP(B78,Morning_Shift!B:E,4,0),""))</f>
        <v>M</v>
      </c>
      <c r="F78" s="5" t="str">
        <f>IF(IFERROR(VLOOKUP(B78,Morning_Shift!B:F,5,0),"")="",IFERROR(VLOOKUP(B78,Evening_Shift!B:F,5,0),""),IFERROR(VLOOKUP(B78,Morning_Shift!B:F,5,0),""))</f>
        <v>Himseva manual preview</v>
      </c>
      <c r="G78" s="2" t="str">
        <f>IF(IFERROR(VLOOKUP($B78,Morning_Shift!$B$4:$BJ$61,MATCH(Both_Shift_Roster!G$2,Morning_Shift!$B$2:$BJ$2,0),0),"")="",IFERROR(VLOOKUP($B78,Evening_Shift!$B$4:$BJ$62,MATCH(Both_Shift_Roster!G$2,Evening_Shift!$B$2:$BJ$2,0),0),""),IFERROR(VLOOKUP($B78,Morning_Shift!$B$4:$BJ$61,MATCH(Both_Shift_Roster!G$2,Morning_Shift!$B$2:$BJ$2,0),0),""))</f>
        <v>14:30-22:00</v>
      </c>
      <c r="H78" s="2" t="str">
        <f>IF(IFERROR(VLOOKUP($B78,Morning_Shift!$B$4:$BJ$61,MATCH(Both_Shift_Roster!H$2,Morning_Shift!$B$2:$BJ$2,0),0),"")="",IFERROR(VLOOKUP($B78,Evening_Shift!$B$4:$BJ$62,MATCH(Both_Shift_Roster!H$2,Evening_Shift!$B$2:$BJ$2,0),0),""),IFERROR(VLOOKUP($B78,Morning_Shift!$B$4:$BJ$61,MATCH(Both_Shift_Roster!H$2,Morning_Shift!$B$2:$BJ$2,0),0),""))</f>
        <v>14:30-22:00</v>
      </c>
      <c r="I78" s="2" t="str">
        <f>IF(IFERROR(VLOOKUP($B78,Morning_Shift!$B$4:$BJ$61,MATCH(Both_Shift_Roster!I$2,Morning_Shift!$B$2:$BJ$2,0),0),"")="",IFERROR(VLOOKUP($B78,Evening_Shift!$B$4:$BJ$62,MATCH(Both_Shift_Roster!I$2,Evening_Shift!$B$2:$BJ$2,0),0),""),IFERROR(VLOOKUP($B78,Morning_Shift!$B$4:$BJ$61,MATCH(Both_Shift_Roster!I$2,Morning_Shift!$B$2:$BJ$2,0),0),""))</f>
        <v>14:30-22:00</v>
      </c>
      <c r="J78" s="2" t="str">
        <f>IF(IFERROR(VLOOKUP($B78,Morning_Shift!$B$4:$BJ$61,MATCH(Both_Shift_Roster!J$2,Morning_Shift!$B$2:$BJ$2,0),0),"")="",IFERROR(VLOOKUP($B78,Evening_Shift!$B$4:$BJ$62,MATCH(Both_Shift_Roster!J$2,Evening_Shift!$B$2:$BJ$2,0),0),""),IFERROR(VLOOKUP($B78,Morning_Shift!$B$4:$BJ$61,MATCH(Both_Shift_Roster!J$2,Morning_Shift!$B$2:$BJ$2,0),0),""))</f>
        <v>14:30-22:00</v>
      </c>
      <c r="K78" s="2" t="str">
        <f>IF(IFERROR(VLOOKUP($B78,Morning_Shift!$B$4:$BJ$61,MATCH(Both_Shift_Roster!K$2,Morning_Shift!$B$2:$BJ$2,0),0),"")="",IFERROR(VLOOKUP($B78,Evening_Shift!$B$4:$BJ$62,MATCH(Both_Shift_Roster!K$2,Evening_Shift!$B$2:$BJ$2,0),0),""),IFERROR(VLOOKUP($B78,Morning_Shift!$B$4:$BJ$61,MATCH(Both_Shift_Roster!K$2,Morning_Shift!$B$2:$BJ$2,0),0),""))</f>
        <v>14:30-22:00</v>
      </c>
      <c r="L78" s="2" t="str">
        <f>IF(IFERROR(VLOOKUP($B78,Morning_Shift!$B$4:$BJ$61,MATCH(Both_Shift_Roster!L$2,Morning_Shift!$B$2:$BJ$2,0),0),"")="",IFERROR(VLOOKUP($B78,Evening_Shift!$B$4:$BJ$62,MATCH(Both_Shift_Roster!L$2,Evening_Shift!$B$2:$BJ$2,0),0),""),IFERROR(VLOOKUP($B78,Morning_Shift!$B$4:$BJ$61,MATCH(Both_Shift_Roster!L$2,Morning_Shift!$B$2:$BJ$2,0),0),""))</f>
        <v>14:30-22:00</v>
      </c>
      <c r="M78" s="2" t="str">
        <f>IF(IFERROR(VLOOKUP($B78,Morning_Shift!$B$4:$BJ$61,MATCH(Both_Shift_Roster!M$2,Morning_Shift!$B$2:$BJ$2,0),0),"")="",IFERROR(VLOOKUP($B78,Evening_Shift!$B$4:$BJ$62,MATCH(Both_Shift_Roster!M$2,Evening_Shift!$B$2:$BJ$2,0),0),""),IFERROR(VLOOKUP($B78,Morning_Shift!$B$4:$BJ$61,MATCH(Both_Shift_Roster!M$2,Morning_Shift!$B$2:$BJ$2,0),0),""))</f>
        <v>14:30-22:00</v>
      </c>
      <c r="N78" s="2">
        <f t="shared" si="41"/>
        <v>0</v>
      </c>
      <c r="O78" s="2">
        <f t="shared" si="42"/>
        <v>0</v>
      </c>
      <c r="P78" s="2">
        <f t="shared" si="43"/>
        <v>0</v>
      </c>
      <c r="Q78" s="2">
        <f t="shared" si="44"/>
        <v>0</v>
      </c>
      <c r="R78" s="2">
        <f t="shared" si="45"/>
        <v>0</v>
      </c>
      <c r="S78" s="2" t="str">
        <f>IF(IFERROR(VLOOKUP($B78,Morning_Shift!$B$4:$BJ$61,MATCH(Both_Shift_Roster!S$2,Morning_Shift!$B$2:$BJ$2,0),0),"")="",IFERROR(VLOOKUP($B78,Evening_Shift!$B$4:$BJ$62,MATCH(Both_Shift_Roster!S$2,Evening_Shift!$B$2:$BJ$2,0),0),""),IFERROR(VLOOKUP($B78,Morning_Shift!$B$4:$BJ$61,MATCH(Both_Shift_Roster!S$2,Morning_Shift!$B$2:$BJ$2,0),0),""))</f>
        <v>14:30-22:00</v>
      </c>
      <c r="T78" s="2" t="str">
        <f>IF(IFERROR(VLOOKUP($B78,Morning_Shift!$B$4:$BJ$61,MATCH(Both_Shift_Roster!T$2,Morning_Shift!$B$2:$BJ$2,0),0),"")="",IFERROR(VLOOKUP($B78,Evening_Shift!$B$4:$BJ$62,MATCH(Both_Shift_Roster!T$2,Evening_Shift!$B$2:$BJ$2,0),0),""),IFERROR(VLOOKUP($B78,Morning_Shift!$B$4:$BJ$61,MATCH(Both_Shift_Roster!T$2,Morning_Shift!$B$2:$BJ$2,0),0),""))</f>
        <v>14:30-22:00</v>
      </c>
      <c r="U78" s="2" t="str">
        <f>IF(IFERROR(VLOOKUP($B78,Morning_Shift!$B$4:$BJ$61,MATCH(Both_Shift_Roster!U$2,Morning_Shift!$B$2:$BJ$2,0),0),"")="",IFERROR(VLOOKUP($B78,Evening_Shift!$B$4:$BJ$62,MATCH(Both_Shift_Roster!U$2,Evening_Shift!$B$2:$BJ$2,0),0),""),IFERROR(VLOOKUP($B78,Morning_Shift!$B$4:$BJ$61,MATCH(Both_Shift_Roster!U$2,Morning_Shift!$B$2:$BJ$2,0),0),""))</f>
        <v>14:30-22:00</v>
      </c>
      <c r="V78" s="2" t="str">
        <f>IF(IFERROR(VLOOKUP($B78,Morning_Shift!$B$4:$BJ$61,MATCH(Both_Shift_Roster!V$2,Morning_Shift!$B$2:$BJ$2,0),0),"")="",IFERROR(VLOOKUP($B78,Evening_Shift!$B$4:$BJ$62,MATCH(Both_Shift_Roster!V$2,Evening_Shift!$B$2:$BJ$2,0),0),""),IFERROR(VLOOKUP($B78,Morning_Shift!$B$4:$BJ$61,MATCH(Both_Shift_Roster!V$2,Morning_Shift!$B$2:$BJ$2,0),0),""))</f>
        <v>14:30-22:00</v>
      </c>
      <c r="W78" s="2" t="str">
        <f>IF(IFERROR(VLOOKUP($B78,Morning_Shift!$B$4:$BJ$61,MATCH(Both_Shift_Roster!W$2,Morning_Shift!$B$2:$BJ$2,0),0),"")="",IFERROR(VLOOKUP($B78,Evening_Shift!$B$4:$BJ$62,MATCH(Both_Shift_Roster!W$2,Evening_Shift!$B$2:$BJ$2,0),0),""),IFERROR(VLOOKUP($B78,Morning_Shift!$B$4:$BJ$61,MATCH(Both_Shift_Roster!W$2,Morning_Shift!$B$2:$BJ$2,0),0),""))</f>
        <v>14:30-22:00</v>
      </c>
      <c r="X78" s="2" t="str">
        <f>IF(IFERROR(VLOOKUP($B78,Morning_Shift!$B$4:$BJ$61,MATCH(Both_Shift_Roster!X$2,Morning_Shift!$B$2:$BJ$2,0),0),"")="",IFERROR(VLOOKUP($B78,Evening_Shift!$B$4:$BJ$62,MATCH(Both_Shift_Roster!X$2,Evening_Shift!$B$2:$BJ$2,0),0),""),IFERROR(VLOOKUP($B78,Morning_Shift!$B$4:$BJ$61,MATCH(Both_Shift_Roster!X$2,Morning_Shift!$B$2:$BJ$2,0),0),""))</f>
        <v>14:30-22:00</v>
      </c>
      <c r="Y78" s="2" t="str">
        <f>IF(IFERROR(VLOOKUP($B78,Morning_Shift!$B$4:$BJ$61,MATCH(Both_Shift_Roster!Y$2,Morning_Shift!$B$2:$BJ$2,0),0),"")="",IFERROR(VLOOKUP($B78,Evening_Shift!$B$4:$BJ$62,MATCH(Both_Shift_Roster!Y$2,Evening_Shift!$B$2:$BJ$2,0),0),""),IFERROR(VLOOKUP($B78,Morning_Shift!$B$4:$BJ$61,MATCH(Both_Shift_Roster!Y$2,Morning_Shift!$B$2:$BJ$2,0),0),""))</f>
        <v>14:30-22:00</v>
      </c>
      <c r="Z78" s="2">
        <f t="shared" si="46"/>
        <v>0</v>
      </c>
      <c r="AA78" s="2">
        <f t="shared" si="47"/>
        <v>0</v>
      </c>
      <c r="AB78" s="2">
        <f t="shared" si="48"/>
        <v>0</v>
      </c>
      <c r="AC78" s="2">
        <f t="shared" si="49"/>
        <v>0</v>
      </c>
      <c r="AD78" s="2">
        <f t="shared" si="50"/>
        <v>0</v>
      </c>
      <c r="AE78" s="2" t="str">
        <f>IF(IFERROR(VLOOKUP($B78,Morning_Shift!$B$4:$BJ$61,MATCH(Both_Shift_Roster!AE$2,Morning_Shift!$B$2:$BJ$2,0),0),"")="",IFERROR(VLOOKUP($B78,Evening_Shift!$B$4:$BJ$62,MATCH(Both_Shift_Roster!AE$2,Evening_Shift!$B$2:$BJ$2,0),0),""),IFERROR(VLOOKUP($B78,Morning_Shift!$B$4:$BJ$61,MATCH(Both_Shift_Roster!AE$2,Morning_Shift!$B$2:$BJ$2,0),0),""))</f>
        <v>14:30-22:00</v>
      </c>
      <c r="AF78" s="2" t="str">
        <f>IF(IFERROR(VLOOKUP($B78,Morning_Shift!$B$4:$BJ$61,MATCH(Both_Shift_Roster!AF$2,Morning_Shift!$B$2:$BJ$2,0),0),"")="",IFERROR(VLOOKUP($B78,Evening_Shift!$B$4:$BJ$62,MATCH(Both_Shift_Roster!AF$2,Evening_Shift!$B$2:$BJ$2,0),0),""),IFERROR(VLOOKUP($B78,Morning_Shift!$B$4:$BJ$61,MATCH(Both_Shift_Roster!AF$2,Morning_Shift!$B$2:$BJ$2,0),0),""))</f>
        <v>14:30-22:00</v>
      </c>
      <c r="AG78" s="2" t="str">
        <f>IF(IFERROR(VLOOKUP($B78,Morning_Shift!$B$4:$BJ$61,MATCH(Both_Shift_Roster!AG$2,Morning_Shift!$B$2:$BJ$2,0),0),"")="",IFERROR(VLOOKUP($B78,Evening_Shift!$B$4:$BJ$62,MATCH(Both_Shift_Roster!AG$2,Evening_Shift!$B$2:$BJ$2,0),0),""),IFERROR(VLOOKUP($B78,Morning_Shift!$B$4:$BJ$61,MATCH(Both_Shift_Roster!AG$2,Morning_Shift!$B$2:$BJ$2,0),0),""))</f>
        <v>14:30-22:00</v>
      </c>
      <c r="AH78" s="2" t="str">
        <f>IF(IFERROR(VLOOKUP($B78,Morning_Shift!$B$4:$BJ$61,MATCH(Both_Shift_Roster!AH$2,Morning_Shift!$B$2:$BJ$2,0),0),"")="",IFERROR(VLOOKUP($B78,Evening_Shift!$B$4:$BJ$62,MATCH(Both_Shift_Roster!AH$2,Evening_Shift!$B$2:$BJ$2,0),0),""),IFERROR(VLOOKUP($B78,Morning_Shift!$B$4:$BJ$61,MATCH(Both_Shift_Roster!AH$2,Morning_Shift!$B$2:$BJ$2,0),0),""))</f>
        <v>Agent Choice WO</v>
      </c>
      <c r="AI78" s="2" t="str">
        <f>IF(IFERROR(VLOOKUP($B78,Morning_Shift!$B$4:$BJ$61,MATCH(Both_Shift_Roster!AI$2,Morning_Shift!$B$2:$BJ$2,0),0),"")="",IFERROR(VLOOKUP($B78,Evening_Shift!$B$4:$BJ$62,MATCH(Both_Shift_Roster!AI$2,Evening_Shift!$B$2:$BJ$2,0),0),""),IFERROR(VLOOKUP($B78,Morning_Shift!$B$4:$BJ$61,MATCH(Both_Shift_Roster!AI$2,Morning_Shift!$B$2:$BJ$2,0),0),""))</f>
        <v>14:30-22:00</v>
      </c>
      <c r="AJ78" s="2" t="str">
        <f>IF(IFERROR(VLOOKUP($B78,Morning_Shift!$B$4:$BJ$61,MATCH(Both_Shift_Roster!AJ$2,Morning_Shift!$B$2:$BJ$2,0),0),"")="",IFERROR(VLOOKUP($B78,Evening_Shift!$B$4:$BJ$62,MATCH(Both_Shift_Roster!AJ$2,Evening_Shift!$B$2:$BJ$2,0),0),""),IFERROR(VLOOKUP($B78,Morning_Shift!$B$4:$BJ$61,MATCH(Both_Shift_Roster!AJ$2,Morning_Shift!$B$2:$BJ$2,0),0),""))</f>
        <v>14:30-22:00</v>
      </c>
      <c r="AK78" s="2" t="str">
        <f>IF(IFERROR(VLOOKUP($B78,Morning_Shift!$B$4:$BJ$61,MATCH(Both_Shift_Roster!AK$2,Morning_Shift!$B$2:$BJ$2,0),0),"")="",IFERROR(VLOOKUP($B78,Evening_Shift!$B$4:$BJ$62,MATCH(Both_Shift_Roster!AK$2,Evening_Shift!$B$2:$BJ$2,0),0),""),IFERROR(VLOOKUP($B78,Morning_Shift!$B$4:$BJ$61,MATCH(Both_Shift_Roster!AK$2,Morning_Shift!$B$2:$BJ$2,0),0),""))</f>
        <v>14:30-22:00</v>
      </c>
      <c r="AL78" s="2">
        <f t="shared" si="51"/>
        <v>1</v>
      </c>
      <c r="AM78" s="2">
        <f t="shared" si="52"/>
        <v>0</v>
      </c>
      <c r="AN78" s="2">
        <f t="shared" si="53"/>
        <v>0</v>
      </c>
      <c r="AO78" s="2">
        <f t="shared" si="54"/>
        <v>0</v>
      </c>
      <c r="AP78" s="2">
        <f t="shared" si="55"/>
        <v>0</v>
      </c>
      <c r="AQ78" s="2" t="str">
        <f>IF(IFERROR(VLOOKUP($B78,Morning_Shift!$B$4:$BJ$61,MATCH(Both_Shift_Roster!AQ$2,Morning_Shift!$B$2:$BJ$2,0),0),"")="",IFERROR(VLOOKUP($B78,Evening_Shift!$B$4:$BJ$62,MATCH(Both_Shift_Roster!AQ$2,Evening_Shift!$B$2:$BJ$2,0),0),""),IFERROR(VLOOKUP($B78,Morning_Shift!$B$4:$BJ$61,MATCH(Both_Shift_Roster!AQ$2,Morning_Shift!$B$2:$BJ$2,0),0),""))</f>
        <v>14:30-22:00</v>
      </c>
      <c r="AR78" s="2" t="str">
        <f>IF(IFERROR(VLOOKUP($B78,Morning_Shift!$B$4:$BJ$61,MATCH(Both_Shift_Roster!AR$2,Morning_Shift!$B$2:$BJ$2,0),0),"")="",IFERROR(VLOOKUP($B78,Evening_Shift!$B$4:$BJ$62,MATCH(Both_Shift_Roster!AR$2,Evening_Shift!$B$2:$BJ$2,0),0),""),IFERROR(VLOOKUP($B78,Morning_Shift!$B$4:$BJ$61,MATCH(Both_Shift_Roster!AR$2,Morning_Shift!$B$2:$BJ$2,0),0),""))</f>
        <v>14:30-22:00</v>
      </c>
      <c r="AS78" s="2" t="str">
        <f>IF(IFERROR(VLOOKUP($B78,Morning_Shift!$B$4:$BJ$61,MATCH(Both_Shift_Roster!AS$2,Morning_Shift!$B$2:$BJ$2,0),0),"")="",IFERROR(VLOOKUP($B78,Evening_Shift!$B$4:$BJ$62,MATCH(Both_Shift_Roster!AS$2,Evening_Shift!$B$2:$BJ$2,0),0),""),IFERROR(VLOOKUP($B78,Morning_Shift!$B$4:$BJ$61,MATCH(Both_Shift_Roster!AS$2,Morning_Shift!$B$2:$BJ$2,0),0),""))</f>
        <v>14:30-22:00</v>
      </c>
      <c r="AT78" s="2" t="str">
        <f>IF(IFERROR(VLOOKUP($B78,Morning_Shift!$B$4:$BJ$61,MATCH(Both_Shift_Roster!AT$2,Morning_Shift!$B$2:$BJ$2,0),0),"")="",IFERROR(VLOOKUP($B78,Evening_Shift!$B$4:$BJ$62,MATCH(Both_Shift_Roster!AT$2,Evening_Shift!$B$2:$BJ$2,0),0),""),IFERROR(VLOOKUP($B78,Morning_Shift!$B$4:$BJ$61,MATCH(Both_Shift_Roster!AT$2,Morning_Shift!$B$2:$BJ$2,0),0),""))</f>
        <v>14:30-22:00</v>
      </c>
      <c r="AU78" s="2" t="str">
        <f>IF(IFERROR(VLOOKUP($B78,Morning_Shift!$B$4:$BJ$61,MATCH(Both_Shift_Roster!AU$2,Morning_Shift!$B$2:$BJ$2,0),0),"")="",IFERROR(VLOOKUP($B78,Evening_Shift!$B$4:$BJ$62,MATCH(Both_Shift_Roster!AU$2,Evening_Shift!$B$2:$BJ$2,0),0),""),IFERROR(VLOOKUP($B78,Morning_Shift!$B$4:$BJ$61,MATCH(Both_Shift_Roster!AU$2,Morning_Shift!$B$2:$BJ$2,0),0),""))</f>
        <v>14:30-22:00</v>
      </c>
      <c r="AV78" s="2" t="str">
        <f>IF(IFERROR(VLOOKUP($B78,Morning_Shift!$B$4:$BJ$61,MATCH(Both_Shift_Roster!AV$2,Morning_Shift!$B$2:$BJ$2,0),0),"")="",IFERROR(VLOOKUP($B78,Evening_Shift!$B$4:$BJ$62,MATCH(Both_Shift_Roster!AV$2,Evening_Shift!$B$2:$BJ$2,0),0),""),IFERROR(VLOOKUP($B78,Morning_Shift!$B$4:$BJ$61,MATCH(Both_Shift_Roster!AV$2,Morning_Shift!$B$2:$BJ$2,0),0),""))</f>
        <v>14:30-22:00</v>
      </c>
      <c r="AW78" s="2" t="str">
        <f>IF(IFERROR(VLOOKUP($B78,Morning_Shift!$B$4:$BJ$61,MATCH(Both_Shift_Roster!AW$2,Morning_Shift!$B$2:$BJ$2,0),0),"")="",IFERROR(VLOOKUP($B78,Evening_Shift!$B$4:$BJ$62,MATCH(Both_Shift_Roster!AW$2,Evening_Shift!$B$2:$BJ$2,0),0),""),IFERROR(VLOOKUP($B78,Morning_Shift!$B$4:$BJ$61,MATCH(Both_Shift_Roster!AW$2,Morning_Shift!$B$2:$BJ$2,0),0),""))</f>
        <v>14:30-22:00</v>
      </c>
      <c r="AX78" s="2">
        <f t="shared" si="56"/>
        <v>0</v>
      </c>
      <c r="AY78" s="2">
        <f t="shared" si="57"/>
        <v>0</v>
      </c>
      <c r="AZ78" s="2">
        <f t="shared" si="58"/>
        <v>0</v>
      </c>
      <c r="BA78" s="2">
        <f t="shared" si="59"/>
        <v>0</v>
      </c>
      <c r="BB78" s="2">
        <f t="shared" si="60"/>
        <v>0</v>
      </c>
      <c r="BC78" s="2" t="str">
        <f>IF(IFERROR(VLOOKUP($B78,Morning_Shift!$B$4:$BJ$61,MATCH(Both_Shift_Roster!BC$2,Morning_Shift!$B$2:$BJ$2,0),0),"")="",IFERROR(VLOOKUP($B78,Evening_Shift!$B$4:$BJ$62,MATCH(Both_Shift_Roster!BC$2,Evening_Shift!$B$2:$BJ$2,0),0),""),IFERROR(VLOOKUP($B78,Morning_Shift!$B$4:$BJ$61,MATCH(Both_Shift_Roster!BC$2,Morning_Shift!$B$2:$BJ$2,0),0),""))</f>
        <v>Agent Choice WO</v>
      </c>
      <c r="BD78" s="2" t="str">
        <f>IF(IFERROR(VLOOKUP($B78,Morning_Shift!$B$4:$BJ$61,MATCH(Both_Shift_Roster!BD$2,Morning_Shift!$B$2:$BJ$2,0),0),"")="",IFERROR(VLOOKUP($B78,Evening_Shift!$B$4:$BJ$62,MATCH(Both_Shift_Roster!BD$2,Evening_Shift!$B$2:$BJ$2,0),0),""),IFERROR(VLOOKUP($B78,Morning_Shift!$B$4:$BJ$61,MATCH(Both_Shift_Roster!BD$2,Morning_Shift!$B$2:$BJ$2,0),0),""))</f>
        <v>Agent Choice WO</v>
      </c>
      <c r="BE78" s="2" t="str">
        <f>IF(IFERROR(VLOOKUP($B78,Morning_Shift!$B$4:$BJ$61,MATCH(Both_Shift_Roster!BE$2,Morning_Shift!$B$2:$BJ$2,0),0),"")="",IFERROR(VLOOKUP($B78,Evening_Shift!$B$4:$BJ$59,MATCH(Both_Shift_Roster!BE$2,Evening_Shift!$B$2:$BJ$2,0),0),""),IFERROR(VLOOKUP($B78,Morning_Shift!$B$4:$BJ$61,MATCH(Both_Shift_Roster!BE$2,Morning_Shift!$B$2:$BJ$2,0),0),""))</f>
        <v>14:30-22:00</v>
      </c>
      <c r="BF78" s="2">
        <f t="shared" si="61"/>
        <v>2</v>
      </c>
      <c r="BG78" s="2">
        <f t="shared" si="62"/>
        <v>0</v>
      </c>
      <c r="BH78" s="2">
        <f t="shared" si="63"/>
        <v>0</v>
      </c>
      <c r="BI78" s="2">
        <f t="shared" si="64"/>
        <v>0</v>
      </c>
      <c r="BJ78" s="2">
        <f t="shared" si="65"/>
        <v>0</v>
      </c>
    </row>
    <row r="79" spans="1:62">
      <c r="A79" s="17">
        <f t="shared" si="66"/>
        <v>76</v>
      </c>
      <c r="B79" s="16" t="str">
        <f>Evening_Shift!$B21</f>
        <v>Dritm71</v>
      </c>
      <c r="C79" s="21" t="str">
        <f>IF(IFERROR(VLOOKUP(B79,Morning_Shift!B:C,2,0),"")="",IFERROR(VLOOKUP(B79,Evening_Shift!B:C,2,0),""),IFERROR(VLOOKUP(B79,Morning_Shift!B:C,2,0),""))</f>
        <v>Monika Kaushal</v>
      </c>
      <c r="D79" s="15" t="str">
        <f>IF(IFERROR(VLOOKUP(B79,Morning_Shift!B:D,3,0),"")="",IFERROR(VLOOKUP(B79,Evening_Shift!B:D,3,0),""),IFERROR(VLOOKUP(B79,Morning_Shift!B:D,3,0),""))</f>
        <v xml:space="preserve">Sanjesh </v>
      </c>
      <c r="E79" s="4" t="str">
        <f>IF(IFERROR(VLOOKUP(B79,Morning_Shift!B:E,4,0),"")="",IFERROR(VLOOKUP(B79,Evening_Shift!B:E,4,0),""),IFERROR(VLOOKUP(B79,Morning_Shift!B:E,4,0),""))</f>
        <v>F</v>
      </c>
      <c r="F79" s="5" t="str">
        <f>IF(IFERROR(VLOOKUP(B79,Morning_Shift!B:F,5,0),"")="",IFERROR(VLOOKUP(B79,Evening_Shift!B:F,5,0),""),IFERROR(VLOOKUP(B79,Morning_Shift!B:F,5,0),""))</f>
        <v>Inbound</v>
      </c>
      <c r="G79" s="2" t="str">
        <f>IF(IFERROR(VLOOKUP($B79,Morning_Shift!$B$4:$BJ$61,MATCH(Both_Shift_Roster!G$2,Morning_Shift!$B$2:$BJ$2,0),0),"")="",IFERROR(VLOOKUP($B79,Evening_Shift!$B$4:$BJ$62,MATCH(Both_Shift_Roster!G$2,Evening_Shift!$B$2:$BJ$2,0),0),""),IFERROR(VLOOKUP($B79,Morning_Shift!$B$4:$BJ$61,MATCH(Both_Shift_Roster!G$2,Morning_Shift!$B$2:$BJ$2,0),0),""))</f>
        <v>Agent Choice WO</v>
      </c>
      <c r="H79" s="2" t="str">
        <f>IF(IFERROR(VLOOKUP($B79,Morning_Shift!$B$4:$BJ$61,MATCH(Both_Shift_Roster!H$2,Morning_Shift!$B$2:$BJ$2,0),0),"")="",IFERROR(VLOOKUP($B79,Evening_Shift!$B$4:$BJ$62,MATCH(Both_Shift_Roster!H$2,Evening_Shift!$B$2:$BJ$2,0),0),""),IFERROR(VLOOKUP($B79,Morning_Shift!$B$4:$BJ$61,MATCH(Both_Shift_Roster!H$2,Morning_Shift!$B$2:$BJ$2,0),0),""))</f>
        <v>Agent Choice WO</v>
      </c>
      <c r="I79" s="2" t="str">
        <f>IF(IFERROR(VLOOKUP($B79,Morning_Shift!$B$4:$BJ$61,MATCH(Both_Shift_Roster!I$2,Morning_Shift!$B$2:$BJ$2,0),0),"")="",IFERROR(VLOOKUP($B79,Evening_Shift!$B$4:$BJ$62,MATCH(Both_Shift_Roster!I$2,Evening_Shift!$B$2:$BJ$2,0),0),""),IFERROR(VLOOKUP($B79,Morning_Shift!$B$4:$BJ$61,MATCH(Both_Shift_Roster!I$2,Morning_Shift!$B$2:$BJ$2,0),0),""))</f>
        <v>Agent Choice WO</v>
      </c>
      <c r="J79" s="2" t="str">
        <f>IF(IFERROR(VLOOKUP($B79,Morning_Shift!$B$4:$BJ$61,MATCH(Both_Shift_Roster!J$2,Morning_Shift!$B$2:$BJ$2,0),0),"")="",IFERROR(VLOOKUP($B79,Evening_Shift!$B$4:$BJ$62,MATCH(Both_Shift_Roster!J$2,Evening_Shift!$B$2:$BJ$2,0),0),""),IFERROR(VLOOKUP($B79,Morning_Shift!$B$4:$BJ$61,MATCH(Both_Shift_Roster!J$2,Morning_Shift!$B$2:$BJ$2,0),0),""))</f>
        <v>Agent Choice WO</v>
      </c>
      <c r="K79" s="2" t="str">
        <f>IF(IFERROR(VLOOKUP($B79,Morning_Shift!$B$4:$BJ$61,MATCH(Both_Shift_Roster!K$2,Morning_Shift!$B$2:$BJ$2,0),0),"")="",IFERROR(VLOOKUP($B79,Evening_Shift!$B$4:$BJ$62,MATCH(Both_Shift_Roster!K$2,Evening_Shift!$B$2:$BJ$2,0),0),""),IFERROR(VLOOKUP($B79,Morning_Shift!$B$4:$BJ$61,MATCH(Both_Shift_Roster!K$2,Morning_Shift!$B$2:$BJ$2,0),0),""))</f>
        <v>LP</v>
      </c>
      <c r="L79" s="2" t="str">
        <f>IF(IFERROR(VLOOKUP($B79,Morning_Shift!$B$4:$BJ$61,MATCH(Both_Shift_Roster!L$2,Morning_Shift!$B$2:$BJ$2,0),0),"")="",IFERROR(VLOOKUP($B79,Evening_Shift!$B$4:$BJ$62,MATCH(Both_Shift_Roster!L$2,Evening_Shift!$B$2:$BJ$2,0),0),""),IFERROR(VLOOKUP($B79,Morning_Shift!$B$4:$BJ$61,MATCH(Both_Shift_Roster!L$2,Morning_Shift!$B$2:$BJ$2,0),0),""))</f>
        <v>LP</v>
      </c>
      <c r="M79" s="2" t="str">
        <f>IF(IFERROR(VLOOKUP($B79,Morning_Shift!$B$4:$BJ$61,MATCH(Both_Shift_Roster!M$2,Morning_Shift!$B$2:$BJ$2,0),0),"")="",IFERROR(VLOOKUP($B79,Evening_Shift!$B$4:$BJ$62,MATCH(Both_Shift_Roster!M$2,Evening_Shift!$B$2:$BJ$2,0),0),""),IFERROR(VLOOKUP($B79,Morning_Shift!$B$4:$BJ$61,MATCH(Both_Shift_Roster!M$2,Morning_Shift!$B$2:$BJ$2,0),0),""))</f>
        <v>LP</v>
      </c>
      <c r="N79" s="2">
        <f t="shared" si="41"/>
        <v>4</v>
      </c>
      <c r="O79" s="2">
        <f t="shared" si="42"/>
        <v>0</v>
      </c>
      <c r="P79" s="2">
        <f t="shared" si="43"/>
        <v>0</v>
      </c>
      <c r="Q79" s="2">
        <f t="shared" si="44"/>
        <v>0</v>
      </c>
      <c r="R79" s="2">
        <f t="shared" si="45"/>
        <v>3</v>
      </c>
      <c r="S79" s="2" t="str">
        <f>IF(IFERROR(VLOOKUP($B79,Morning_Shift!$B$4:$BJ$61,MATCH(Both_Shift_Roster!S$2,Morning_Shift!$B$2:$BJ$2,0),0),"")="",IFERROR(VLOOKUP($B79,Evening_Shift!$B$4:$BJ$62,MATCH(Both_Shift_Roster!S$2,Evening_Shift!$B$2:$BJ$2,0),0),""),IFERROR(VLOOKUP($B79,Morning_Shift!$B$4:$BJ$61,MATCH(Both_Shift_Roster!S$2,Morning_Shift!$B$2:$BJ$2,0),0),""))</f>
        <v>14:30-22:00</v>
      </c>
      <c r="T79" s="2" t="str">
        <f>IF(IFERROR(VLOOKUP($B79,Morning_Shift!$B$4:$BJ$61,MATCH(Both_Shift_Roster!T$2,Morning_Shift!$B$2:$BJ$2,0),0),"")="",IFERROR(VLOOKUP($B79,Evening_Shift!$B$4:$BJ$62,MATCH(Both_Shift_Roster!T$2,Evening_Shift!$B$2:$BJ$2,0),0),""),IFERROR(VLOOKUP($B79,Morning_Shift!$B$4:$BJ$61,MATCH(Both_Shift_Roster!T$2,Morning_Shift!$B$2:$BJ$2,0),0),""))</f>
        <v>LP</v>
      </c>
      <c r="U79" s="2" t="str">
        <f>IF(IFERROR(VLOOKUP($B79,Morning_Shift!$B$4:$BJ$61,MATCH(Both_Shift_Roster!U$2,Morning_Shift!$B$2:$BJ$2,0),0),"")="",IFERROR(VLOOKUP($B79,Evening_Shift!$B$4:$BJ$62,MATCH(Both_Shift_Roster!U$2,Evening_Shift!$B$2:$BJ$2,0),0),""),IFERROR(VLOOKUP($B79,Morning_Shift!$B$4:$BJ$61,MATCH(Both_Shift_Roster!U$2,Morning_Shift!$B$2:$BJ$2,0),0),""))</f>
        <v>LP</v>
      </c>
      <c r="V79" s="2" t="str">
        <f>IF(IFERROR(VLOOKUP($B79,Morning_Shift!$B$4:$BJ$61,MATCH(Both_Shift_Roster!V$2,Morning_Shift!$B$2:$BJ$2,0),0),"")="",IFERROR(VLOOKUP($B79,Evening_Shift!$B$4:$BJ$62,MATCH(Both_Shift_Roster!V$2,Evening_Shift!$B$2:$BJ$2,0),0),""),IFERROR(VLOOKUP($B79,Morning_Shift!$B$4:$BJ$61,MATCH(Both_Shift_Roster!V$2,Morning_Shift!$B$2:$BJ$2,0),0),""))</f>
        <v>LP</v>
      </c>
      <c r="W79" s="2" t="str">
        <f>IF(IFERROR(VLOOKUP($B79,Morning_Shift!$B$4:$BJ$61,MATCH(Both_Shift_Roster!W$2,Morning_Shift!$B$2:$BJ$2,0),0),"")="",IFERROR(VLOOKUP($B79,Evening_Shift!$B$4:$BJ$62,MATCH(Both_Shift_Roster!W$2,Evening_Shift!$B$2:$BJ$2,0),0),""),IFERROR(VLOOKUP($B79,Morning_Shift!$B$4:$BJ$61,MATCH(Both_Shift_Roster!W$2,Morning_Shift!$B$2:$BJ$2,0),0),""))</f>
        <v>14:30-22:00</v>
      </c>
      <c r="X79" s="2" t="str">
        <f>IF(IFERROR(VLOOKUP($B79,Morning_Shift!$B$4:$BJ$61,MATCH(Both_Shift_Roster!X$2,Morning_Shift!$B$2:$BJ$2,0),0),"")="",IFERROR(VLOOKUP($B79,Evening_Shift!$B$4:$BJ$62,MATCH(Both_Shift_Roster!X$2,Evening_Shift!$B$2:$BJ$2,0),0),""),IFERROR(VLOOKUP($B79,Morning_Shift!$B$4:$BJ$61,MATCH(Both_Shift_Roster!X$2,Morning_Shift!$B$2:$BJ$2,0),0),""))</f>
        <v>14:30-22:00</v>
      </c>
      <c r="Y79" s="2" t="str">
        <f>IF(IFERROR(VLOOKUP($B79,Morning_Shift!$B$4:$BJ$61,MATCH(Both_Shift_Roster!Y$2,Morning_Shift!$B$2:$BJ$2,0),0),"")="",IFERROR(VLOOKUP($B79,Evening_Shift!$B$4:$BJ$62,MATCH(Both_Shift_Roster!Y$2,Evening_Shift!$B$2:$BJ$2,0),0),""),IFERROR(VLOOKUP($B79,Morning_Shift!$B$4:$BJ$61,MATCH(Both_Shift_Roster!Y$2,Morning_Shift!$B$2:$BJ$2,0),0),""))</f>
        <v>14:30-22:00</v>
      </c>
      <c r="Z79" s="2">
        <f t="shared" si="46"/>
        <v>0</v>
      </c>
      <c r="AA79" s="2">
        <f t="shared" si="47"/>
        <v>0</v>
      </c>
      <c r="AB79" s="2">
        <f t="shared" si="48"/>
        <v>0</v>
      </c>
      <c r="AC79" s="2">
        <f t="shared" si="49"/>
        <v>0</v>
      </c>
      <c r="AD79" s="2">
        <f t="shared" si="50"/>
        <v>3</v>
      </c>
      <c r="AE79" s="2" t="str">
        <f>IF(IFERROR(VLOOKUP($B79,Morning_Shift!$B$4:$BJ$61,MATCH(Both_Shift_Roster!AE$2,Morning_Shift!$B$2:$BJ$2,0),0),"")="",IFERROR(VLOOKUP($B79,Evening_Shift!$B$4:$BJ$62,MATCH(Both_Shift_Roster!AE$2,Evening_Shift!$B$2:$BJ$2,0),0),""),IFERROR(VLOOKUP($B79,Morning_Shift!$B$4:$BJ$61,MATCH(Both_Shift_Roster!AE$2,Morning_Shift!$B$2:$BJ$2,0),0),""))</f>
        <v>14:30-22:00</v>
      </c>
      <c r="AF79" s="2" t="str">
        <f>IF(IFERROR(VLOOKUP($B79,Morning_Shift!$B$4:$BJ$61,MATCH(Both_Shift_Roster!AF$2,Morning_Shift!$B$2:$BJ$2,0),0),"")="",IFERROR(VLOOKUP($B79,Evening_Shift!$B$4:$BJ$62,MATCH(Both_Shift_Roster!AF$2,Evening_Shift!$B$2:$BJ$2,0),0),""),IFERROR(VLOOKUP($B79,Morning_Shift!$B$4:$BJ$61,MATCH(Both_Shift_Roster!AF$2,Morning_Shift!$B$2:$BJ$2,0),0),""))</f>
        <v>14:30-22:00</v>
      </c>
      <c r="AG79" s="2" t="str">
        <f>IF(IFERROR(VLOOKUP($B79,Morning_Shift!$B$4:$BJ$61,MATCH(Both_Shift_Roster!AG$2,Morning_Shift!$B$2:$BJ$2,0),0),"")="",IFERROR(VLOOKUP($B79,Evening_Shift!$B$4:$BJ$62,MATCH(Both_Shift_Roster!AG$2,Evening_Shift!$B$2:$BJ$2,0),0),""),IFERROR(VLOOKUP($B79,Morning_Shift!$B$4:$BJ$61,MATCH(Both_Shift_Roster!AG$2,Morning_Shift!$B$2:$BJ$2,0),0),""))</f>
        <v>14:30-22:00</v>
      </c>
      <c r="AH79" s="2" t="str">
        <f>IF(IFERROR(VLOOKUP($B79,Morning_Shift!$B$4:$BJ$61,MATCH(Both_Shift_Roster!AH$2,Morning_Shift!$B$2:$BJ$2,0),0),"")="",IFERROR(VLOOKUP($B79,Evening_Shift!$B$4:$BJ$62,MATCH(Both_Shift_Roster!AH$2,Evening_Shift!$B$2:$BJ$2,0),0),""),IFERROR(VLOOKUP($B79,Morning_Shift!$B$4:$BJ$61,MATCH(Both_Shift_Roster!AH$2,Morning_Shift!$B$2:$BJ$2,0),0),""))</f>
        <v>14:30-22:00</v>
      </c>
      <c r="AI79" s="2" t="str">
        <f>IF(IFERROR(VLOOKUP($B79,Morning_Shift!$B$4:$BJ$61,MATCH(Both_Shift_Roster!AI$2,Morning_Shift!$B$2:$BJ$2,0),0),"")="",IFERROR(VLOOKUP($B79,Evening_Shift!$B$4:$BJ$62,MATCH(Both_Shift_Roster!AI$2,Evening_Shift!$B$2:$BJ$2,0),0),""),IFERROR(VLOOKUP($B79,Morning_Shift!$B$4:$BJ$61,MATCH(Both_Shift_Roster!AI$2,Morning_Shift!$B$2:$BJ$2,0),0),""))</f>
        <v>14:30-22:00</v>
      </c>
      <c r="AJ79" s="2" t="str">
        <f>IF(IFERROR(VLOOKUP($B79,Morning_Shift!$B$4:$BJ$61,MATCH(Both_Shift_Roster!AJ$2,Morning_Shift!$B$2:$BJ$2,0),0),"")="",IFERROR(VLOOKUP($B79,Evening_Shift!$B$4:$BJ$62,MATCH(Both_Shift_Roster!AJ$2,Evening_Shift!$B$2:$BJ$2,0),0),""),IFERROR(VLOOKUP($B79,Morning_Shift!$B$4:$BJ$61,MATCH(Both_Shift_Roster!AJ$2,Morning_Shift!$B$2:$BJ$2,0),0),""))</f>
        <v>14:30-22:00</v>
      </c>
      <c r="AK79" s="2" t="str">
        <f>IF(IFERROR(VLOOKUP($B79,Morning_Shift!$B$4:$BJ$61,MATCH(Both_Shift_Roster!AK$2,Morning_Shift!$B$2:$BJ$2,0),0),"")="",IFERROR(VLOOKUP($B79,Evening_Shift!$B$4:$BJ$62,MATCH(Both_Shift_Roster!AK$2,Evening_Shift!$B$2:$BJ$2,0),0),""),IFERROR(VLOOKUP($B79,Morning_Shift!$B$4:$BJ$61,MATCH(Both_Shift_Roster!AK$2,Morning_Shift!$B$2:$BJ$2,0),0),""))</f>
        <v>14:30-22:00</v>
      </c>
      <c r="AL79" s="2">
        <f t="shared" si="51"/>
        <v>0</v>
      </c>
      <c r="AM79" s="2">
        <f t="shared" si="52"/>
        <v>0</v>
      </c>
      <c r="AN79" s="2">
        <f t="shared" si="53"/>
        <v>0</v>
      </c>
      <c r="AO79" s="2">
        <f t="shared" si="54"/>
        <v>0</v>
      </c>
      <c r="AP79" s="2">
        <f t="shared" si="55"/>
        <v>0</v>
      </c>
      <c r="AQ79" s="2" t="str">
        <f>IF(IFERROR(VLOOKUP($B79,Morning_Shift!$B$4:$BJ$61,MATCH(Both_Shift_Roster!AQ$2,Morning_Shift!$B$2:$BJ$2,0),0),"")="",IFERROR(VLOOKUP($B79,Evening_Shift!$B$4:$BJ$62,MATCH(Both_Shift_Roster!AQ$2,Evening_Shift!$B$2:$BJ$2,0),0),""),IFERROR(VLOOKUP($B79,Morning_Shift!$B$4:$BJ$61,MATCH(Both_Shift_Roster!AQ$2,Morning_Shift!$B$2:$BJ$2,0),0),""))</f>
        <v>14:30-22:00</v>
      </c>
      <c r="AR79" s="2" t="str">
        <f>IF(IFERROR(VLOOKUP($B79,Morning_Shift!$B$4:$BJ$61,MATCH(Both_Shift_Roster!AR$2,Morning_Shift!$B$2:$BJ$2,0),0),"")="",IFERROR(VLOOKUP($B79,Evening_Shift!$B$4:$BJ$62,MATCH(Both_Shift_Roster!AR$2,Evening_Shift!$B$2:$BJ$2,0),0),""),IFERROR(VLOOKUP($B79,Morning_Shift!$B$4:$BJ$61,MATCH(Both_Shift_Roster!AR$2,Morning_Shift!$B$2:$BJ$2,0),0),""))</f>
        <v>14:30-22:00</v>
      </c>
      <c r="AS79" s="2" t="str">
        <f>IF(IFERROR(VLOOKUP($B79,Morning_Shift!$B$4:$BJ$61,MATCH(Both_Shift_Roster!AS$2,Morning_Shift!$B$2:$BJ$2,0),0),"")="",IFERROR(VLOOKUP($B79,Evening_Shift!$B$4:$BJ$62,MATCH(Both_Shift_Roster!AS$2,Evening_Shift!$B$2:$BJ$2,0),0),""),IFERROR(VLOOKUP($B79,Morning_Shift!$B$4:$BJ$61,MATCH(Both_Shift_Roster!AS$2,Morning_Shift!$B$2:$BJ$2,0),0),""))</f>
        <v>14:30-22:00</v>
      </c>
      <c r="AT79" s="2" t="str">
        <f>IF(IFERROR(VLOOKUP($B79,Morning_Shift!$B$4:$BJ$61,MATCH(Both_Shift_Roster!AT$2,Morning_Shift!$B$2:$BJ$2,0),0),"")="",IFERROR(VLOOKUP($B79,Evening_Shift!$B$4:$BJ$62,MATCH(Both_Shift_Roster!AT$2,Evening_Shift!$B$2:$BJ$2,0),0),""),IFERROR(VLOOKUP($B79,Morning_Shift!$B$4:$BJ$61,MATCH(Both_Shift_Roster!AT$2,Morning_Shift!$B$2:$BJ$2,0),0),""))</f>
        <v>14:30-22:00</v>
      </c>
      <c r="AU79" s="2" t="str">
        <f>IF(IFERROR(VLOOKUP($B79,Morning_Shift!$B$4:$BJ$61,MATCH(Both_Shift_Roster!AU$2,Morning_Shift!$B$2:$BJ$2,0),0),"")="",IFERROR(VLOOKUP($B79,Evening_Shift!$B$4:$BJ$62,MATCH(Both_Shift_Roster!AU$2,Evening_Shift!$B$2:$BJ$2,0),0),""),IFERROR(VLOOKUP($B79,Morning_Shift!$B$4:$BJ$61,MATCH(Both_Shift_Roster!AU$2,Morning_Shift!$B$2:$BJ$2,0),0),""))</f>
        <v>14:30-22:00</v>
      </c>
      <c r="AV79" s="2" t="str">
        <f>IF(IFERROR(VLOOKUP($B79,Morning_Shift!$B$4:$BJ$61,MATCH(Both_Shift_Roster!AV$2,Morning_Shift!$B$2:$BJ$2,0),0),"")="",IFERROR(VLOOKUP($B79,Evening_Shift!$B$4:$BJ$62,MATCH(Both_Shift_Roster!AV$2,Evening_Shift!$B$2:$BJ$2,0),0),""),IFERROR(VLOOKUP($B79,Morning_Shift!$B$4:$BJ$61,MATCH(Both_Shift_Roster!AV$2,Morning_Shift!$B$2:$BJ$2,0),0),""))</f>
        <v>14:30-22:00</v>
      </c>
      <c r="AW79" s="2" t="str">
        <f>IF(IFERROR(VLOOKUP($B79,Morning_Shift!$B$4:$BJ$61,MATCH(Both_Shift_Roster!AW$2,Morning_Shift!$B$2:$BJ$2,0),0),"")="",IFERROR(VLOOKUP($B79,Evening_Shift!$B$4:$BJ$62,MATCH(Both_Shift_Roster!AW$2,Evening_Shift!$B$2:$BJ$2,0),0),""),IFERROR(VLOOKUP($B79,Morning_Shift!$B$4:$BJ$61,MATCH(Both_Shift_Roster!AW$2,Morning_Shift!$B$2:$BJ$2,0),0),""))</f>
        <v>14:30-22:00</v>
      </c>
      <c r="AX79" s="2">
        <f t="shared" si="56"/>
        <v>0</v>
      </c>
      <c r="AY79" s="2">
        <f t="shared" si="57"/>
        <v>0</v>
      </c>
      <c r="AZ79" s="2">
        <f t="shared" si="58"/>
        <v>0</v>
      </c>
      <c r="BA79" s="2">
        <f t="shared" si="59"/>
        <v>0</v>
      </c>
      <c r="BB79" s="2">
        <f t="shared" si="60"/>
        <v>0</v>
      </c>
      <c r="BC79" s="2" t="str">
        <f>IF(IFERROR(VLOOKUP($B79,Morning_Shift!$B$4:$BJ$61,MATCH(Both_Shift_Roster!BC$2,Morning_Shift!$B$2:$BJ$2,0),0),"")="",IFERROR(VLOOKUP($B79,Evening_Shift!$B$4:$BJ$62,MATCH(Both_Shift_Roster!BC$2,Evening_Shift!$B$2:$BJ$2,0),0),""),IFERROR(VLOOKUP($B79,Morning_Shift!$B$4:$BJ$61,MATCH(Both_Shift_Roster!BC$2,Morning_Shift!$B$2:$BJ$2,0),0),""))</f>
        <v>14:30-22:00</v>
      </c>
      <c r="BD79" s="2" t="str">
        <f>IF(IFERROR(VLOOKUP($B79,Morning_Shift!$B$4:$BJ$61,MATCH(Both_Shift_Roster!BD$2,Morning_Shift!$B$2:$BJ$2,0),0),"")="",IFERROR(VLOOKUP($B79,Evening_Shift!$B$4:$BJ$62,MATCH(Both_Shift_Roster!BD$2,Evening_Shift!$B$2:$BJ$2,0),0),""),IFERROR(VLOOKUP($B79,Morning_Shift!$B$4:$BJ$61,MATCH(Both_Shift_Roster!BD$2,Morning_Shift!$B$2:$BJ$2,0),0),""))</f>
        <v>14:30-22:00</v>
      </c>
      <c r="BE79" s="2" t="str">
        <f>IF(IFERROR(VLOOKUP($B79,Morning_Shift!$B$4:$BJ$61,MATCH(Both_Shift_Roster!BE$2,Morning_Shift!$B$2:$BJ$2,0),0),"")="",IFERROR(VLOOKUP($B79,Evening_Shift!$B$4:$BJ$59,MATCH(Both_Shift_Roster!BE$2,Evening_Shift!$B$2:$BJ$2,0),0),""),IFERROR(VLOOKUP($B79,Morning_Shift!$B$4:$BJ$61,MATCH(Both_Shift_Roster!BE$2,Morning_Shift!$B$2:$BJ$2,0),0),""))</f>
        <v>14:30-22:00</v>
      </c>
      <c r="BF79" s="2">
        <f t="shared" si="61"/>
        <v>0</v>
      </c>
      <c r="BG79" s="2">
        <f t="shared" si="62"/>
        <v>0</v>
      </c>
      <c r="BH79" s="2">
        <f t="shared" si="63"/>
        <v>0</v>
      </c>
      <c r="BI79" s="2">
        <f t="shared" si="64"/>
        <v>0</v>
      </c>
      <c r="BJ79" s="2">
        <f t="shared" si="65"/>
        <v>0</v>
      </c>
    </row>
    <row r="80" spans="1:62">
      <c r="A80" s="17">
        <f t="shared" si="66"/>
        <v>77</v>
      </c>
      <c r="B80" s="16" t="str">
        <f>Evening_Shift!$B22</f>
        <v>Dritm78</v>
      </c>
      <c r="C80" s="21" t="str">
        <f>IF(IFERROR(VLOOKUP(B80,Morning_Shift!B:C,2,0),"")="",IFERROR(VLOOKUP(B80,Evening_Shift!B:C,2,0),""),IFERROR(VLOOKUP(B80,Morning_Shift!B:C,2,0),""))</f>
        <v>Jyoti Sharma</v>
      </c>
      <c r="D80" s="15" t="str">
        <f>IF(IFERROR(VLOOKUP(B80,Morning_Shift!B:D,3,0),"")="",IFERROR(VLOOKUP(B80,Evening_Shift!B:D,3,0),""),IFERROR(VLOOKUP(B80,Morning_Shift!B:D,3,0),""))</f>
        <v xml:space="preserve">Sanjesh </v>
      </c>
      <c r="E80" s="4" t="str">
        <f>IF(IFERROR(VLOOKUP(B80,Morning_Shift!B:E,4,0),"")="",IFERROR(VLOOKUP(B80,Evening_Shift!B:E,4,0),""),IFERROR(VLOOKUP(B80,Morning_Shift!B:E,4,0),""))</f>
        <v>F</v>
      </c>
      <c r="F80" s="5" t="str">
        <f>IF(IFERROR(VLOOKUP(B80,Morning_Shift!B:F,5,0),"")="",IFERROR(VLOOKUP(B80,Evening_Shift!B:F,5,0),""),IFERROR(VLOOKUP(B80,Morning_Shift!B:F,5,0),""))</f>
        <v>Inbound</v>
      </c>
      <c r="G80" s="2" t="str">
        <f>IF(IFERROR(VLOOKUP($B80,Morning_Shift!$B$4:$BJ$61,MATCH(Both_Shift_Roster!G$2,Morning_Shift!$B$2:$BJ$2,0),0),"")="",IFERROR(VLOOKUP($B80,Evening_Shift!$B$4:$BJ$62,MATCH(Both_Shift_Roster!G$2,Evening_Shift!$B$2:$BJ$2,0),0),""),IFERROR(VLOOKUP($B80,Morning_Shift!$B$4:$BJ$61,MATCH(Both_Shift_Roster!G$2,Morning_Shift!$B$2:$BJ$2,0),0),""))</f>
        <v>Agent Choice WO</v>
      </c>
      <c r="H80" s="2" t="str">
        <f>IF(IFERROR(VLOOKUP($B80,Morning_Shift!$B$4:$BJ$61,MATCH(Both_Shift_Roster!H$2,Morning_Shift!$B$2:$BJ$2,0),0),"")="",IFERROR(VLOOKUP($B80,Evening_Shift!$B$4:$BJ$62,MATCH(Both_Shift_Roster!H$2,Evening_Shift!$B$2:$BJ$2,0),0),""),IFERROR(VLOOKUP($B80,Morning_Shift!$B$4:$BJ$61,MATCH(Both_Shift_Roster!H$2,Morning_Shift!$B$2:$BJ$2,0),0),""))</f>
        <v>Agent Choice WO</v>
      </c>
      <c r="I80" s="2" t="str">
        <f>IF(IFERROR(VLOOKUP($B80,Morning_Shift!$B$4:$BJ$61,MATCH(Both_Shift_Roster!I$2,Morning_Shift!$B$2:$BJ$2,0),0),"")="",IFERROR(VLOOKUP($B80,Evening_Shift!$B$4:$BJ$62,MATCH(Both_Shift_Roster!I$2,Evening_Shift!$B$2:$BJ$2,0),0),""),IFERROR(VLOOKUP($B80,Morning_Shift!$B$4:$BJ$61,MATCH(Both_Shift_Roster!I$2,Morning_Shift!$B$2:$BJ$2,0),0),""))</f>
        <v>14:30-22:00</v>
      </c>
      <c r="J80" s="2" t="str">
        <f>IF(IFERROR(VLOOKUP($B80,Morning_Shift!$B$4:$BJ$61,MATCH(Both_Shift_Roster!J$2,Morning_Shift!$B$2:$BJ$2,0),0),"")="",IFERROR(VLOOKUP($B80,Evening_Shift!$B$4:$BJ$62,MATCH(Both_Shift_Roster!J$2,Evening_Shift!$B$2:$BJ$2,0),0),""),IFERROR(VLOOKUP($B80,Morning_Shift!$B$4:$BJ$61,MATCH(Both_Shift_Roster!J$2,Morning_Shift!$B$2:$BJ$2,0),0),""))</f>
        <v>14:30-22:00</v>
      </c>
      <c r="K80" s="2" t="str">
        <f>IF(IFERROR(VLOOKUP($B80,Morning_Shift!$B$4:$BJ$61,MATCH(Both_Shift_Roster!K$2,Morning_Shift!$B$2:$BJ$2,0),0),"")="",IFERROR(VLOOKUP($B80,Evening_Shift!$B$4:$BJ$62,MATCH(Both_Shift_Roster!K$2,Evening_Shift!$B$2:$BJ$2,0),0),""),IFERROR(VLOOKUP($B80,Morning_Shift!$B$4:$BJ$61,MATCH(Both_Shift_Roster!K$2,Morning_Shift!$B$2:$BJ$2,0),0),""))</f>
        <v>14:30-22:00</v>
      </c>
      <c r="L80" s="2" t="str">
        <f>IF(IFERROR(VLOOKUP($B80,Morning_Shift!$B$4:$BJ$61,MATCH(Both_Shift_Roster!L$2,Morning_Shift!$B$2:$BJ$2,0),0),"")="",IFERROR(VLOOKUP($B80,Evening_Shift!$B$4:$BJ$62,MATCH(Both_Shift_Roster!L$2,Evening_Shift!$B$2:$BJ$2,0),0),""),IFERROR(VLOOKUP($B80,Morning_Shift!$B$4:$BJ$61,MATCH(Both_Shift_Roster!L$2,Morning_Shift!$B$2:$BJ$2,0),0),""))</f>
        <v>14:30-22:00</v>
      </c>
      <c r="M80" s="2" t="str">
        <f>IF(IFERROR(VLOOKUP($B80,Morning_Shift!$B$4:$BJ$61,MATCH(Both_Shift_Roster!M$2,Morning_Shift!$B$2:$BJ$2,0),0),"")="",IFERROR(VLOOKUP($B80,Evening_Shift!$B$4:$BJ$62,MATCH(Both_Shift_Roster!M$2,Evening_Shift!$B$2:$BJ$2,0),0),""),IFERROR(VLOOKUP($B80,Morning_Shift!$B$4:$BJ$61,MATCH(Both_Shift_Roster!M$2,Morning_Shift!$B$2:$BJ$2,0),0),""))</f>
        <v>14:30-22:00</v>
      </c>
      <c r="N80" s="2">
        <f t="shared" si="41"/>
        <v>2</v>
      </c>
      <c r="O80" s="2">
        <f t="shared" si="42"/>
        <v>0</v>
      </c>
      <c r="P80" s="2">
        <f t="shared" si="43"/>
        <v>0</v>
      </c>
      <c r="Q80" s="2">
        <f t="shared" si="44"/>
        <v>0</v>
      </c>
      <c r="R80" s="2">
        <f t="shared" si="45"/>
        <v>0</v>
      </c>
      <c r="S80" s="2" t="str">
        <f>IF(IFERROR(VLOOKUP($B80,Morning_Shift!$B$4:$BJ$61,MATCH(Both_Shift_Roster!S$2,Morning_Shift!$B$2:$BJ$2,0),0),"")="",IFERROR(VLOOKUP($B80,Evening_Shift!$B$4:$BJ$62,MATCH(Both_Shift_Roster!S$2,Evening_Shift!$B$2:$BJ$2,0),0),""),IFERROR(VLOOKUP($B80,Morning_Shift!$B$4:$BJ$61,MATCH(Both_Shift_Roster!S$2,Morning_Shift!$B$2:$BJ$2,0),0),""))</f>
        <v>14:30-22:00</v>
      </c>
      <c r="T80" s="2" t="str">
        <f>IF(IFERROR(VLOOKUP($B80,Morning_Shift!$B$4:$BJ$61,MATCH(Both_Shift_Roster!T$2,Morning_Shift!$B$2:$BJ$2,0),0),"")="",IFERROR(VLOOKUP($B80,Evening_Shift!$B$4:$BJ$62,MATCH(Both_Shift_Roster!T$2,Evening_Shift!$B$2:$BJ$2,0),0),""),IFERROR(VLOOKUP($B80,Morning_Shift!$B$4:$BJ$61,MATCH(Both_Shift_Roster!T$2,Morning_Shift!$B$2:$BJ$2,0),0),""))</f>
        <v>14:30-22:00</v>
      </c>
      <c r="U80" s="2" t="str">
        <f>IF(IFERROR(VLOOKUP($B80,Morning_Shift!$B$4:$BJ$61,MATCH(Both_Shift_Roster!U$2,Morning_Shift!$B$2:$BJ$2,0),0),"")="",IFERROR(VLOOKUP($B80,Evening_Shift!$B$4:$BJ$62,MATCH(Both_Shift_Roster!U$2,Evening_Shift!$B$2:$BJ$2,0),0),""),IFERROR(VLOOKUP($B80,Morning_Shift!$B$4:$BJ$61,MATCH(Both_Shift_Roster!U$2,Morning_Shift!$B$2:$BJ$2,0),0),""))</f>
        <v>14:30-22:00</v>
      </c>
      <c r="V80" s="2" t="str">
        <f>IF(IFERROR(VLOOKUP($B80,Morning_Shift!$B$4:$BJ$61,MATCH(Both_Shift_Roster!V$2,Morning_Shift!$B$2:$BJ$2,0),0),"")="",IFERROR(VLOOKUP($B80,Evening_Shift!$B$4:$BJ$62,MATCH(Both_Shift_Roster!V$2,Evening_Shift!$B$2:$BJ$2,0),0),""),IFERROR(VLOOKUP($B80,Morning_Shift!$B$4:$BJ$61,MATCH(Both_Shift_Roster!V$2,Morning_Shift!$B$2:$BJ$2,0),0),""))</f>
        <v>Agent Choice WO</v>
      </c>
      <c r="W80" s="2" t="str">
        <f>IF(IFERROR(VLOOKUP($B80,Morning_Shift!$B$4:$BJ$61,MATCH(Both_Shift_Roster!W$2,Morning_Shift!$B$2:$BJ$2,0),0),"")="",IFERROR(VLOOKUP($B80,Evening_Shift!$B$4:$BJ$62,MATCH(Both_Shift_Roster!W$2,Evening_Shift!$B$2:$BJ$2,0),0),""),IFERROR(VLOOKUP($B80,Morning_Shift!$B$4:$BJ$61,MATCH(Both_Shift_Roster!W$2,Morning_Shift!$B$2:$BJ$2,0),0),""))</f>
        <v>14:30-22:00</v>
      </c>
      <c r="X80" s="2" t="str">
        <f>IF(IFERROR(VLOOKUP($B80,Morning_Shift!$B$4:$BJ$61,MATCH(Both_Shift_Roster!X$2,Morning_Shift!$B$2:$BJ$2,0),0),"")="",IFERROR(VLOOKUP($B80,Evening_Shift!$B$4:$BJ$62,MATCH(Both_Shift_Roster!X$2,Evening_Shift!$B$2:$BJ$2,0),0),""),IFERROR(VLOOKUP($B80,Morning_Shift!$B$4:$BJ$61,MATCH(Both_Shift_Roster!X$2,Morning_Shift!$B$2:$BJ$2,0),0),""))</f>
        <v>14:30-22:00</v>
      </c>
      <c r="Y80" s="2" t="str">
        <f>IF(IFERROR(VLOOKUP($B80,Morning_Shift!$B$4:$BJ$61,MATCH(Both_Shift_Roster!Y$2,Morning_Shift!$B$2:$BJ$2,0),0),"")="",IFERROR(VLOOKUP($B80,Evening_Shift!$B$4:$BJ$62,MATCH(Both_Shift_Roster!Y$2,Evening_Shift!$B$2:$BJ$2,0),0),""),IFERROR(VLOOKUP($B80,Morning_Shift!$B$4:$BJ$61,MATCH(Both_Shift_Roster!Y$2,Morning_Shift!$B$2:$BJ$2,0),0),""))</f>
        <v>14:30-22:00</v>
      </c>
      <c r="Z80" s="2">
        <f t="shared" si="46"/>
        <v>1</v>
      </c>
      <c r="AA80" s="2">
        <f t="shared" si="47"/>
        <v>0</v>
      </c>
      <c r="AB80" s="2">
        <f t="shared" si="48"/>
        <v>0</v>
      </c>
      <c r="AC80" s="2">
        <f t="shared" si="49"/>
        <v>0</v>
      </c>
      <c r="AD80" s="2">
        <f t="shared" si="50"/>
        <v>0</v>
      </c>
      <c r="AE80" s="2" t="str">
        <f>IF(IFERROR(VLOOKUP($B80,Morning_Shift!$B$4:$BJ$61,MATCH(Both_Shift_Roster!AE$2,Morning_Shift!$B$2:$BJ$2,0),0),"")="",IFERROR(VLOOKUP($B80,Evening_Shift!$B$4:$BJ$62,MATCH(Both_Shift_Roster!AE$2,Evening_Shift!$B$2:$BJ$2,0),0),""),IFERROR(VLOOKUP($B80,Morning_Shift!$B$4:$BJ$61,MATCH(Both_Shift_Roster!AE$2,Morning_Shift!$B$2:$BJ$2,0),0),""))</f>
        <v>14:30-22:00</v>
      </c>
      <c r="AF80" s="2" t="str">
        <f>IF(IFERROR(VLOOKUP($B80,Morning_Shift!$B$4:$BJ$61,MATCH(Both_Shift_Roster!AF$2,Morning_Shift!$B$2:$BJ$2,0),0),"")="",IFERROR(VLOOKUP($B80,Evening_Shift!$B$4:$BJ$62,MATCH(Both_Shift_Roster!AF$2,Evening_Shift!$B$2:$BJ$2,0),0),""),IFERROR(VLOOKUP($B80,Morning_Shift!$B$4:$BJ$61,MATCH(Both_Shift_Roster!AF$2,Morning_Shift!$B$2:$BJ$2,0),0),""))</f>
        <v>14:30-22:00</v>
      </c>
      <c r="AG80" s="2" t="str">
        <f>IF(IFERROR(VLOOKUP($B80,Morning_Shift!$B$4:$BJ$61,MATCH(Both_Shift_Roster!AG$2,Morning_Shift!$B$2:$BJ$2,0),0),"")="",IFERROR(VLOOKUP($B80,Evening_Shift!$B$4:$BJ$62,MATCH(Both_Shift_Roster!AG$2,Evening_Shift!$B$2:$BJ$2,0),0),""),IFERROR(VLOOKUP($B80,Morning_Shift!$B$4:$BJ$61,MATCH(Both_Shift_Roster!AG$2,Morning_Shift!$B$2:$BJ$2,0),0),""))</f>
        <v>14:30-22:00</v>
      </c>
      <c r="AH80" s="2" t="str">
        <f>IF(IFERROR(VLOOKUP($B80,Morning_Shift!$B$4:$BJ$61,MATCH(Both_Shift_Roster!AH$2,Morning_Shift!$B$2:$BJ$2,0),0),"")="",IFERROR(VLOOKUP($B80,Evening_Shift!$B$4:$BJ$62,MATCH(Both_Shift_Roster!AH$2,Evening_Shift!$B$2:$BJ$2,0),0),""),IFERROR(VLOOKUP($B80,Morning_Shift!$B$4:$BJ$61,MATCH(Both_Shift_Roster!AH$2,Morning_Shift!$B$2:$BJ$2,0),0),""))</f>
        <v>14:30-22:00</v>
      </c>
      <c r="AI80" s="2" t="str">
        <f>IF(IFERROR(VLOOKUP($B80,Morning_Shift!$B$4:$BJ$61,MATCH(Both_Shift_Roster!AI$2,Morning_Shift!$B$2:$BJ$2,0),0),"")="",IFERROR(VLOOKUP($B80,Evening_Shift!$B$4:$BJ$62,MATCH(Both_Shift_Roster!AI$2,Evening_Shift!$B$2:$BJ$2,0),0),""),IFERROR(VLOOKUP($B80,Morning_Shift!$B$4:$BJ$61,MATCH(Both_Shift_Roster!AI$2,Morning_Shift!$B$2:$BJ$2,0),0),""))</f>
        <v>14:30-22:00</v>
      </c>
      <c r="AJ80" s="2" t="str">
        <f>IF(IFERROR(VLOOKUP($B80,Morning_Shift!$B$4:$BJ$61,MATCH(Both_Shift_Roster!AJ$2,Morning_Shift!$B$2:$BJ$2,0),0),"")="",IFERROR(VLOOKUP($B80,Evening_Shift!$B$4:$BJ$62,MATCH(Both_Shift_Roster!AJ$2,Evening_Shift!$B$2:$BJ$2,0),0),""),IFERROR(VLOOKUP($B80,Morning_Shift!$B$4:$BJ$61,MATCH(Both_Shift_Roster!AJ$2,Morning_Shift!$B$2:$BJ$2,0),0),""))</f>
        <v>14:30-22:00</v>
      </c>
      <c r="AK80" s="2" t="str">
        <f>IF(IFERROR(VLOOKUP($B80,Morning_Shift!$B$4:$BJ$61,MATCH(Both_Shift_Roster!AK$2,Morning_Shift!$B$2:$BJ$2,0),0),"")="",IFERROR(VLOOKUP($B80,Evening_Shift!$B$4:$BJ$62,MATCH(Both_Shift_Roster!AK$2,Evening_Shift!$B$2:$BJ$2,0),0),""),IFERROR(VLOOKUP($B80,Morning_Shift!$B$4:$BJ$61,MATCH(Both_Shift_Roster!AK$2,Morning_Shift!$B$2:$BJ$2,0),0),""))</f>
        <v>14:30-22:00</v>
      </c>
      <c r="AL80" s="2">
        <f t="shared" si="51"/>
        <v>0</v>
      </c>
      <c r="AM80" s="2">
        <f t="shared" si="52"/>
        <v>0</v>
      </c>
      <c r="AN80" s="2">
        <f t="shared" si="53"/>
        <v>0</v>
      </c>
      <c r="AO80" s="2">
        <f t="shared" si="54"/>
        <v>0</v>
      </c>
      <c r="AP80" s="2">
        <f t="shared" si="55"/>
        <v>0</v>
      </c>
      <c r="AQ80" s="2" t="str">
        <f>IF(IFERROR(VLOOKUP($B80,Morning_Shift!$B$4:$BJ$61,MATCH(Both_Shift_Roster!AQ$2,Morning_Shift!$B$2:$BJ$2,0),0),"")="",IFERROR(VLOOKUP($B80,Evening_Shift!$B$4:$BJ$62,MATCH(Both_Shift_Roster!AQ$2,Evening_Shift!$B$2:$BJ$2,0),0),""),IFERROR(VLOOKUP($B80,Morning_Shift!$B$4:$BJ$61,MATCH(Both_Shift_Roster!AQ$2,Morning_Shift!$B$2:$BJ$2,0),0),""))</f>
        <v>14:30-22:00</v>
      </c>
      <c r="AR80" s="2" t="str">
        <f>IF(IFERROR(VLOOKUP($B80,Morning_Shift!$B$4:$BJ$61,MATCH(Both_Shift_Roster!AR$2,Morning_Shift!$B$2:$BJ$2,0),0),"")="",IFERROR(VLOOKUP($B80,Evening_Shift!$B$4:$BJ$62,MATCH(Both_Shift_Roster!AR$2,Evening_Shift!$B$2:$BJ$2,0),0),""),IFERROR(VLOOKUP($B80,Morning_Shift!$B$4:$BJ$61,MATCH(Both_Shift_Roster!AR$2,Morning_Shift!$B$2:$BJ$2,0),0),""))</f>
        <v>14:30-22:00</v>
      </c>
      <c r="AS80" s="2" t="str">
        <f>IF(IFERROR(VLOOKUP($B80,Morning_Shift!$B$4:$BJ$61,MATCH(Both_Shift_Roster!AS$2,Morning_Shift!$B$2:$BJ$2,0),0),"")="",IFERROR(VLOOKUP($B80,Evening_Shift!$B$4:$BJ$62,MATCH(Both_Shift_Roster!AS$2,Evening_Shift!$B$2:$BJ$2,0),0),""),IFERROR(VLOOKUP($B80,Morning_Shift!$B$4:$BJ$61,MATCH(Both_Shift_Roster!AS$2,Morning_Shift!$B$2:$BJ$2,0),0),""))</f>
        <v>14:30-22:00</v>
      </c>
      <c r="AT80" s="2" t="str">
        <f>IF(IFERROR(VLOOKUP($B80,Morning_Shift!$B$4:$BJ$61,MATCH(Both_Shift_Roster!AT$2,Morning_Shift!$B$2:$BJ$2,0),0),"")="",IFERROR(VLOOKUP($B80,Evening_Shift!$B$4:$BJ$62,MATCH(Both_Shift_Roster!AT$2,Evening_Shift!$B$2:$BJ$2,0),0),""),IFERROR(VLOOKUP($B80,Morning_Shift!$B$4:$BJ$61,MATCH(Both_Shift_Roster!AT$2,Morning_Shift!$B$2:$BJ$2,0),0),""))</f>
        <v>14:30-22:00</v>
      </c>
      <c r="AU80" s="2" t="str">
        <f>IF(IFERROR(VLOOKUP($B80,Morning_Shift!$B$4:$BJ$61,MATCH(Both_Shift_Roster!AU$2,Morning_Shift!$B$2:$BJ$2,0),0),"")="",IFERROR(VLOOKUP($B80,Evening_Shift!$B$4:$BJ$62,MATCH(Both_Shift_Roster!AU$2,Evening_Shift!$B$2:$BJ$2,0),0),""),IFERROR(VLOOKUP($B80,Morning_Shift!$B$4:$BJ$61,MATCH(Both_Shift_Roster!AU$2,Morning_Shift!$B$2:$BJ$2,0),0),""))</f>
        <v>14:30-22:00</v>
      </c>
      <c r="AV80" s="2" t="str">
        <f>IF(IFERROR(VLOOKUP($B80,Morning_Shift!$B$4:$BJ$61,MATCH(Both_Shift_Roster!AV$2,Morning_Shift!$B$2:$BJ$2,0),0),"")="",IFERROR(VLOOKUP($B80,Evening_Shift!$B$4:$BJ$62,MATCH(Both_Shift_Roster!AV$2,Evening_Shift!$B$2:$BJ$2,0),0),""),IFERROR(VLOOKUP($B80,Morning_Shift!$B$4:$BJ$61,MATCH(Both_Shift_Roster!AV$2,Morning_Shift!$B$2:$BJ$2,0),0),""))</f>
        <v>14:30-22:00</v>
      </c>
      <c r="AW80" s="2" t="str">
        <f>IF(IFERROR(VLOOKUP($B80,Morning_Shift!$B$4:$BJ$61,MATCH(Both_Shift_Roster!AW$2,Morning_Shift!$B$2:$BJ$2,0),0),"")="",IFERROR(VLOOKUP($B80,Evening_Shift!$B$4:$BJ$62,MATCH(Both_Shift_Roster!AW$2,Evening_Shift!$B$2:$BJ$2,0),0),""),IFERROR(VLOOKUP($B80,Morning_Shift!$B$4:$BJ$61,MATCH(Both_Shift_Roster!AW$2,Morning_Shift!$B$2:$BJ$2,0),0),""))</f>
        <v>Agent Choice WO</v>
      </c>
      <c r="AX80" s="2">
        <f t="shared" si="56"/>
        <v>1</v>
      </c>
      <c r="AY80" s="2">
        <f t="shared" si="57"/>
        <v>0</v>
      </c>
      <c r="AZ80" s="2">
        <f t="shared" si="58"/>
        <v>0</v>
      </c>
      <c r="BA80" s="2">
        <f t="shared" si="59"/>
        <v>0</v>
      </c>
      <c r="BB80" s="2">
        <f t="shared" si="60"/>
        <v>0</v>
      </c>
      <c r="BC80" s="2" t="str">
        <f>IF(IFERROR(VLOOKUP($B80,Morning_Shift!$B$4:$BJ$61,MATCH(Both_Shift_Roster!BC$2,Morning_Shift!$B$2:$BJ$2,0),0),"")="",IFERROR(VLOOKUP($B80,Evening_Shift!$B$4:$BJ$62,MATCH(Both_Shift_Roster!BC$2,Evening_Shift!$B$2:$BJ$2,0),0),""),IFERROR(VLOOKUP($B80,Morning_Shift!$B$4:$BJ$61,MATCH(Both_Shift_Roster!BC$2,Morning_Shift!$B$2:$BJ$2,0),0),""))</f>
        <v>Agent Choice WO</v>
      </c>
      <c r="BD80" s="2" t="str">
        <f>IF(IFERROR(VLOOKUP($B80,Morning_Shift!$B$4:$BJ$61,MATCH(Both_Shift_Roster!BD$2,Morning_Shift!$B$2:$BJ$2,0),0),"")="",IFERROR(VLOOKUP($B80,Evening_Shift!$B$4:$BJ$62,MATCH(Both_Shift_Roster!BD$2,Evening_Shift!$B$2:$BJ$2,0),0),""),IFERROR(VLOOKUP($B80,Morning_Shift!$B$4:$BJ$61,MATCH(Both_Shift_Roster!BD$2,Morning_Shift!$B$2:$BJ$2,0),0),""))</f>
        <v>Agent Choice WO</v>
      </c>
      <c r="BE80" s="2" t="str">
        <f>IF(IFERROR(VLOOKUP($B80,Morning_Shift!$B$4:$BJ$61,MATCH(Both_Shift_Roster!BE$2,Morning_Shift!$B$2:$BJ$2,0),0),"")="",IFERROR(VLOOKUP($B80,Evening_Shift!$B$4:$BJ$59,MATCH(Both_Shift_Roster!BE$2,Evening_Shift!$B$2:$BJ$2,0),0),""),IFERROR(VLOOKUP($B80,Morning_Shift!$B$4:$BJ$61,MATCH(Both_Shift_Roster!BE$2,Morning_Shift!$B$2:$BJ$2,0),0),""))</f>
        <v>14:30-22:00</v>
      </c>
      <c r="BF80" s="2">
        <f t="shared" si="61"/>
        <v>2</v>
      </c>
      <c r="BG80" s="2">
        <f t="shared" si="62"/>
        <v>0</v>
      </c>
      <c r="BH80" s="2">
        <f t="shared" si="63"/>
        <v>0</v>
      </c>
      <c r="BI80" s="2">
        <f t="shared" si="64"/>
        <v>0</v>
      </c>
      <c r="BJ80" s="2">
        <f t="shared" si="65"/>
        <v>0</v>
      </c>
    </row>
    <row r="81" spans="1:62">
      <c r="A81" s="17">
        <f t="shared" si="66"/>
        <v>78</v>
      </c>
      <c r="B81" s="16" t="str">
        <f>Evening_Shift!$B23</f>
        <v>Dritm79</v>
      </c>
      <c r="C81" s="21" t="str">
        <f>IF(IFERROR(VLOOKUP(B81,Morning_Shift!B:C,2,0),"")="",IFERROR(VLOOKUP(B81,Evening_Shift!B:C,2,0),""),IFERROR(VLOOKUP(B81,Morning_Shift!B:C,2,0),""))</f>
        <v>Pooja</v>
      </c>
      <c r="D81" s="15" t="str">
        <f>IF(IFERROR(VLOOKUP(B81,Morning_Shift!B:D,3,0),"")="",IFERROR(VLOOKUP(B81,Evening_Shift!B:D,3,0),""),IFERROR(VLOOKUP(B81,Morning_Shift!B:D,3,0),""))</f>
        <v xml:space="preserve">Sanjesh </v>
      </c>
      <c r="E81" s="4" t="str">
        <f>IF(IFERROR(VLOOKUP(B81,Morning_Shift!B:E,4,0),"")="",IFERROR(VLOOKUP(B81,Evening_Shift!B:E,4,0),""),IFERROR(VLOOKUP(B81,Morning_Shift!B:E,4,0),""))</f>
        <v>F</v>
      </c>
      <c r="F81" s="5" t="str">
        <f>IF(IFERROR(VLOOKUP(B81,Morning_Shift!B:F,5,0),"")="",IFERROR(VLOOKUP(B81,Evening_Shift!B:F,5,0),""),IFERROR(VLOOKUP(B81,Morning_Shift!B:F,5,0),""))</f>
        <v>Inbound</v>
      </c>
      <c r="G81" s="2" t="str">
        <f>IF(IFERROR(VLOOKUP($B81,Morning_Shift!$B$4:$BJ$61,MATCH(Both_Shift_Roster!G$2,Morning_Shift!$B$2:$BJ$2,0),0),"")="",IFERROR(VLOOKUP($B81,Evening_Shift!$B$4:$BJ$62,MATCH(Both_Shift_Roster!G$2,Evening_Shift!$B$2:$BJ$2,0),0),""),IFERROR(VLOOKUP($B81,Morning_Shift!$B$4:$BJ$61,MATCH(Both_Shift_Roster!G$2,Morning_Shift!$B$2:$BJ$2,0),0),""))</f>
        <v>14:30-22:00</v>
      </c>
      <c r="H81" s="2" t="str">
        <f>IF(IFERROR(VLOOKUP($B81,Morning_Shift!$B$4:$BJ$61,MATCH(Both_Shift_Roster!H$2,Morning_Shift!$B$2:$BJ$2,0),0),"")="",IFERROR(VLOOKUP($B81,Evening_Shift!$B$4:$BJ$62,MATCH(Both_Shift_Roster!H$2,Evening_Shift!$B$2:$BJ$2,0),0),""),IFERROR(VLOOKUP($B81,Morning_Shift!$B$4:$BJ$61,MATCH(Both_Shift_Roster!H$2,Morning_Shift!$B$2:$BJ$2,0),0),""))</f>
        <v>14:30-22:00</v>
      </c>
      <c r="I81" s="2" t="str">
        <f>IF(IFERROR(VLOOKUP($B81,Morning_Shift!$B$4:$BJ$61,MATCH(Both_Shift_Roster!I$2,Morning_Shift!$B$2:$BJ$2,0),0),"")="",IFERROR(VLOOKUP($B81,Evening_Shift!$B$4:$BJ$62,MATCH(Both_Shift_Roster!I$2,Evening_Shift!$B$2:$BJ$2,0),0),""),IFERROR(VLOOKUP($B81,Morning_Shift!$B$4:$BJ$61,MATCH(Both_Shift_Roster!I$2,Morning_Shift!$B$2:$BJ$2,0),0),""))</f>
        <v>14:30-22:00</v>
      </c>
      <c r="J81" s="2" t="str">
        <f>IF(IFERROR(VLOOKUP($B81,Morning_Shift!$B$4:$BJ$61,MATCH(Both_Shift_Roster!J$2,Morning_Shift!$B$2:$BJ$2,0),0),"")="",IFERROR(VLOOKUP($B81,Evening_Shift!$B$4:$BJ$62,MATCH(Both_Shift_Roster!J$2,Evening_Shift!$B$2:$BJ$2,0),0),""),IFERROR(VLOOKUP($B81,Morning_Shift!$B$4:$BJ$61,MATCH(Both_Shift_Roster!J$2,Morning_Shift!$B$2:$BJ$2,0),0),""))</f>
        <v>14:30-22:00</v>
      </c>
      <c r="K81" s="2" t="str">
        <f>IF(IFERROR(VLOOKUP($B81,Morning_Shift!$B$4:$BJ$61,MATCH(Both_Shift_Roster!K$2,Morning_Shift!$B$2:$BJ$2,0),0),"")="",IFERROR(VLOOKUP($B81,Evening_Shift!$B$4:$BJ$62,MATCH(Both_Shift_Roster!K$2,Evening_Shift!$B$2:$BJ$2,0),0),""),IFERROR(VLOOKUP($B81,Morning_Shift!$B$4:$BJ$61,MATCH(Both_Shift_Roster!K$2,Morning_Shift!$B$2:$BJ$2,0),0),""))</f>
        <v>14:30-22:00</v>
      </c>
      <c r="L81" s="2" t="str">
        <f>IF(IFERROR(VLOOKUP($B81,Morning_Shift!$B$4:$BJ$61,MATCH(Both_Shift_Roster!L$2,Morning_Shift!$B$2:$BJ$2,0),0),"")="",IFERROR(VLOOKUP($B81,Evening_Shift!$B$4:$BJ$62,MATCH(Both_Shift_Roster!L$2,Evening_Shift!$B$2:$BJ$2,0),0),""),IFERROR(VLOOKUP($B81,Morning_Shift!$B$4:$BJ$61,MATCH(Both_Shift_Roster!L$2,Morning_Shift!$B$2:$BJ$2,0),0),""))</f>
        <v>Agent Choice WO</v>
      </c>
      <c r="M81" s="2" t="str">
        <f>IF(IFERROR(VLOOKUP($B81,Morning_Shift!$B$4:$BJ$61,MATCH(Both_Shift_Roster!M$2,Morning_Shift!$B$2:$BJ$2,0),0),"")="",IFERROR(VLOOKUP($B81,Evening_Shift!$B$4:$BJ$62,MATCH(Both_Shift_Roster!M$2,Evening_Shift!$B$2:$BJ$2,0),0),""),IFERROR(VLOOKUP($B81,Morning_Shift!$B$4:$BJ$61,MATCH(Both_Shift_Roster!M$2,Morning_Shift!$B$2:$BJ$2,0),0),""))</f>
        <v>Agent Choice WO</v>
      </c>
      <c r="N81" s="2">
        <f t="shared" si="41"/>
        <v>2</v>
      </c>
      <c r="O81" s="2">
        <f t="shared" si="42"/>
        <v>0</v>
      </c>
      <c r="P81" s="2">
        <f t="shared" si="43"/>
        <v>0</v>
      </c>
      <c r="Q81" s="2">
        <f t="shared" si="44"/>
        <v>0</v>
      </c>
      <c r="R81" s="2">
        <f t="shared" si="45"/>
        <v>0</v>
      </c>
      <c r="S81" s="2" t="str">
        <f>IF(IFERROR(VLOOKUP($B81,Morning_Shift!$B$4:$BJ$61,MATCH(Both_Shift_Roster!S$2,Morning_Shift!$B$2:$BJ$2,0),0),"")="",IFERROR(VLOOKUP($B81,Evening_Shift!$B$4:$BJ$62,MATCH(Both_Shift_Roster!S$2,Evening_Shift!$B$2:$BJ$2,0),0),""),IFERROR(VLOOKUP($B81,Morning_Shift!$B$4:$BJ$61,MATCH(Both_Shift_Roster!S$2,Morning_Shift!$B$2:$BJ$2,0),0),""))</f>
        <v>14:30-22:00</v>
      </c>
      <c r="T81" s="2" t="str">
        <f>IF(IFERROR(VLOOKUP($B81,Morning_Shift!$B$4:$BJ$61,MATCH(Both_Shift_Roster!T$2,Morning_Shift!$B$2:$BJ$2,0),0),"")="",IFERROR(VLOOKUP($B81,Evening_Shift!$B$4:$BJ$62,MATCH(Both_Shift_Roster!T$2,Evening_Shift!$B$2:$BJ$2,0),0),""),IFERROR(VLOOKUP($B81,Morning_Shift!$B$4:$BJ$61,MATCH(Both_Shift_Roster!T$2,Morning_Shift!$B$2:$BJ$2,0),0),""))</f>
        <v>Agent Choice WO</v>
      </c>
      <c r="U81" s="2" t="str">
        <f>IF(IFERROR(VLOOKUP($B81,Morning_Shift!$B$4:$BJ$61,MATCH(Both_Shift_Roster!U$2,Morning_Shift!$B$2:$BJ$2,0),0),"")="",IFERROR(VLOOKUP($B81,Evening_Shift!$B$4:$BJ$62,MATCH(Both_Shift_Roster!U$2,Evening_Shift!$B$2:$BJ$2,0),0),""),IFERROR(VLOOKUP($B81,Morning_Shift!$B$4:$BJ$61,MATCH(Both_Shift_Roster!U$2,Morning_Shift!$B$2:$BJ$2,0),0),""))</f>
        <v>14:30-22:00</v>
      </c>
      <c r="V81" s="2" t="str">
        <f>IF(IFERROR(VLOOKUP($B81,Morning_Shift!$B$4:$BJ$61,MATCH(Both_Shift_Roster!V$2,Morning_Shift!$B$2:$BJ$2,0),0),"")="",IFERROR(VLOOKUP($B81,Evening_Shift!$B$4:$BJ$62,MATCH(Both_Shift_Roster!V$2,Evening_Shift!$B$2:$BJ$2,0),0),""),IFERROR(VLOOKUP($B81,Morning_Shift!$B$4:$BJ$61,MATCH(Both_Shift_Roster!V$2,Morning_Shift!$B$2:$BJ$2,0),0),""))</f>
        <v>14:30-22:00</v>
      </c>
      <c r="W81" s="2" t="str">
        <f>IF(IFERROR(VLOOKUP($B81,Morning_Shift!$B$4:$BJ$61,MATCH(Both_Shift_Roster!W$2,Morning_Shift!$B$2:$BJ$2,0),0),"")="",IFERROR(VLOOKUP($B81,Evening_Shift!$B$4:$BJ$62,MATCH(Both_Shift_Roster!W$2,Evening_Shift!$B$2:$BJ$2,0),0),""),IFERROR(VLOOKUP($B81,Morning_Shift!$B$4:$BJ$61,MATCH(Both_Shift_Roster!W$2,Morning_Shift!$B$2:$BJ$2,0),0),""))</f>
        <v>14:30-22:00</v>
      </c>
      <c r="X81" s="2" t="str">
        <f>IF(IFERROR(VLOOKUP($B81,Morning_Shift!$B$4:$BJ$61,MATCH(Both_Shift_Roster!X$2,Morning_Shift!$B$2:$BJ$2,0),0),"")="",IFERROR(VLOOKUP($B81,Evening_Shift!$B$4:$BJ$62,MATCH(Both_Shift_Roster!X$2,Evening_Shift!$B$2:$BJ$2,0),0),""),IFERROR(VLOOKUP($B81,Morning_Shift!$B$4:$BJ$61,MATCH(Both_Shift_Roster!X$2,Morning_Shift!$B$2:$BJ$2,0),0),""))</f>
        <v>14:30-22:00</v>
      </c>
      <c r="Y81" s="2" t="str">
        <f>IF(IFERROR(VLOOKUP($B81,Morning_Shift!$B$4:$BJ$61,MATCH(Both_Shift_Roster!Y$2,Morning_Shift!$B$2:$BJ$2,0),0),"")="",IFERROR(VLOOKUP($B81,Evening_Shift!$B$4:$BJ$62,MATCH(Both_Shift_Roster!Y$2,Evening_Shift!$B$2:$BJ$2,0),0),""),IFERROR(VLOOKUP($B81,Morning_Shift!$B$4:$BJ$61,MATCH(Both_Shift_Roster!Y$2,Morning_Shift!$B$2:$BJ$2,0),0),""))</f>
        <v>14:30-22:00</v>
      </c>
      <c r="Z81" s="2">
        <f t="shared" si="46"/>
        <v>1</v>
      </c>
      <c r="AA81" s="2">
        <f t="shared" si="47"/>
        <v>0</v>
      </c>
      <c r="AB81" s="2">
        <f t="shared" si="48"/>
        <v>0</v>
      </c>
      <c r="AC81" s="2">
        <f t="shared" si="49"/>
        <v>0</v>
      </c>
      <c r="AD81" s="2">
        <f t="shared" si="50"/>
        <v>0</v>
      </c>
      <c r="AE81" s="2" t="str">
        <f>IF(IFERROR(VLOOKUP($B81,Morning_Shift!$B$4:$BJ$61,MATCH(Both_Shift_Roster!AE$2,Morning_Shift!$B$2:$BJ$2,0),0),"")="",IFERROR(VLOOKUP($B81,Evening_Shift!$B$4:$BJ$62,MATCH(Both_Shift_Roster!AE$2,Evening_Shift!$B$2:$BJ$2,0),0),""),IFERROR(VLOOKUP($B81,Morning_Shift!$B$4:$BJ$61,MATCH(Both_Shift_Roster!AE$2,Morning_Shift!$B$2:$BJ$2,0),0),""))</f>
        <v>14:30-22:00</v>
      </c>
      <c r="AF81" s="2" t="str">
        <f>IF(IFERROR(VLOOKUP($B81,Morning_Shift!$B$4:$BJ$61,MATCH(Both_Shift_Roster!AF$2,Morning_Shift!$B$2:$BJ$2,0),0),"")="",IFERROR(VLOOKUP($B81,Evening_Shift!$B$4:$BJ$62,MATCH(Both_Shift_Roster!AF$2,Evening_Shift!$B$2:$BJ$2,0),0),""),IFERROR(VLOOKUP($B81,Morning_Shift!$B$4:$BJ$61,MATCH(Both_Shift_Roster!AF$2,Morning_Shift!$B$2:$BJ$2,0),0),""))</f>
        <v>14:30-22:00</v>
      </c>
      <c r="AG81" s="2" t="str">
        <f>IF(IFERROR(VLOOKUP($B81,Morning_Shift!$B$4:$BJ$61,MATCH(Both_Shift_Roster!AG$2,Morning_Shift!$B$2:$BJ$2,0),0),"")="",IFERROR(VLOOKUP($B81,Evening_Shift!$B$4:$BJ$62,MATCH(Both_Shift_Roster!AG$2,Evening_Shift!$B$2:$BJ$2,0),0),""),IFERROR(VLOOKUP($B81,Morning_Shift!$B$4:$BJ$61,MATCH(Both_Shift_Roster!AG$2,Morning_Shift!$B$2:$BJ$2,0),0),""))</f>
        <v>14:30-22:00</v>
      </c>
      <c r="AH81" s="2" t="str">
        <f>IF(IFERROR(VLOOKUP($B81,Morning_Shift!$B$4:$BJ$61,MATCH(Both_Shift_Roster!AH$2,Morning_Shift!$B$2:$BJ$2,0),0),"")="",IFERROR(VLOOKUP($B81,Evening_Shift!$B$4:$BJ$62,MATCH(Both_Shift_Roster!AH$2,Evening_Shift!$B$2:$BJ$2,0),0),""),IFERROR(VLOOKUP($B81,Morning_Shift!$B$4:$BJ$61,MATCH(Both_Shift_Roster!AH$2,Morning_Shift!$B$2:$BJ$2,0),0),""))</f>
        <v>14:30-22:00</v>
      </c>
      <c r="AI81" s="2" t="str">
        <f>IF(IFERROR(VLOOKUP($B81,Morning_Shift!$B$4:$BJ$61,MATCH(Both_Shift_Roster!AI$2,Morning_Shift!$B$2:$BJ$2,0),0),"")="",IFERROR(VLOOKUP($B81,Evening_Shift!$B$4:$BJ$62,MATCH(Both_Shift_Roster!AI$2,Evening_Shift!$B$2:$BJ$2,0),0),""),IFERROR(VLOOKUP($B81,Morning_Shift!$B$4:$BJ$61,MATCH(Both_Shift_Roster!AI$2,Morning_Shift!$B$2:$BJ$2,0),0),""))</f>
        <v>14:30-22:00</v>
      </c>
      <c r="AJ81" s="2" t="str">
        <f>IF(IFERROR(VLOOKUP($B81,Morning_Shift!$B$4:$BJ$61,MATCH(Both_Shift_Roster!AJ$2,Morning_Shift!$B$2:$BJ$2,0),0),"")="",IFERROR(VLOOKUP($B81,Evening_Shift!$B$4:$BJ$62,MATCH(Both_Shift_Roster!AJ$2,Evening_Shift!$B$2:$BJ$2,0),0),""),IFERROR(VLOOKUP($B81,Morning_Shift!$B$4:$BJ$61,MATCH(Both_Shift_Roster!AJ$2,Morning_Shift!$B$2:$BJ$2,0),0),""))</f>
        <v>14:30-22:00</v>
      </c>
      <c r="AK81" s="2" t="str">
        <f>IF(IFERROR(VLOOKUP($B81,Morning_Shift!$B$4:$BJ$61,MATCH(Both_Shift_Roster!AK$2,Morning_Shift!$B$2:$BJ$2,0),0),"")="",IFERROR(VLOOKUP($B81,Evening_Shift!$B$4:$BJ$62,MATCH(Both_Shift_Roster!AK$2,Evening_Shift!$B$2:$BJ$2,0),0),""),IFERROR(VLOOKUP($B81,Morning_Shift!$B$4:$BJ$61,MATCH(Both_Shift_Roster!AK$2,Morning_Shift!$B$2:$BJ$2,0),0),""))</f>
        <v>14:30-22:00</v>
      </c>
      <c r="AL81" s="2">
        <f t="shared" si="51"/>
        <v>0</v>
      </c>
      <c r="AM81" s="2">
        <f t="shared" si="52"/>
        <v>0</v>
      </c>
      <c r="AN81" s="2">
        <f t="shared" si="53"/>
        <v>0</v>
      </c>
      <c r="AO81" s="2">
        <f t="shared" si="54"/>
        <v>0</v>
      </c>
      <c r="AP81" s="2">
        <f t="shared" si="55"/>
        <v>0</v>
      </c>
      <c r="AQ81" s="2" t="str">
        <f>IF(IFERROR(VLOOKUP($B81,Morning_Shift!$B$4:$BJ$61,MATCH(Both_Shift_Roster!AQ$2,Morning_Shift!$B$2:$BJ$2,0),0),"")="",IFERROR(VLOOKUP($B81,Evening_Shift!$B$4:$BJ$62,MATCH(Both_Shift_Roster!AQ$2,Evening_Shift!$B$2:$BJ$2,0),0),""),IFERROR(VLOOKUP($B81,Morning_Shift!$B$4:$BJ$61,MATCH(Both_Shift_Roster!AQ$2,Morning_Shift!$B$2:$BJ$2,0),0),""))</f>
        <v>Agent Choice WO</v>
      </c>
      <c r="AR81" s="2" t="str">
        <f>IF(IFERROR(VLOOKUP($B81,Morning_Shift!$B$4:$BJ$61,MATCH(Both_Shift_Roster!AR$2,Morning_Shift!$B$2:$BJ$2,0),0),"")="",IFERROR(VLOOKUP($B81,Evening_Shift!$B$4:$BJ$62,MATCH(Both_Shift_Roster!AR$2,Evening_Shift!$B$2:$BJ$2,0),0),""),IFERROR(VLOOKUP($B81,Morning_Shift!$B$4:$BJ$61,MATCH(Both_Shift_Roster!AR$2,Morning_Shift!$B$2:$BJ$2,0),0),""))</f>
        <v>14:30-22:00</v>
      </c>
      <c r="AS81" s="2" t="str">
        <f>IF(IFERROR(VLOOKUP($B81,Morning_Shift!$B$4:$BJ$61,MATCH(Both_Shift_Roster!AS$2,Morning_Shift!$B$2:$BJ$2,0),0),"")="",IFERROR(VLOOKUP($B81,Evening_Shift!$B$4:$BJ$62,MATCH(Both_Shift_Roster!AS$2,Evening_Shift!$B$2:$BJ$2,0),0),""),IFERROR(VLOOKUP($B81,Morning_Shift!$B$4:$BJ$61,MATCH(Both_Shift_Roster!AS$2,Morning_Shift!$B$2:$BJ$2,0),0),""))</f>
        <v>14:30-22:00</v>
      </c>
      <c r="AT81" s="2" t="str">
        <f>IF(IFERROR(VLOOKUP($B81,Morning_Shift!$B$4:$BJ$61,MATCH(Both_Shift_Roster!AT$2,Morning_Shift!$B$2:$BJ$2,0),0),"")="",IFERROR(VLOOKUP($B81,Evening_Shift!$B$4:$BJ$62,MATCH(Both_Shift_Roster!AT$2,Evening_Shift!$B$2:$BJ$2,0),0),""),IFERROR(VLOOKUP($B81,Morning_Shift!$B$4:$BJ$61,MATCH(Both_Shift_Roster!AT$2,Morning_Shift!$B$2:$BJ$2,0),0),""))</f>
        <v>14:30-22:00</v>
      </c>
      <c r="AU81" s="2" t="str">
        <f>IF(IFERROR(VLOOKUP($B81,Morning_Shift!$B$4:$BJ$61,MATCH(Both_Shift_Roster!AU$2,Morning_Shift!$B$2:$BJ$2,0),0),"")="",IFERROR(VLOOKUP($B81,Evening_Shift!$B$4:$BJ$62,MATCH(Both_Shift_Roster!AU$2,Evening_Shift!$B$2:$BJ$2,0),0),""),IFERROR(VLOOKUP($B81,Morning_Shift!$B$4:$BJ$61,MATCH(Both_Shift_Roster!AU$2,Morning_Shift!$B$2:$BJ$2,0),0),""))</f>
        <v>14:30-22:00</v>
      </c>
      <c r="AV81" s="2" t="str">
        <f>IF(IFERROR(VLOOKUP($B81,Morning_Shift!$B$4:$BJ$61,MATCH(Both_Shift_Roster!AV$2,Morning_Shift!$B$2:$BJ$2,0),0),"")="",IFERROR(VLOOKUP($B81,Evening_Shift!$B$4:$BJ$62,MATCH(Both_Shift_Roster!AV$2,Evening_Shift!$B$2:$BJ$2,0),0),""),IFERROR(VLOOKUP($B81,Morning_Shift!$B$4:$BJ$61,MATCH(Both_Shift_Roster!AV$2,Morning_Shift!$B$2:$BJ$2,0),0),""))</f>
        <v>14:30-22:00</v>
      </c>
      <c r="AW81" s="2" t="str">
        <f>IF(IFERROR(VLOOKUP($B81,Morning_Shift!$B$4:$BJ$61,MATCH(Both_Shift_Roster!AW$2,Morning_Shift!$B$2:$BJ$2,0),0),"")="",IFERROR(VLOOKUP($B81,Evening_Shift!$B$4:$BJ$62,MATCH(Both_Shift_Roster!AW$2,Evening_Shift!$B$2:$BJ$2,0),0),""),IFERROR(VLOOKUP($B81,Morning_Shift!$B$4:$BJ$61,MATCH(Both_Shift_Roster!AW$2,Morning_Shift!$B$2:$BJ$2,0),0),""))</f>
        <v>CL</v>
      </c>
      <c r="AX81" s="2">
        <f t="shared" si="56"/>
        <v>1</v>
      </c>
      <c r="AY81" s="2">
        <f t="shared" si="57"/>
        <v>0</v>
      </c>
      <c r="AZ81" s="2">
        <f t="shared" si="58"/>
        <v>1</v>
      </c>
      <c r="BA81" s="2">
        <f t="shared" si="59"/>
        <v>0</v>
      </c>
      <c r="BB81" s="2">
        <f t="shared" si="60"/>
        <v>0</v>
      </c>
      <c r="BC81" s="2" t="str">
        <f>IF(IFERROR(VLOOKUP($B81,Morning_Shift!$B$4:$BJ$61,MATCH(Both_Shift_Roster!BC$2,Morning_Shift!$B$2:$BJ$2,0),0),"")="",IFERROR(VLOOKUP($B81,Evening_Shift!$B$4:$BJ$62,MATCH(Both_Shift_Roster!BC$2,Evening_Shift!$B$2:$BJ$2,0),0),""),IFERROR(VLOOKUP($B81,Morning_Shift!$B$4:$BJ$61,MATCH(Both_Shift_Roster!BC$2,Morning_Shift!$B$2:$BJ$2,0),0),""))</f>
        <v>14:30-22:00</v>
      </c>
      <c r="BD81" s="2" t="str">
        <f>IF(IFERROR(VLOOKUP($B81,Morning_Shift!$B$4:$BJ$61,MATCH(Both_Shift_Roster!BD$2,Morning_Shift!$B$2:$BJ$2,0),0),"")="",IFERROR(VLOOKUP($B81,Evening_Shift!$B$4:$BJ$62,MATCH(Both_Shift_Roster!BD$2,Evening_Shift!$B$2:$BJ$2,0),0),""),IFERROR(VLOOKUP($B81,Morning_Shift!$B$4:$BJ$61,MATCH(Both_Shift_Roster!BD$2,Morning_Shift!$B$2:$BJ$2,0),0),""))</f>
        <v>14:30-22:00</v>
      </c>
      <c r="BE81" s="2" t="str">
        <f>IF(IFERROR(VLOOKUP($B81,Morning_Shift!$B$4:$BJ$61,MATCH(Both_Shift_Roster!BE$2,Morning_Shift!$B$2:$BJ$2,0),0),"")="",IFERROR(VLOOKUP($B81,Evening_Shift!$B$4:$BJ$59,MATCH(Both_Shift_Roster!BE$2,Evening_Shift!$B$2:$BJ$2,0),0),""),IFERROR(VLOOKUP($B81,Morning_Shift!$B$4:$BJ$61,MATCH(Both_Shift_Roster!BE$2,Morning_Shift!$B$2:$BJ$2,0),0),""))</f>
        <v>14:30-22:00</v>
      </c>
      <c r="BF81" s="2">
        <f t="shared" si="61"/>
        <v>0</v>
      </c>
      <c r="BG81" s="2">
        <f t="shared" si="62"/>
        <v>0</v>
      </c>
      <c r="BH81" s="2">
        <f t="shared" si="63"/>
        <v>0</v>
      </c>
      <c r="BI81" s="2">
        <f t="shared" si="64"/>
        <v>0</v>
      </c>
      <c r="BJ81" s="2">
        <f t="shared" si="65"/>
        <v>0</v>
      </c>
    </row>
    <row r="82" spans="1:62">
      <c r="A82" s="17">
        <f t="shared" si="66"/>
        <v>79</v>
      </c>
      <c r="B82" s="16" t="str">
        <f>Evening_Shift!$B24</f>
        <v>Dritm81</v>
      </c>
      <c r="C82" s="21" t="str">
        <f>IF(IFERROR(VLOOKUP(B82,Morning_Shift!B:C,2,0),"")="",IFERROR(VLOOKUP(B82,Evening_Shift!B:C,2,0),""),IFERROR(VLOOKUP(B82,Morning_Shift!B:C,2,0),""))</f>
        <v>Akshay Kumar</v>
      </c>
      <c r="D82" s="15" t="str">
        <f>IF(IFERROR(VLOOKUP(B82,Morning_Shift!B:D,3,0),"")="",IFERROR(VLOOKUP(B82,Evening_Shift!B:D,3,0),""),IFERROR(VLOOKUP(B82,Morning_Shift!B:D,3,0),""))</f>
        <v xml:space="preserve">Sanjesh </v>
      </c>
      <c r="E82" s="4" t="str">
        <f>IF(IFERROR(VLOOKUP(B82,Morning_Shift!B:E,4,0),"")="",IFERROR(VLOOKUP(B82,Evening_Shift!B:E,4,0),""),IFERROR(VLOOKUP(B82,Morning_Shift!B:E,4,0),""))</f>
        <v>M</v>
      </c>
      <c r="F82" s="5" t="str">
        <f>IF(IFERROR(VLOOKUP(B82,Morning_Shift!B:F,5,0),"")="",IFERROR(VLOOKUP(B82,Evening_Shift!B:F,5,0),""),IFERROR(VLOOKUP(B82,Morning_Shift!B:F,5,0),""))</f>
        <v>Inbound</v>
      </c>
      <c r="G82" s="2" t="str">
        <f>IF(IFERROR(VLOOKUP($B82,Morning_Shift!$B$4:$BJ$61,MATCH(Both_Shift_Roster!G$2,Morning_Shift!$B$2:$BJ$2,0),0),"")="",IFERROR(VLOOKUP($B82,Evening_Shift!$B$4:$BJ$62,MATCH(Both_Shift_Roster!G$2,Evening_Shift!$B$2:$BJ$2,0),0),""),IFERROR(VLOOKUP($B82,Morning_Shift!$B$4:$BJ$61,MATCH(Both_Shift_Roster!G$2,Morning_Shift!$B$2:$BJ$2,0),0),""))</f>
        <v>14:30-22:00</v>
      </c>
      <c r="H82" s="2" t="str">
        <f>IF(IFERROR(VLOOKUP($B82,Morning_Shift!$B$4:$BJ$61,MATCH(Both_Shift_Roster!H$2,Morning_Shift!$B$2:$BJ$2,0),0),"")="",IFERROR(VLOOKUP($B82,Evening_Shift!$B$4:$BJ$62,MATCH(Both_Shift_Roster!H$2,Evening_Shift!$B$2:$BJ$2,0),0),""),IFERROR(VLOOKUP($B82,Morning_Shift!$B$4:$BJ$61,MATCH(Both_Shift_Roster!H$2,Morning_Shift!$B$2:$BJ$2,0),0),""))</f>
        <v>14:30-22:00</v>
      </c>
      <c r="I82" s="2" t="str">
        <f>IF(IFERROR(VLOOKUP($B82,Morning_Shift!$B$4:$BJ$61,MATCH(Both_Shift_Roster!I$2,Morning_Shift!$B$2:$BJ$2,0),0),"")="",IFERROR(VLOOKUP($B82,Evening_Shift!$B$4:$BJ$62,MATCH(Both_Shift_Roster!I$2,Evening_Shift!$B$2:$BJ$2,0),0),""),IFERROR(VLOOKUP($B82,Morning_Shift!$B$4:$BJ$61,MATCH(Both_Shift_Roster!I$2,Morning_Shift!$B$2:$BJ$2,0),0),""))</f>
        <v>14:30-22:00</v>
      </c>
      <c r="J82" s="2" t="str">
        <f>IF(IFERROR(VLOOKUP($B82,Morning_Shift!$B$4:$BJ$61,MATCH(Both_Shift_Roster!J$2,Morning_Shift!$B$2:$BJ$2,0),0),"")="",IFERROR(VLOOKUP($B82,Evening_Shift!$B$4:$BJ$62,MATCH(Both_Shift_Roster!J$2,Evening_Shift!$B$2:$BJ$2,0),0),""),IFERROR(VLOOKUP($B82,Morning_Shift!$B$4:$BJ$61,MATCH(Both_Shift_Roster!J$2,Morning_Shift!$B$2:$BJ$2,0),0),""))</f>
        <v>14:30-22:00</v>
      </c>
      <c r="K82" s="2" t="str">
        <f>IF(IFERROR(VLOOKUP($B82,Morning_Shift!$B$4:$BJ$61,MATCH(Both_Shift_Roster!K$2,Morning_Shift!$B$2:$BJ$2,0),0),"")="",IFERROR(VLOOKUP($B82,Evening_Shift!$B$4:$BJ$62,MATCH(Both_Shift_Roster!K$2,Evening_Shift!$B$2:$BJ$2,0),0),""),IFERROR(VLOOKUP($B82,Morning_Shift!$B$4:$BJ$61,MATCH(Both_Shift_Roster!K$2,Morning_Shift!$B$2:$BJ$2,0),0),""))</f>
        <v>14:30-22:00</v>
      </c>
      <c r="L82" s="2" t="str">
        <f>IF(IFERROR(VLOOKUP($B82,Morning_Shift!$B$4:$BJ$61,MATCH(Both_Shift_Roster!L$2,Morning_Shift!$B$2:$BJ$2,0),0),"")="",IFERROR(VLOOKUP($B82,Evening_Shift!$B$4:$BJ$62,MATCH(Both_Shift_Roster!L$2,Evening_Shift!$B$2:$BJ$2,0),0),""),IFERROR(VLOOKUP($B82,Morning_Shift!$B$4:$BJ$61,MATCH(Both_Shift_Roster!L$2,Morning_Shift!$B$2:$BJ$2,0),0),""))</f>
        <v>14:30-22:00</v>
      </c>
      <c r="M82" s="2" t="str">
        <f>IF(IFERROR(VLOOKUP($B82,Morning_Shift!$B$4:$BJ$61,MATCH(Both_Shift_Roster!M$2,Morning_Shift!$B$2:$BJ$2,0),0),"")="",IFERROR(VLOOKUP($B82,Evening_Shift!$B$4:$BJ$62,MATCH(Both_Shift_Roster!M$2,Evening_Shift!$B$2:$BJ$2,0),0),""),IFERROR(VLOOKUP($B82,Morning_Shift!$B$4:$BJ$61,MATCH(Both_Shift_Roster!M$2,Morning_Shift!$B$2:$BJ$2,0),0),""))</f>
        <v>14:30-22:00</v>
      </c>
      <c r="N82" s="2">
        <f t="shared" si="41"/>
        <v>0</v>
      </c>
      <c r="O82" s="2">
        <f t="shared" si="42"/>
        <v>0</v>
      </c>
      <c r="P82" s="2">
        <f t="shared" si="43"/>
        <v>0</v>
      </c>
      <c r="Q82" s="2">
        <f t="shared" si="44"/>
        <v>0</v>
      </c>
      <c r="R82" s="2">
        <f t="shared" si="45"/>
        <v>0</v>
      </c>
      <c r="S82" s="2" t="str">
        <f>IF(IFERROR(VLOOKUP($B82,Morning_Shift!$B$4:$BJ$61,MATCH(Both_Shift_Roster!S$2,Morning_Shift!$B$2:$BJ$2,0),0),"")="",IFERROR(VLOOKUP($B82,Evening_Shift!$B$4:$BJ$62,MATCH(Both_Shift_Roster!S$2,Evening_Shift!$B$2:$BJ$2,0),0),""),IFERROR(VLOOKUP($B82,Morning_Shift!$B$4:$BJ$61,MATCH(Both_Shift_Roster!S$2,Morning_Shift!$B$2:$BJ$2,0),0),""))</f>
        <v>14:30-22:00</v>
      </c>
      <c r="T82" s="2" t="str">
        <f>IF(IFERROR(VLOOKUP($B82,Morning_Shift!$B$4:$BJ$61,MATCH(Both_Shift_Roster!T$2,Morning_Shift!$B$2:$BJ$2,0),0),"")="",IFERROR(VLOOKUP($B82,Evening_Shift!$B$4:$BJ$62,MATCH(Both_Shift_Roster!T$2,Evening_Shift!$B$2:$BJ$2,0),0),""),IFERROR(VLOOKUP($B82,Morning_Shift!$B$4:$BJ$61,MATCH(Both_Shift_Roster!T$2,Morning_Shift!$B$2:$BJ$2,0),0),""))</f>
        <v>14:30-22:00</v>
      </c>
      <c r="U82" s="2" t="str">
        <f>IF(IFERROR(VLOOKUP($B82,Morning_Shift!$B$4:$BJ$61,MATCH(Both_Shift_Roster!U$2,Morning_Shift!$B$2:$BJ$2,0),0),"")="",IFERROR(VLOOKUP($B82,Evening_Shift!$B$4:$BJ$62,MATCH(Both_Shift_Roster!U$2,Evening_Shift!$B$2:$BJ$2,0),0),""),IFERROR(VLOOKUP($B82,Morning_Shift!$B$4:$BJ$61,MATCH(Both_Shift_Roster!U$2,Morning_Shift!$B$2:$BJ$2,0),0),""))</f>
        <v>14:30-22:00</v>
      </c>
      <c r="V82" s="2" t="str">
        <f>IF(IFERROR(VLOOKUP($B82,Morning_Shift!$B$4:$BJ$61,MATCH(Both_Shift_Roster!V$2,Morning_Shift!$B$2:$BJ$2,0),0),"")="",IFERROR(VLOOKUP($B82,Evening_Shift!$B$4:$BJ$62,MATCH(Both_Shift_Roster!V$2,Evening_Shift!$B$2:$BJ$2,0),0),""),IFERROR(VLOOKUP($B82,Morning_Shift!$B$4:$BJ$61,MATCH(Both_Shift_Roster!V$2,Morning_Shift!$B$2:$BJ$2,0),0),""))</f>
        <v>14:30-22:00</v>
      </c>
      <c r="W82" s="2" t="str">
        <f>IF(IFERROR(VLOOKUP($B82,Morning_Shift!$B$4:$BJ$61,MATCH(Both_Shift_Roster!W$2,Morning_Shift!$B$2:$BJ$2,0),0),"")="",IFERROR(VLOOKUP($B82,Evening_Shift!$B$4:$BJ$62,MATCH(Both_Shift_Roster!W$2,Evening_Shift!$B$2:$BJ$2,0),0),""),IFERROR(VLOOKUP($B82,Morning_Shift!$B$4:$BJ$61,MATCH(Both_Shift_Roster!W$2,Morning_Shift!$B$2:$BJ$2,0),0),""))</f>
        <v>14:30-22:00</v>
      </c>
      <c r="X82" s="2" t="str">
        <f>IF(IFERROR(VLOOKUP($B82,Morning_Shift!$B$4:$BJ$61,MATCH(Both_Shift_Roster!X$2,Morning_Shift!$B$2:$BJ$2,0),0),"")="",IFERROR(VLOOKUP($B82,Evening_Shift!$B$4:$BJ$62,MATCH(Both_Shift_Roster!X$2,Evening_Shift!$B$2:$BJ$2,0),0),""),IFERROR(VLOOKUP($B82,Morning_Shift!$B$4:$BJ$61,MATCH(Both_Shift_Roster!X$2,Morning_Shift!$B$2:$BJ$2,0),0),""))</f>
        <v>14:30-22:00</v>
      </c>
      <c r="Y82" s="2" t="str">
        <f>IF(IFERROR(VLOOKUP($B82,Morning_Shift!$B$4:$BJ$61,MATCH(Both_Shift_Roster!Y$2,Morning_Shift!$B$2:$BJ$2,0),0),"")="",IFERROR(VLOOKUP($B82,Evening_Shift!$B$4:$BJ$62,MATCH(Both_Shift_Roster!Y$2,Evening_Shift!$B$2:$BJ$2,0),0),""),IFERROR(VLOOKUP($B82,Morning_Shift!$B$4:$BJ$61,MATCH(Both_Shift_Roster!Y$2,Morning_Shift!$B$2:$BJ$2,0),0),""))</f>
        <v>14:30-22:00</v>
      </c>
      <c r="Z82" s="2">
        <f t="shared" si="46"/>
        <v>0</v>
      </c>
      <c r="AA82" s="2">
        <f t="shared" si="47"/>
        <v>0</v>
      </c>
      <c r="AB82" s="2">
        <f t="shared" si="48"/>
        <v>0</v>
      </c>
      <c r="AC82" s="2">
        <f t="shared" si="49"/>
        <v>0</v>
      </c>
      <c r="AD82" s="2">
        <f t="shared" si="50"/>
        <v>0</v>
      </c>
      <c r="AE82" s="2" t="str">
        <f>IF(IFERROR(VLOOKUP($B82,Morning_Shift!$B$4:$BJ$61,MATCH(Both_Shift_Roster!AE$2,Morning_Shift!$B$2:$BJ$2,0),0),"")="",IFERROR(VLOOKUP($B82,Evening_Shift!$B$4:$BJ$62,MATCH(Both_Shift_Roster!AE$2,Evening_Shift!$B$2:$BJ$2,0),0),""),IFERROR(VLOOKUP($B82,Morning_Shift!$B$4:$BJ$61,MATCH(Both_Shift_Roster!AE$2,Morning_Shift!$B$2:$BJ$2,0),0),""))</f>
        <v>14:30-22:00</v>
      </c>
      <c r="AF82" s="2" t="str">
        <f>IF(IFERROR(VLOOKUP($B82,Morning_Shift!$B$4:$BJ$61,MATCH(Both_Shift_Roster!AF$2,Morning_Shift!$B$2:$BJ$2,0),0),"")="",IFERROR(VLOOKUP($B82,Evening_Shift!$B$4:$BJ$62,MATCH(Both_Shift_Roster!AF$2,Evening_Shift!$B$2:$BJ$2,0),0),""),IFERROR(VLOOKUP($B82,Morning_Shift!$B$4:$BJ$61,MATCH(Both_Shift_Roster!AF$2,Morning_Shift!$B$2:$BJ$2,0),0),""))</f>
        <v>14:30-22:00</v>
      </c>
      <c r="AG82" s="2" t="str">
        <f>IF(IFERROR(VLOOKUP($B82,Morning_Shift!$B$4:$BJ$61,MATCH(Both_Shift_Roster!AG$2,Morning_Shift!$B$2:$BJ$2,0),0),"")="",IFERROR(VLOOKUP($B82,Evening_Shift!$B$4:$BJ$62,MATCH(Both_Shift_Roster!AG$2,Evening_Shift!$B$2:$BJ$2,0),0),""),IFERROR(VLOOKUP($B82,Morning_Shift!$B$4:$BJ$61,MATCH(Both_Shift_Roster!AG$2,Morning_Shift!$B$2:$BJ$2,0),0),""))</f>
        <v>14:30-22:00</v>
      </c>
      <c r="AH82" s="2" t="str">
        <f>IF(IFERROR(VLOOKUP($B82,Morning_Shift!$B$4:$BJ$61,MATCH(Both_Shift_Roster!AH$2,Morning_Shift!$B$2:$BJ$2,0),0),"")="",IFERROR(VLOOKUP($B82,Evening_Shift!$B$4:$BJ$62,MATCH(Both_Shift_Roster!AH$2,Evening_Shift!$B$2:$BJ$2,0),0),""),IFERROR(VLOOKUP($B82,Morning_Shift!$B$4:$BJ$61,MATCH(Both_Shift_Roster!AH$2,Morning_Shift!$B$2:$BJ$2,0),0),""))</f>
        <v>Agent Choice WO</v>
      </c>
      <c r="AI82" s="2" t="str">
        <f>IF(IFERROR(VLOOKUP($B82,Morning_Shift!$B$4:$BJ$61,MATCH(Both_Shift_Roster!AI$2,Morning_Shift!$B$2:$BJ$2,0),0),"")="",IFERROR(VLOOKUP($B82,Evening_Shift!$B$4:$BJ$62,MATCH(Both_Shift_Roster!AI$2,Evening_Shift!$B$2:$BJ$2,0),0),""),IFERROR(VLOOKUP($B82,Morning_Shift!$B$4:$BJ$61,MATCH(Both_Shift_Roster!AI$2,Morning_Shift!$B$2:$BJ$2,0),0),""))</f>
        <v>TL Choice WO</v>
      </c>
      <c r="AJ82" s="2" t="str">
        <f>IF(IFERROR(VLOOKUP($B82,Morning_Shift!$B$4:$BJ$61,MATCH(Both_Shift_Roster!AJ$2,Morning_Shift!$B$2:$BJ$2,0),0),"")="",IFERROR(VLOOKUP($B82,Evening_Shift!$B$4:$BJ$62,MATCH(Both_Shift_Roster!AJ$2,Evening_Shift!$B$2:$BJ$2,0),0),""),IFERROR(VLOOKUP($B82,Morning_Shift!$B$4:$BJ$61,MATCH(Both_Shift_Roster!AJ$2,Morning_Shift!$B$2:$BJ$2,0),0),""))</f>
        <v>14:30-22:00</v>
      </c>
      <c r="AK82" s="2" t="str">
        <f>IF(IFERROR(VLOOKUP($B82,Morning_Shift!$B$4:$BJ$61,MATCH(Both_Shift_Roster!AK$2,Morning_Shift!$B$2:$BJ$2,0),0),"")="",IFERROR(VLOOKUP($B82,Evening_Shift!$B$4:$BJ$62,MATCH(Both_Shift_Roster!AK$2,Evening_Shift!$B$2:$BJ$2,0),0),""),IFERROR(VLOOKUP($B82,Morning_Shift!$B$4:$BJ$61,MATCH(Both_Shift_Roster!AK$2,Morning_Shift!$B$2:$BJ$2,0),0),""))</f>
        <v>14:30-22:00</v>
      </c>
      <c r="AL82" s="2">
        <f t="shared" si="51"/>
        <v>1</v>
      </c>
      <c r="AM82" s="2">
        <f t="shared" si="52"/>
        <v>1</v>
      </c>
      <c r="AN82" s="2">
        <f t="shared" si="53"/>
        <v>0</v>
      </c>
      <c r="AO82" s="2">
        <f t="shared" si="54"/>
        <v>0</v>
      </c>
      <c r="AP82" s="2">
        <f t="shared" si="55"/>
        <v>0</v>
      </c>
      <c r="AQ82" s="2" t="str">
        <f>IF(IFERROR(VLOOKUP($B82,Morning_Shift!$B$4:$BJ$61,MATCH(Both_Shift_Roster!AQ$2,Morning_Shift!$B$2:$BJ$2,0),0),"")="",IFERROR(VLOOKUP($B82,Evening_Shift!$B$4:$BJ$62,MATCH(Both_Shift_Roster!AQ$2,Evening_Shift!$B$2:$BJ$2,0),0),""),IFERROR(VLOOKUP($B82,Morning_Shift!$B$4:$BJ$61,MATCH(Both_Shift_Roster!AQ$2,Morning_Shift!$B$2:$BJ$2,0),0),""))</f>
        <v>14:30-22:00</v>
      </c>
      <c r="AR82" s="2" t="str">
        <f>IF(IFERROR(VLOOKUP($B82,Morning_Shift!$B$4:$BJ$61,MATCH(Both_Shift_Roster!AR$2,Morning_Shift!$B$2:$BJ$2,0),0),"")="",IFERROR(VLOOKUP($B82,Evening_Shift!$B$4:$BJ$62,MATCH(Both_Shift_Roster!AR$2,Evening_Shift!$B$2:$BJ$2,0),0),""),IFERROR(VLOOKUP($B82,Morning_Shift!$B$4:$BJ$61,MATCH(Both_Shift_Roster!AR$2,Morning_Shift!$B$2:$BJ$2,0),0),""))</f>
        <v>14:30-22:00</v>
      </c>
      <c r="AS82" s="2" t="str">
        <f>IF(IFERROR(VLOOKUP($B82,Morning_Shift!$B$4:$BJ$61,MATCH(Both_Shift_Roster!AS$2,Morning_Shift!$B$2:$BJ$2,0),0),"")="",IFERROR(VLOOKUP($B82,Evening_Shift!$B$4:$BJ$62,MATCH(Both_Shift_Roster!AS$2,Evening_Shift!$B$2:$BJ$2,0),0),""),IFERROR(VLOOKUP($B82,Morning_Shift!$B$4:$BJ$61,MATCH(Both_Shift_Roster!AS$2,Morning_Shift!$B$2:$BJ$2,0),0),""))</f>
        <v>14:30-22:00</v>
      </c>
      <c r="AT82" s="2" t="str">
        <f>IF(IFERROR(VLOOKUP($B82,Morning_Shift!$B$4:$BJ$61,MATCH(Both_Shift_Roster!AT$2,Morning_Shift!$B$2:$BJ$2,0),0),"")="",IFERROR(VLOOKUP($B82,Evening_Shift!$B$4:$BJ$62,MATCH(Both_Shift_Roster!AT$2,Evening_Shift!$B$2:$BJ$2,0),0),""),IFERROR(VLOOKUP($B82,Morning_Shift!$B$4:$BJ$61,MATCH(Both_Shift_Roster!AT$2,Morning_Shift!$B$2:$BJ$2,0),0),""))</f>
        <v>14:30-22:00</v>
      </c>
      <c r="AU82" s="2" t="str">
        <f>IF(IFERROR(VLOOKUP($B82,Morning_Shift!$B$4:$BJ$61,MATCH(Both_Shift_Roster!AU$2,Morning_Shift!$B$2:$BJ$2,0),0),"")="",IFERROR(VLOOKUP($B82,Evening_Shift!$B$4:$BJ$62,MATCH(Both_Shift_Roster!AU$2,Evening_Shift!$B$2:$BJ$2,0),0),""),IFERROR(VLOOKUP($B82,Morning_Shift!$B$4:$BJ$61,MATCH(Both_Shift_Roster!AU$2,Morning_Shift!$B$2:$BJ$2,0),0),""))</f>
        <v>14:30-22:00</v>
      </c>
      <c r="AV82" s="2" t="str">
        <f>IF(IFERROR(VLOOKUP($B82,Morning_Shift!$B$4:$BJ$61,MATCH(Both_Shift_Roster!AV$2,Morning_Shift!$B$2:$BJ$2,0),0),"")="",IFERROR(VLOOKUP($B82,Evening_Shift!$B$4:$BJ$62,MATCH(Both_Shift_Roster!AV$2,Evening_Shift!$B$2:$BJ$2,0),0),""),IFERROR(VLOOKUP($B82,Morning_Shift!$B$4:$BJ$61,MATCH(Both_Shift_Roster!AV$2,Morning_Shift!$B$2:$BJ$2,0),0),""))</f>
        <v>14:30-22:00</v>
      </c>
      <c r="AW82" s="2" t="str">
        <f>IF(IFERROR(VLOOKUP($B82,Morning_Shift!$B$4:$BJ$61,MATCH(Both_Shift_Roster!AW$2,Morning_Shift!$B$2:$BJ$2,0),0),"")="",IFERROR(VLOOKUP($B82,Evening_Shift!$B$4:$BJ$62,MATCH(Both_Shift_Roster!AW$2,Evening_Shift!$B$2:$BJ$2,0),0),""),IFERROR(VLOOKUP($B82,Morning_Shift!$B$4:$BJ$61,MATCH(Both_Shift_Roster!AW$2,Morning_Shift!$B$2:$BJ$2,0),0),""))</f>
        <v>14:30-22:00</v>
      </c>
      <c r="AX82" s="2">
        <f t="shared" si="56"/>
        <v>0</v>
      </c>
      <c r="AY82" s="2">
        <f t="shared" si="57"/>
        <v>0</v>
      </c>
      <c r="AZ82" s="2">
        <f t="shared" si="58"/>
        <v>0</v>
      </c>
      <c r="BA82" s="2">
        <f t="shared" si="59"/>
        <v>0</v>
      </c>
      <c r="BB82" s="2">
        <f t="shared" si="60"/>
        <v>0</v>
      </c>
      <c r="BC82" s="2" t="str">
        <f>IF(IFERROR(VLOOKUP($B82,Morning_Shift!$B$4:$BJ$61,MATCH(Both_Shift_Roster!BC$2,Morning_Shift!$B$2:$BJ$2,0),0),"")="",IFERROR(VLOOKUP($B82,Evening_Shift!$B$4:$BJ$62,MATCH(Both_Shift_Roster!BC$2,Evening_Shift!$B$2:$BJ$2,0),0),""),IFERROR(VLOOKUP($B82,Morning_Shift!$B$4:$BJ$61,MATCH(Both_Shift_Roster!BC$2,Morning_Shift!$B$2:$BJ$2,0),0),""))</f>
        <v>Agent Choice WO</v>
      </c>
      <c r="BD82" s="2" t="str">
        <f>IF(IFERROR(VLOOKUP($B82,Morning_Shift!$B$4:$BJ$61,MATCH(Both_Shift_Roster!BD$2,Morning_Shift!$B$2:$BJ$2,0),0),"")="",IFERROR(VLOOKUP($B82,Evening_Shift!$B$4:$BJ$62,MATCH(Both_Shift_Roster!BD$2,Evening_Shift!$B$2:$BJ$2,0),0),""),IFERROR(VLOOKUP($B82,Morning_Shift!$B$4:$BJ$61,MATCH(Both_Shift_Roster!BD$2,Morning_Shift!$B$2:$BJ$2,0),0),""))</f>
        <v>Agent Choice WO</v>
      </c>
      <c r="BE82" s="2" t="str">
        <f>IF(IFERROR(VLOOKUP($B82,Morning_Shift!$B$4:$BJ$61,MATCH(Both_Shift_Roster!BE$2,Morning_Shift!$B$2:$BJ$2,0),0),"")="",IFERROR(VLOOKUP($B82,Evening_Shift!$B$4:$BJ$59,MATCH(Both_Shift_Roster!BE$2,Evening_Shift!$B$2:$BJ$2,0),0),""),IFERROR(VLOOKUP($B82,Morning_Shift!$B$4:$BJ$61,MATCH(Both_Shift_Roster!BE$2,Morning_Shift!$B$2:$BJ$2,0),0),""))</f>
        <v>14:30-22:00</v>
      </c>
      <c r="BF82" s="2">
        <f t="shared" si="61"/>
        <v>2</v>
      </c>
      <c r="BG82" s="2">
        <f t="shared" si="62"/>
        <v>0</v>
      </c>
      <c r="BH82" s="2">
        <f t="shared" si="63"/>
        <v>0</v>
      </c>
      <c r="BI82" s="2">
        <f t="shared" si="64"/>
        <v>0</v>
      </c>
      <c r="BJ82" s="2">
        <f t="shared" si="65"/>
        <v>0</v>
      </c>
    </row>
    <row r="83" spans="1:62">
      <c r="A83" s="17">
        <f t="shared" si="66"/>
        <v>80</v>
      </c>
      <c r="B83" s="16" t="str">
        <f>Evening_Shift!$B25</f>
        <v>Dritm82</v>
      </c>
      <c r="C83" s="21" t="str">
        <f>IF(IFERROR(VLOOKUP(B83,Morning_Shift!B:C,2,0),"")="",IFERROR(VLOOKUP(B83,Evening_Shift!B:C,2,0),""),IFERROR(VLOOKUP(B83,Morning_Shift!B:C,2,0),""))</f>
        <v>Ankita</v>
      </c>
      <c r="D83" s="15" t="str">
        <f>IF(IFERROR(VLOOKUP(B83,Morning_Shift!B:D,3,0),"")="",IFERROR(VLOOKUP(B83,Evening_Shift!B:D,3,0),""),IFERROR(VLOOKUP(B83,Morning_Shift!B:D,3,0),""))</f>
        <v xml:space="preserve">Sanjesh </v>
      </c>
      <c r="E83" s="4" t="str">
        <f>IF(IFERROR(VLOOKUP(B83,Morning_Shift!B:E,4,0),"")="",IFERROR(VLOOKUP(B83,Evening_Shift!B:E,4,0),""),IFERROR(VLOOKUP(B83,Morning_Shift!B:E,4,0),""))</f>
        <v>F</v>
      </c>
      <c r="F83" s="5" t="str">
        <f>IF(IFERROR(VLOOKUP(B83,Morning_Shift!B:F,5,0),"")="",IFERROR(VLOOKUP(B83,Evening_Shift!B:F,5,0),""),IFERROR(VLOOKUP(B83,Morning_Shift!B:F,5,0),""))</f>
        <v>Inbound</v>
      </c>
      <c r="G83" s="2" t="str">
        <f>IF(IFERROR(VLOOKUP($B83,Morning_Shift!$B$4:$BJ$61,MATCH(Both_Shift_Roster!G$2,Morning_Shift!$B$2:$BJ$2,0),0),"")="",IFERROR(VLOOKUP($B83,Evening_Shift!$B$4:$BJ$62,MATCH(Both_Shift_Roster!G$2,Evening_Shift!$B$2:$BJ$2,0),0),""),IFERROR(VLOOKUP($B83,Morning_Shift!$B$4:$BJ$61,MATCH(Both_Shift_Roster!G$2,Morning_Shift!$B$2:$BJ$2,0),0),""))</f>
        <v>Agent Choice WO</v>
      </c>
      <c r="H83" s="2" t="str">
        <f>IF(IFERROR(VLOOKUP($B83,Morning_Shift!$B$4:$BJ$61,MATCH(Both_Shift_Roster!H$2,Morning_Shift!$B$2:$BJ$2,0),0),"")="",IFERROR(VLOOKUP($B83,Evening_Shift!$B$4:$BJ$62,MATCH(Both_Shift_Roster!H$2,Evening_Shift!$B$2:$BJ$2,0),0),""),IFERROR(VLOOKUP($B83,Morning_Shift!$B$4:$BJ$61,MATCH(Both_Shift_Roster!H$2,Morning_Shift!$B$2:$BJ$2,0),0),""))</f>
        <v>14:30-22:00</v>
      </c>
      <c r="I83" s="2" t="str">
        <f>IF(IFERROR(VLOOKUP($B83,Morning_Shift!$B$4:$BJ$61,MATCH(Both_Shift_Roster!I$2,Morning_Shift!$B$2:$BJ$2,0),0),"")="",IFERROR(VLOOKUP($B83,Evening_Shift!$B$4:$BJ$62,MATCH(Both_Shift_Roster!I$2,Evening_Shift!$B$2:$BJ$2,0),0),""),IFERROR(VLOOKUP($B83,Morning_Shift!$B$4:$BJ$61,MATCH(Both_Shift_Roster!I$2,Morning_Shift!$B$2:$BJ$2,0),0),""))</f>
        <v>14:30-22:00</v>
      </c>
      <c r="J83" s="2" t="str">
        <f>IF(IFERROR(VLOOKUP($B83,Morning_Shift!$B$4:$BJ$61,MATCH(Both_Shift_Roster!J$2,Morning_Shift!$B$2:$BJ$2,0),0),"")="",IFERROR(VLOOKUP($B83,Evening_Shift!$B$4:$BJ$62,MATCH(Both_Shift_Roster!J$2,Evening_Shift!$B$2:$BJ$2,0),0),""),IFERROR(VLOOKUP($B83,Morning_Shift!$B$4:$BJ$61,MATCH(Both_Shift_Roster!J$2,Morning_Shift!$B$2:$BJ$2,0),0),""))</f>
        <v>14:30-22:00</v>
      </c>
      <c r="K83" s="2" t="str">
        <f>IF(IFERROR(VLOOKUP($B83,Morning_Shift!$B$4:$BJ$61,MATCH(Both_Shift_Roster!K$2,Morning_Shift!$B$2:$BJ$2,0),0),"")="",IFERROR(VLOOKUP($B83,Evening_Shift!$B$4:$BJ$62,MATCH(Both_Shift_Roster!K$2,Evening_Shift!$B$2:$BJ$2,0),0),""),IFERROR(VLOOKUP($B83,Morning_Shift!$B$4:$BJ$61,MATCH(Both_Shift_Roster!K$2,Morning_Shift!$B$2:$BJ$2,0),0),""))</f>
        <v>14:30-22:00</v>
      </c>
      <c r="L83" s="2" t="str">
        <f>IF(IFERROR(VLOOKUP($B83,Morning_Shift!$B$4:$BJ$61,MATCH(Both_Shift_Roster!L$2,Morning_Shift!$B$2:$BJ$2,0),0),"")="",IFERROR(VLOOKUP($B83,Evening_Shift!$B$4:$BJ$62,MATCH(Both_Shift_Roster!L$2,Evening_Shift!$B$2:$BJ$2,0),0),""),IFERROR(VLOOKUP($B83,Morning_Shift!$B$4:$BJ$61,MATCH(Both_Shift_Roster!L$2,Morning_Shift!$B$2:$BJ$2,0),0),""))</f>
        <v>14:30-22:00</v>
      </c>
      <c r="M83" s="2" t="str">
        <f>IF(IFERROR(VLOOKUP($B83,Morning_Shift!$B$4:$BJ$61,MATCH(Both_Shift_Roster!M$2,Morning_Shift!$B$2:$BJ$2,0),0),"")="",IFERROR(VLOOKUP($B83,Evening_Shift!$B$4:$BJ$62,MATCH(Both_Shift_Roster!M$2,Evening_Shift!$B$2:$BJ$2,0),0),""),IFERROR(VLOOKUP($B83,Morning_Shift!$B$4:$BJ$61,MATCH(Both_Shift_Roster!M$2,Morning_Shift!$B$2:$BJ$2,0),0),""))</f>
        <v>14:30-22:00</v>
      </c>
      <c r="N83" s="2">
        <f t="shared" si="41"/>
        <v>1</v>
      </c>
      <c r="O83" s="2">
        <f t="shared" si="42"/>
        <v>0</v>
      </c>
      <c r="P83" s="2">
        <f t="shared" si="43"/>
        <v>0</v>
      </c>
      <c r="Q83" s="2">
        <f t="shared" si="44"/>
        <v>0</v>
      </c>
      <c r="R83" s="2">
        <f t="shared" si="45"/>
        <v>0</v>
      </c>
      <c r="S83" s="2" t="str">
        <f>IF(IFERROR(VLOOKUP($B83,Morning_Shift!$B$4:$BJ$61,MATCH(Both_Shift_Roster!S$2,Morning_Shift!$B$2:$BJ$2,0),0),"")="",IFERROR(VLOOKUP($B83,Evening_Shift!$B$4:$BJ$62,MATCH(Both_Shift_Roster!S$2,Evening_Shift!$B$2:$BJ$2,0),0),""),IFERROR(VLOOKUP($B83,Morning_Shift!$B$4:$BJ$61,MATCH(Both_Shift_Roster!S$2,Morning_Shift!$B$2:$BJ$2,0),0),""))</f>
        <v>14:30-22:00</v>
      </c>
      <c r="T83" s="2" t="str">
        <f>IF(IFERROR(VLOOKUP($B83,Morning_Shift!$B$4:$BJ$61,MATCH(Both_Shift_Roster!T$2,Morning_Shift!$B$2:$BJ$2,0),0),"")="",IFERROR(VLOOKUP($B83,Evening_Shift!$B$4:$BJ$62,MATCH(Both_Shift_Roster!T$2,Evening_Shift!$B$2:$BJ$2,0),0),""),IFERROR(VLOOKUP($B83,Morning_Shift!$B$4:$BJ$61,MATCH(Both_Shift_Roster!T$2,Morning_Shift!$B$2:$BJ$2,0),0),""))</f>
        <v>14:30-22:00</v>
      </c>
      <c r="U83" s="2" t="str">
        <f>IF(IFERROR(VLOOKUP($B83,Morning_Shift!$B$4:$BJ$61,MATCH(Both_Shift_Roster!U$2,Morning_Shift!$B$2:$BJ$2,0),0),"")="",IFERROR(VLOOKUP($B83,Evening_Shift!$B$4:$BJ$62,MATCH(Both_Shift_Roster!U$2,Evening_Shift!$B$2:$BJ$2,0),0),""),IFERROR(VLOOKUP($B83,Morning_Shift!$B$4:$BJ$61,MATCH(Both_Shift_Roster!U$2,Morning_Shift!$B$2:$BJ$2,0),0),""))</f>
        <v>14:30-22:00</v>
      </c>
      <c r="V83" s="2" t="str">
        <f>IF(IFERROR(VLOOKUP($B83,Morning_Shift!$B$4:$BJ$61,MATCH(Both_Shift_Roster!V$2,Morning_Shift!$B$2:$BJ$2,0),0),"")="",IFERROR(VLOOKUP($B83,Evening_Shift!$B$4:$BJ$62,MATCH(Both_Shift_Roster!V$2,Evening_Shift!$B$2:$BJ$2,0),0),""),IFERROR(VLOOKUP($B83,Morning_Shift!$B$4:$BJ$61,MATCH(Both_Shift_Roster!V$2,Morning_Shift!$B$2:$BJ$2,0),0),""))</f>
        <v>14:30-22:00</v>
      </c>
      <c r="W83" s="2" t="str">
        <f>IF(IFERROR(VLOOKUP($B83,Morning_Shift!$B$4:$BJ$61,MATCH(Both_Shift_Roster!W$2,Morning_Shift!$B$2:$BJ$2,0),0),"")="",IFERROR(VLOOKUP($B83,Evening_Shift!$B$4:$BJ$62,MATCH(Both_Shift_Roster!W$2,Evening_Shift!$B$2:$BJ$2,0),0),""),IFERROR(VLOOKUP($B83,Morning_Shift!$B$4:$BJ$61,MATCH(Both_Shift_Roster!W$2,Morning_Shift!$B$2:$BJ$2,0),0),""))</f>
        <v>14:30-22:00</v>
      </c>
      <c r="X83" s="2" t="str">
        <f>IF(IFERROR(VLOOKUP($B83,Morning_Shift!$B$4:$BJ$61,MATCH(Both_Shift_Roster!X$2,Morning_Shift!$B$2:$BJ$2,0),0),"")="",IFERROR(VLOOKUP($B83,Evening_Shift!$B$4:$BJ$62,MATCH(Both_Shift_Roster!X$2,Evening_Shift!$B$2:$BJ$2,0),0),""),IFERROR(VLOOKUP($B83,Morning_Shift!$B$4:$BJ$61,MATCH(Both_Shift_Roster!X$2,Morning_Shift!$B$2:$BJ$2,0),0),""))</f>
        <v>14:30-22:00</v>
      </c>
      <c r="Y83" s="2" t="str">
        <f>IF(IFERROR(VLOOKUP($B83,Morning_Shift!$B$4:$BJ$61,MATCH(Both_Shift_Roster!Y$2,Morning_Shift!$B$2:$BJ$2,0),0),"")="",IFERROR(VLOOKUP($B83,Evening_Shift!$B$4:$BJ$62,MATCH(Both_Shift_Roster!Y$2,Evening_Shift!$B$2:$BJ$2,0),0),""),IFERROR(VLOOKUP($B83,Morning_Shift!$B$4:$BJ$61,MATCH(Both_Shift_Roster!Y$2,Morning_Shift!$B$2:$BJ$2,0),0),""))</f>
        <v>14:30-22:00</v>
      </c>
      <c r="Z83" s="2">
        <f t="shared" si="46"/>
        <v>0</v>
      </c>
      <c r="AA83" s="2">
        <f t="shared" si="47"/>
        <v>0</v>
      </c>
      <c r="AB83" s="2">
        <f t="shared" si="48"/>
        <v>0</v>
      </c>
      <c r="AC83" s="2">
        <f t="shared" si="49"/>
        <v>0</v>
      </c>
      <c r="AD83" s="2">
        <f t="shared" si="50"/>
        <v>0</v>
      </c>
      <c r="AE83" s="2" t="str">
        <f>IF(IFERROR(VLOOKUP($B83,Morning_Shift!$B$4:$BJ$61,MATCH(Both_Shift_Roster!AE$2,Morning_Shift!$B$2:$BJ$2,0),0),"")="",IFERROR(VLOOKUP($B83,Evening_Shift!$B$4:$BJ$62,MATCH(Both_Shift_Roster!AE$2,Evening_Shift!$B$2:$BJ$2,0),0),""),IFERROR(VLOOKUP($B83,Morning_Shift!$B$4:$BJ$61,MATCH(Both_Shift_Roster!AE$2,Morning_Shift!$B$2:$BJ$2,0),0),""))</f>
        <v>14:30-22:00</v>
      </c>
      <c r="AF83" s="2" t="str">
        <f>IF(IFERROR(VLOOKUP($B83,Morning_Shift!$B$4:$BJ$61,MATCH(Both_Shift_Roster!AF$2,Morning_Shift!$B$2:$BJ$2,0),0),"")="",IFERROR(VLOOKUP($B83,Evening_Shift!$B$4:$BJ$62,MATCH(Both_Shift_Roster!AF$2,Evening_Shift!$B$2:$BJ$2,0),0),""),IFERROR(VLOOKUP($B83,Morning_Shift!$B$4:$BJ$61,MATCH(Both_Shift_Roster!AF$2,Morning_Shift!$B$2:$BJ$2,0),0),""))</f>
        <v>Agent Choice WO</v>
      </c>
      <c r="AG83" s="2" t="str">
        <f>IF(IFERROR(VLOOKUP($B83,Morning_Shift!$B$4:$BJ$61,MATCH(Both_Shift_Roster!AG$2,Morning_Shift!$B$2:$BJ$2,0),0),"")="",IFERROR(VLOOKUP($B83,Evening_Shift!$B$4:$BJ$62,MATCH(Both_Shift_Roster!AG$2,Evening_Shift!$B$2:$BJ$2,0),0),""),IFERROR(VLOOKUP($B83,Morning_Shift!$B$4:$BJ$61,MATCH(Both_Shift_Roster!AG$2,Morning_Shift!$B$2:$BJ$2,0),0),""))</f>
        <v>14:30-22:00</v>
      </c>
      <c r="AH83" s="2" t="str">
        <f>IF(IFERROR(VLOOKUP($B83,Morning_Shift!$B$4:$BJ$61,MATCH(Both_Shift_Roster!AH$2,Morning_Shift!$B$2:$BJ$2,0),0),"")="",IFERROR(VLOOKUP($B83,Evening_Shift!$B$4:$BJ$62,MATCH(Both_Shift_Roster!AH$2,Evening_Shift!$B$2:$BJ$2,0),0),""),IFERROR(VLOOKUP($B83,Morning_Shift!$B$4:$BJ$61,MATCH(Both_Shift_Roster!AH$2,Morning_Shift!$B$2:$BJ$2,0),0),""))</f>
        <v>14:30-22:00</v>
      </c>
      <c r="AI83" s="2" t="str">
        <f>IF(IFERROR(VLOOKUP($B83,Morning_Shift!$B$4:$BJ$61,MATCH(Both_Shift_Roster!AI$2,Morning_Shift!$B$2:$BJ$2,0),0),"")="",IFERROR(VLOOKUP($B83,Evening_Shift!$B$4:$BJ$62,MATCH(Both_Shift_Roster!AI$2,Evening_Shift!$B$2:$BJ$2,0),0),""),IFERROR(VLOOKUP($B83,Morning_Shift!$B$4:$BJ$61,MATCH(Both_Shift_Roster!AI$2,Morning_Shift!$B$2:$BJ$2,0),0),""))</f>
        <v>14:30-22:00</v>
      </c>
      <c r="AJ83" s="2" t="str">
        <f>IF(IFERROR(VLOOKUP($B83,Morning_Shift!$B$4:$BJ$61,MATCH(Both_Shift_Roster!AJ$2,Morning_Shift!$B$2:$BJ$2,0),0),"")="",IFERROR(VLOOKUP($B83,Evening_Shift!$B$4:$BJ$62,MATCH(Both_Shift_Roster!AJ$2,Evening_Shift!$B$2:$BJ$2,0),0),""),IFERROR(VLOOKUP($B83,Morning_Shift!$B$4:$BJ$61,MATCH(Both_Shift_Roster!AJ$2,Morning_Shift!$B$2:$BJ$2,0),0),""))</f>
        <v>14:30-22:00</v>
      </c>
      <c r="AK83" s="2" t="str">
        <f>IF(IFERROR(VLOOKUP($B83,Morning_Shift!$B$4:$BJ$61,MATCH(Both_Shift_Roster!AK$2,Morning_Shift!$B$2:$BJ$2,0),0),"")="",IFERROR(VLOOKUP($B83,Evening_Shift!$B$4:$BJ$62,MATCH(Both_Shift_Roster!AK$2,Evening_Shift!$B$2:$BJ$2,0),0),""),IFERROR(VLOOKUP($B83,Morning_Shift!$B$4:$BJ$61,MATCH(Both_Shift_Roster!AK$2,Morning_Shift!$B$2:$BJ$2,0),0),""))</f>
        <v>14:30-22:00</v>
      </c>
      <c r="AL83" s="2">
        <f t="shared" si="51"/>
        <v>1</v>
      </c>
      <c r="AM83" s="2">
        <f t="shared" si="52"/>
        <v>0</v>
      </c>
      <c r="AN83" s="2">
        <f t="shared" si="53"/>
        <v>0</v>
      </c>
      <c r="AO83" s="2">
        <f t="shared" si="54"/>
        <v>0</v>
      </c>
      <c r="AP83" s="2">
        <f t="shared" si="55"/>
        <v>0</v>
      </c>
      <c r="AQ83" s="2" t="str">
        <f>IF(IFERROR(VLOOKUP($B83,Morning_Shift!$B$4:$BJ$61,MATCH(Both_Shift_Roster!AQ$2,Morning_Shift!$B$2:$BJ$2,0),0),"")="",IFERROR(VLOOKUP($B83,Evening_Shift!$B$4:$BJ$62,MATCH(Both_Shift_Roster!AQ$2,Evening_Shift!$B$2:$BJ$2,0),0),""),IFERROR(VLOOKUP($B83,Morning_Shift!$B$4:$BJ$61,MATCH(Both_Shift_Roster!AQ$2,Morning_Shift!$B$2:$BJ$2,0),0),""))</f>
        <v>Agent Choice WO</v>
      </c>
      <c r="AR83" s="2" t="str">
        <f>IF(IFERROR(VLOOKUP($B83,Morning_Shift!$B$4:$BJ$61,MATCH(Both_Shift_Roster!AR$2,Morning_Shift!$B$2:$BJ$2,0),0),"")="",IFERROR(VLOOKUP($B83,Evening_Shift!$B$4:$BJ$62,MATCH(Both_Shift_Roster!AR$2,Evening_Shift!$B$2:$BJ$2,0),0),""),IFERROR(VLOOKUP($B83,Morning_Shift!$B$4:$BJ$61,MATCH(Both_Shift_Roster!AR$2,Morning_Shift!$B$2:$BJ$2,0),0),""))</f>
        <v>14:30-22:00</v>
      </c>
      <c r="AS83" s="2" t="str">
        <f>IF(IFERROR(VLOOKUP($B83,Morning_Shift!$B$4:$BJ$61,MATCH(Both_Shift_Roster!AS$2,Morning_Shift!$B$2:$BJ$2,0),0),"")="",IFERROR(VLOOKUP($B83,Evening_Shift!$B$4:$BJ$62,MATCH(Both_Shift_Roster!AS$2,Evening_Shift!$B$2:$BJ$2,0),0),""),IFERROR(VLOOKUP($B83,Morning_Shift!$B$4:$BJ$61,MATCH(Both_Shift_Roster!AS$2,Morning_Shift!$B$2:$BJ$2,0),0),""))</f>
        <v>Agent Choice WO</v>
      </c>
      <c r="AT83" s="2" t="str">
        <f>IF(IFERROR(VLOOKUP($B83,Morning_Shift!$B$4:$BJ$61,MATCH(Both_Shift_Roster!AT$2,Morning_Shift!$B$2:$BJ$2,0),0),"")="",IFERROR(VLOOKUP($B83,Evening_Shift!$B$4:$BJ$62,MATCH(Both_Shift_Roster!AT$2,Evening_Shift!$B$2:$BJ$2,0),0),""),IFERROR(VLOOKUP($B83,Morning_Shift!$B$4:$BJ$61,MATCH(Both_Shift_Roster!AT$2,Morning_Shift!$B$2:$BJ$2,0),0),""))</f>
        <v>14:30-22:00</v>
      </c>
      <c r="AU83" s="2" t="str">
        <f>IF(IFERROR(VLOOKUP($B83,Morning_Shift!$B$4:$BJ$61,MATCH(Both_Shift_Roster!AU$2,Morning_Shift!$B$2:$BJ$2,0),0),"")="",IFERROR(VLOOKUP($B83,Evening_Shift!$B$4:$BJ$62,MATCH(Both_Shift_Roster!AU$2,Evening_Shift!$B$2:$BJ$2,0),0),""),IFERROR(VLOOKUP($B83,Morning_Shift!$B$4:$BJ$61,MATCH(Both_Shift_Roster!AU$2,Morning_Shift!$B$2:$BJ$2,0),0),""))</f>
        <v>14:30-22:00</v>
      </c>
      <c r="AV83" s="2" t="str">
        <f>IF(IFERROR(VLOOKUP($B83,Morning_Shift!$B$4:$BJ$61,MATCH(Both_Shift_Roster!AV$2,Morning_Shift!$B$2:$BJ$2,0),0),"")="",IFERROR(VLOOKUP($B83,Evening_Shift!$B$4:$BJ$62,MATCH(Both_Shift_Roster!AV$2,Evening_Shift!$B$2:$BJ$2,0),0),""),IFERROR(VLOOKUP($B83,Morning_Shift!$B$4:$BJ$61,MATCH(Both_Shift_Roster!AV$2,Morning_Shift!$B$2:$BJ$2,0),0),""))</f>
        <v>14:30-22:00</v>
      </c>
      <c r="AW83" s="2" t="str">
        <f>IF(IFERROR(VLOOKUP($B83,Morning_Shift!$B$4:$BJ$61,MATCH(Both_Shift_Roster!AW$2,Morning_Shift!$B$2:$BJ$2,0),0),"")="",IFERROR(VLOOKUP($B83,Evening_Shift!$B$4:$BJ$62,MATCH(Both_Shift_Roster!AW$2,Evening_Shift!$B$2:$BJ$2,0),0),""),IFERROR(VLOOKUP($B83,Morning_Shift!$B$4:$BJ$61,MATCH(Both_Shift_Roster!AW$2,Morning_Shift!$B$2:$BJ$2,0),0),""))</f>
        <v>14:30-22:00</v>
      </c>
      <c r="AX83" s="2">
        <f t="shared" si="56"/>
        <v>2</v>
      </c>
      <c r="AY83" s="2">
        <f t="shared" si="57"/>
        <v>0</v>
      </c>
      <c r="AZ83" s="2">
        <f t="shared" si="58"/>
        <v>0</v>
      </c>
      <c r="BA83" s="2">
        <f t="shared" si="59"/>
        <v>0</v>
      </c>
      <c r="BB83" s="2">
        <f t="shared" si="60"/>
        <v>0</v>
      </c>
      <c r="BC83" s="2" t="str">
        <f>IF(IFERROR(VLOOKUP($B83,Morning_Shift!$B$4:$BJ$61,MATCH(Both_Shift_Roster!BC$2,Morning_Shift!$B$2:$BJ$2,0),0),"")="",IFERROR(VLOOKUP($B83,Evening_Shift!$B$4:$BJ$62,MATCH(Both_Shift_Roster!BC$2,Evening_Shift!$B$2:$BJ$2,0),0),""),IFERROR(VLOOKUP($B83,Morning_Shift!$B$4:$BJ$61,MATCH(Both_Shift_Roster!BC$2,Morning_Shift!$B$2:$BJ$2,0),0),""))</f>
        <v>14:30-22:00</v>
      </c>
      <c r="BD83" s="2" t="str">
        <f>IF(IFERROR(VLOOKUP($B83,Morning_Shift!$B$4:$BJ$61,MATCH(Both_Shift_Roster!BD$2,Morning_Shift!$B$2:$BJ$2,0),0),"")="",IFERROR(VLOOKUP($B83,Evening_Shift!$B$4:$BJ$62,MATCH(Both_Shift_Roster!BD$2,Evening_Shift!$B$2:$BJ$2,0),0),""),IFERROR(VLOOKUP($B83,Morning_Shift!$B$4:$BJ$61,MATCH(Both_Shift_Roster!BD$2,Morning_Shift!$B$2:$BJ$2,0),0),""))</f>
        <v>14:30-22:00</v>
      </c>
      <c r="BE83" s="2" t="str">
        <f>IF(IFERROR(VLOOKUP($B83,Morning_Shift!$B$4:$BJ$61,MATCH(Both_Shift_Roster!BE$2,Morning_Shift!$B$2:$BJ$2,0),0),"")="",IFERROR(VLOOKUP($B83,Evening_Shift!$B$4:$BJ$59,MATCH(Both_Shift_Roster!BE$2,Evening_Shift!$B$2:$BJ$2,0),0),""),IFERROR(VLOOKUP($B83,Morning_Shift!$B$4:$BJ$61,MATCH(Both_Shift_Roster!BE$2,Morning_Shift!$B$2:$BJ$2,0),0),""))</f>
        <v>14:30-22:00</v>
      </c>
      <c r="BF83" s="2">
        <f t="shared" si="61"/>
        <v>0</v>
      </c>
      <c r="BG83" s="2">
        <f t="shared" si="62"/>
        <v>0</v>
      </c>
      <c r="BH83" s="2">
        <f t="shared" si="63"/>
        <v>0</v>
      </c>
      <c r="BI83" s="2">
        <f t="shared" si="64"/>
        <v>0</v>
      </c>
      <c r="BJ83" s="2">
        <f t="shared" si="65"/>
        <v>0</v>
      </c>
    </row>
    <row r="84" spans="1:62">
      <c r="A84" s="17">
        <f t="shared" si="66"/>
        <v>81</v>
      </c>
      <c r="B84" s="16" t="str">
        <f>Evening_Shift!$B26</f>
        <v>Dritm83</v>
      </c>
      <c r="C84" s="21" t="str">
        <f>IF(IFERROR(VLOOKUP(B84,Morning_Shift!B:C,2,0),"")="",IFERROR(VLOOKUP(B84,Evening_Shift!B:C,2,0),""),IFERROR(VLOOKUP(B84,Morning_Shift!B:C,2,0),""))</f>
        <v>Sapna</v>
      </c>
      <c r="D84" s="15" t="str">
        <f>IF(IFERROR(VLOOKUP(B84,Morning_Shift!B:D,3,0),"")="",IFERROR(VLOOKUP(B84,Evening_Shift!B:D,3,0),""),IFERROR(VLOOKUP(B84,Morning_Shift!B:D,3,0),""))</f>
        <v xml:space="preserve">Sanjesh </v>
      </c>
      <c r="E84" s="4" t="str">
        <f>IF(IFERROR(VLOOKUP(B84,Morning_Shift!B:E,4,0),"")="",IFERROR(VLOOKUP(B84,Evening_Shift!B:E,4,0),""),IFERROR(VLOOKUP(B84,Morning_Shift!B:E,4,0),""))</f>
        <v>F</v>
      </c>
      <c r="F84" s="5" t="str">
        <f>IF(IFERROR(VLOOKUP(B84,Morning_Shift!B:F,5,0),"")="",IFERROR(VLOOKUP(B84,Evening_Shift!B:F,5,0),""),IFERROR(VLOOKUP(B84,Morning_Shift!B:F,5,0),""))</f>
        <v>Inbound</v>
      </c>
      <c r="G84" s="2" t="str">
        <f>IF(IFERROR(VLOOKUP($B84,Morning_Shift!$B$4:$BJ$61,MATCH(Both_Shift_Roster!G$2,Morning_Shift!$B$2:$BJ$2,0),0),"")="",IFERROR(VLOOKUP($B84,Evening_Shift!$B$4:$BJ$62,MATCH(Both_Shift_Roster!G$2,Evening_Shift!$B$2:$BJ$2,0),0),""),IFERROR(VLOOKUP($B84,Morning_Shift!$B$4:$BJ$61,MATCH(Both_Shift_Roster!G$2,Morning_Shift!$B$2:$BJ$2,0),0),""))</f>
        <v>14:30-22:00</v>
      </c>
      <c r="H84" s="2" t="str">
        <f>IF(IFERROR(VLOOKUP($B84,Morning_Shift!$B$4:$BJ$61,MATCH(Both_Shift_Roster!H$2,Morning_Shift!$B$2:$BJ$2,0),0),"")="",IFERROR(VLOOKUP($B84,Evening_Shift!$B$4:$BJ$62,MATCH(Both_Shift_Roster!H$2,Evening_Shift!$B$2:$BJ$2,0),0),""),IFERROR(VLOOKUP($B84,Morning_Shift!$B$4:$BJ$61,MATCH(Both_Shift_Roster!H$2,Morning_Shift!$B$2:$BJ$2,0),0),""))</f>
        <v>14:30-22:00</v>
      </c>
      <c r="I84" s="2" t="str">
        <f>IF(IFERROR(VLOOKUP($B84,Morning_Shift!$B$4:$BJ$61,MATCH(Both_Shift_Roster!I$2,Morning_Shift!$B$2:$BJ$2,0),0),"")="",IFERROR(VLOOKUP($B84,Evening_Shift!$B$4:$BJ$62,MATCH(Both_Shift_Roster!I$2,Evening_Shift!$B$2:$BJ$2,0),0),""),IFERROR(VLOOKUP($B84,Morning_Shift!$B$4:$BJ$61,MATCH(Both_Shift_Roster!I$2,Morning_Shift!$B$2:$BJ$2,0),0),""))</f>
        <v>14:30-22:00</v>
      </c>
      <c r="J84" s="2" t="str">
        <f>IF(IFERROR(VLOOKUP($B84,Morning_Shift!$B$4:$BJ$61,MATCH(Both_Shift_Roster!J$2,Morning_Shift!$B$2:$BJ$2,0),0),"")="",IFERROR(VLOOKUP($B84,Evening_Shift!$B$4:$BJ$62,MATCH(Both_Shift_Roster!J$2,Evening_Shift!$B$2:$BJ$2,0),0),""),IFERROR(VLOOKUP($B84,Morning_Shift!$B$4:$BJ$61,MATCH(Both_Shift_Roster!J$2,Morning_Shift!$B$2:$BJ$2,0),0),""))</f>
        <v>14:30-22:00</v>
      </c>
      <c r="K84" s="2" t="str">
        <f>IF(IFERROR(VLOOKUP($B84,Morning_Shift!$B$4:$BJ$61,MATCH(Both_Shift_Roster!K$2,Morning_Shift!$B$2:$BJ$2,0),0),"")="",IFERROR(VLOOKUP($B84,Evening_Shift!$B$4:$BJ$62,MATCH(Both_Shift_Roster!K$2,Evening_Shift!$B$2:$BJ$2,0),0),""),IFERROR(VLOOKUP($B84,Morning_Shift!$B$4:$BJ$61,MATCH(Both_Shift_Roster!K$2,Morning_Shift!$B$2:$BJ$2,0),0),""))</f>
        <v>14:30-22:00</v>
      </c>
      <c r="L84" s="2" t="str">
        <f>IF(IFERROR(VLOOKUP($B84,Morning_Shift!$B$4:$BJ$61,MATCH(Both_Shift_Roster!L$2,Morning_Shift!$B$2:$BJ$2,0),0),"")="",IFERROR(VLOOKUP($B84,Evening_Shift!$B$4:$BJ$62,MATCH(Both_Shift_Roster!L$2,Evening_Shift!$B$2:$BJ$2,0),0),""),IFERROR(VLOOKUP($B84,Morning_Shift!$B$4:$BJ$61,MATCH(Both_Shift_Roster!L$2,Morning_Shift!$B$2:$BJ$2,0),0),""))</f>
        <v>Agent Choice WO</v>
      </c>
      <c r="M84" s="2" t="str">
        <f>IF(IFERROR(VLOOKUP($B84,Morning_Shift!$B$4:$BJ$61,MATCH(Both_Shift_Roster!M$2,Morning_Shift!$B$2:$BJ$2,0),0),"")="",IFERROR(VLOOKUP($B84,Evening_Shift!$B$4:$BJ$62,MATCH(Both_Shift_Roster!M$2,Evening_Shift!$B$2:$BJ$2,0),0),""),IFERROR(VLOOKUP($B84,Morning_Shift!$B$4:$BJ$61,MATCH(Both_Shift_Roster!M$2,Morning_Shift!$B$2:$BJ$2,0),0),""))</f>
        <v>14:30-22:00</v>
      </c>
      <c r="N84" s="2">
        <f t="shared" si="41"/>
        <v>1</v>
      </c>
      <c r="O84" s="2">
        <f t="shared" si="42"/>
        <v>0</v>
      </c>
      <c r="P84" s="2">
        <f t="shared" si="43"/>
        <v>0</v>
      </c>
      <c r="Q84" s="2">
        <f t="shared" si="44"/>
        <v>0</v>
      </c>
      <c r="R84" s="2">
        <f t="shared" si="45"/>
        <v>0</v>
      </c>
      <c r="S84" s="2" t="str">
        <f>IF(IFERROR(VLOOKUP($B84,Morning_Shift!$B$4:$BJ$61,MATCH(Both_Shift_Roster!S$2,Morning_Shift!$B$2:$BJ$2,0),0),"")="",IFERROR(VLOOKUP($B84,Evening_Shift!$B$4:$BJ$62,MATCH(Both_Shift_Roster!S$2,Evening_Shift!$B$2:$BJ$2,0),0),""),IFERROR(VLOOKUP($B84,Morning_Shift!$B$4:$BJ$61,MATCH(Both_Shift_Roster!S$2,Morning_Shift!$B$2:$BJ$2,0),0),""))</f>
        <v>14:30-22:00</v>
      </c>
      <c r="T84" s="2" t="str">
        <f>IF(IFERROR(VLOOKUP($B84,Morning_Shift!$B$4:$BJ$61,MATCH(Both_Shift_Roster!T$2,Morning_Shift!$B$2:$BJ$2,0),0),"")="",IFERROR(VLOOKUP($B84,Evening_Shift!$B$4:$BJ$62,MATCH(Both_Shift_Roster!T$2,Evening_Shift!$B$2:$BJ$2,0),0),""),IFERROR(VLOOKUP($B84,Morning_Shift!$B$4:$BJ$61,MATCH(Both_Shift_Roster!T$2,Morning_Shift!$B$2:$BJ$2,0),0),""))</f>
        <v>14:30-22:00</v>
      </c>
      <c r="U84" s="2" t="str">
        <f>IF(IFERROR(VLOOKUP($B84,Morning_Shift!$B$4:$BJ$61,MATCH(Both_Shift_Roster!U$2,Morning_Shift!$B$2:$BJ$2,0),0),"")="",IFERROR(VLOOKUP($B84,Evening_Shift!$B$4:$BJ$62,MATCH(Both_Shift_Roster!U$2,Evening_Shift!$B$2:$BJ$2,0),0),""),IFERROR(VLOOKUP($B84,Morning_Shift!$B$4:$BJ$61,MATCH(Both_Shift_Roster!U$2,Morning_Shift!$B$2:$BJ$2,0),0),""))</f>
        <v>14:30-22:00</v>
      </c>
      <c r="V84" s="2" t="str">
        <f>IF(IFERROR(VLOOKUP($B84,Morning_Shift!$B$4:$BJ$61,MATCH(Both_Shift_Roster!V$2,Morning_Shift!$B$2:$BJ$2,0),0),"")="",IFERROR(VLOOKUP($B84,Evening_Shift!$B$4:$BJ$62,MATCH(Both_Shift_Roster!V$2,Evening_Shift!$B$2:$BJ$2,0),0),""),IFERROR(VLOOKUP($B84,Morning_Shift!$B$4:$BJ$61,MATCH(Both_Shift_Roster!V$2,Morning_Shift!$B$2:$BJ$2,0),0),""))</f>
        <v>14:30-22:00</v>
      </c>
      <c r="W84" s="2" t="str">
        <f>IF(IFERROR(VLOOKUP($B84,Morning_Shift!$B$4:$BJ$61,MATCH(Both_Shift_Roster!W$2,Morning_Shift!$B$2:$BJ$2,0),0),"")="",IFERROR(VLOOKUP($B84,Evening_Shift!$B$4:$BJ$62,MATCH(Both_Shift_Roster!W$2,Evening_Shift!$B$2:$BJ$2,0),0),""),IFERROR(VLOOKUP($B84,Morning_Shift!$B$4:$BJ$61,MATCH(Both_Shift_Roster!W$2,Morning_Shift!$B$2:$BJ$2,0),0),""))</f>
        <v>Agent Choice WO</v>
      </c>
      <c r="X84" s="2" t="str">
        <f>IF(IFERROR(VLOOKUP($B84,Morning_Shift!$B$4:$BJ$61,MATCH(Both_Shift_Roster!X$2,Morning_Shift!$B$2:$BJ$2,0),0),"")="",IFERROR(VLOOKUP($B84,Evening_Shift!$B$4:$BJ$62,MATCH(Both_Shift_Roster!X$2,Evening_Shift!$B$2:$BJ$2,0),0),""),IFERROR(VLOOKUP($B84,Morning_Shift!$B$4:$BJ$61,MATCH(Both_Shift_Roster!X$2,Morning_Shift!$B$2:$BJ$2,0),0),""))</f>
        <v>Agent Choice WO</v>
      </c>
      <c r="Y84" s="2" t="str">
        <f>IF(IFERROR(VLOOKUP($B84,Morning_Shift!$B$4:$BJ$61,MATCH(Both_Shift_Roster!Y$2,Morning_Shift!$B$2:$BJ$2,0),0),"")="",IFERROR(VLOOKUP($B84,Evening_Shift!$B$4:$BJ$62,MATCH(Both_Shift_Roster!Y$2,Evening_Shift!$B$2:$BJ$2,0),0),""),IFERROR(VLOOKUP($B84,Morning_Shift!$B$4:$BJ$61,MATCH(Both_Shift_Roster!Y$2,Morning_Shift!$B$2:$BJ$2,0),0),""))</f>
        <v>14:30-22:00</v>
      </c>
      <c r="Z84" s="2">
        <f t="shared" si="46"/>
        <v>2</v>
      </c>
      <c r="AA84" s="2">
        <f t="shared" si="47"/>
        <v>0</v>
      </c>
      <c r="AB84" s="2">
        <f t="shared" si="48"/>
        <v>0</v>
      </c>
      <c r="AC84" s="2">
        <f t="shared" si="49"/>
        <v>0</v>
      </c>
      <c r="AD84" s="2">
        <f t="shared" si="50"/>
        <v>0</v>
      </c>
      <c r="AE84" s="2" t="str">
        <f>IF(IFERROR(VLOOKUP($B84,Morning_Shift!$B$4:$BJ$61,MATCH(Both_Shift_Roster!AE$2,Morning_Shift!$B$2:$BJ$2,0),0),"")="",IFERROR(VLOOKUP($B84,Evening_Shift!$B$4:$BJ$62,MATCH(Both_Shift_Roster!AE$2,Evening_Shift!$B$2:$BJ$2,0),0),""),IFERROR(VLOOKUP($B84,Morning_Shift!$B$4:$BJ$61,MATCH(Both_Shift_Roster!AE$2,Morning_Shift!$B$2:$BJ$2,0),0),""))</f>
        <v>14:30-22:00</v>
      </c>
      <c r="AF84" s="2" t="str">
        <f>IF(IFERROR(VLOOKUP($B84,Morning_Shift!$B$4:$BJ$61,MATCH(Both_Shift_Roster!AF$2,Morning_Shift!$B$2:$BJ$2,0),0),"")="",IFERROR(VLOOKUP($B84,Evening_Shift!$B$4:$BJ$62,MATCH(Both_Shift_Roster!AF$2,Evening_Shift!$B$2:$BJ$2,0),0),""),IFERROR(VLOOKUP($B84,Morning_Shift!$B$4:$BJ$61,MATCH(Both_Shift_Roster!AF$2,Morning_Shift!$B$2:$BJ$2,0),0),""))</f>
        <v>14:30-22:00</v>
      </c>
      <c r="AG84" s="2" t="str">
        <f>IF(IFERROR(VLOOKUP($B84,Morning_Shift!$B$4:$BJ$61,MATCH(Both_Shift_Roster!AG$2,Morning_Shift!$B$2:$BJ$2,0),0),"")="",IFERROR(VLOOKUP($B84,Evening_Shift!$B$4:$BJ$62,MATCH(Both_Shift_Roster!AG$2,Evening_Shift!$B$2:$BJ$2,0),0),""),IFERROR(VLOOKUP($B84,Morning_Shift!$B$4:$BJ$61,MATCH(Both_Shift_Roster!AG$2,Morning_Shift!$B$2:$BJ$2,0),0),""))</f>
        <v>14:30-22:00</v>
      </c>
      <c r="AH84" s="2" t="str">
        <f>IF(IFERROR(VLOOKUP($B84,Morning_Shift!$B$4:$BJ$61,MATCH(Both_Shift_Roster!AH$2,Morning_Shift!$B$2:$BJ$2,0),0),"")="",IFERROR(VLOOKUP($B84,Evening_Shift!$B$4:$BJ$62,MATCH(Both_Shift_Roster!AH$2,Evening_Shift!$B$2:$BJ$2,0),0),""),IFERROR(VLOOKUP($B84,Morning_Shift!$B$4:$BJ$61,MATCH(Both_Shift_Roster!AH$2,Morning_Shift!$B$2:$BJ$2,0),0),""))</f>
        <v>14:30-22:00</v>
      </c>
      <c r="AI84" s="2" t="str">
        <f>IF(IFERROR(VLOOKUP($B84,Morning_Shift!$B$4:$BJ$61,MATCH(Both_Shift_Roster!AI$2,Morning_Shift!$B$2:$BJ$2,0),0),"")="",IFERROR(VLOOKUP($B84,Evening_Shift!$B$4:$BJ$62,MATCH(Both_Shift_Roster!AI$2,Evening_Shift!$B$2:$BJ$2,0),0),""),IFERROR(VLOOKUP($B84,Morning_Shift!$B$4:$BJ$61,MATCH(Both_Shift_Roster!AI$2,Morning_Shift!$B$2:$BJ$2,0),0),""))</f>
        <v>14:30-22:00</v>
      </c>
      <c r="AJ84" s="2" t="str">
        <f>IF(IFERROR(VLOOKUP($B84,Morning_Shift!$B$4:$BJ$61,MATCH(Both_Shift_Roster!AJ$2,Morning_Shift!$B$2:$BJ$2,0),0),"")="",IFERROR(VLOOKUP($B84,Evening_Shift!$B$4:$BJ$62,MATCH(Both_Shift_Roster!AJ$2,Evening_Shift!$B$2:$BJ$2,0),0),""),IFERROR(VLOOKUP($B84,Morning_Shift!$B$4:$BJ$61,MATCH(Both_Shift_Roster!AJ$2,Morning_Shift!$B$2:$BJ$2,0),0),""))</f>
        <v>14:30-22:00</v>
      </c>
      <c r="AK84" s="2" t="str">
        <f>IF(IFERROR(VLOOKUP($B84,Morning_Shift!$B$4:$BJ$61,MATCH(Both_Shift_Roster!AK$2,Morning_Shift!$B$2:$BJ$2,0),0),"")="",IFERROR(VLOOKUP($B84,Evening_Shift!$B$4:$BJ$62,MATCH(Both_Shift_Roster!AK$2,Evening_Shift!$B$2:$BJ$2,0),0),""),IFERROR(VLOOKUP($B84,Morning_Shift!$B$4:$BJ$61,MATCH(Both_Shift_Roster!AK$2,Morning_Shift!$B$2:$BJ$2,0),0),""))</f>
        <v>14:30-22:00</v>
      </c>
      <c r="AL84" s="2">
        <f t="shared" si="51"/>
        <v>0</v>
      </c>
      <c r="AM84" s="2">
        <f t="shared" si="52"/>
        <v>0</v>
      </c>
      <c r="AN84" s="2">
        <f t="shared" si="53"/>
        <v>0</v>
      </c>
      <c r="AO84" s="2">
        <f t="shared" si="54"/>
        <v>0</v>
      </c>
      <c r="AP84" s="2">
        <f t="shared" si="55"/>
        <v>0</v>
      </c>
      <c r="AQ84" s="2" t="str">
        <f>IF(IFERROR(VLOOKUP($B84,Morning_Shift!$B$4:$BJ$61,MATCH(Both_Shift_Roster!AQ$2,Morning_Shift!$B$2:$BJ$2,0),0),"")="",IFERROR(VLOOKUP($B84,Evening_Shift!$B$4:$BJ$62,MATCH(Both_Shift_Roster!AQ$2,Evening_Shift!$B$2:$BJ$2,0),0),""),IFERROR(VLOOKUP($B84,Morning_Shift!$B$4:$BJ$61,MATCH(Both_Shift_Roster!AQ$2,Morning_Shift!$B$2:$BJ$2,0),0),""))</f>
        <v>Agent Choice WO</v>
      </c>
      <c r="AR84" s="2" t="str">
        <f>IF(IFERROR(VLOOKUP($B84,Morning_Shift!$B$4:$BJ$61,MATCH(Both_Shift_Roster!AR$2,Morning_Shift!$B$2:$BJ$2,0),0),"")="",IFERROR(VLOOKUP($B84,Evening_Shift!$B$4:$BJ$62,MATCH(Both_Shift_Roster!AR$2,Evening_Shift!$B$2:$BJ$2,0),0),""),IFERROR(VLOOKUP($B84,Morning_Shift!$B$4:$BJ$61,MATCH(Both_Shift_Roster!AR$2,Morning_Shift!$B$2:$BJ$2,0),0),""))</f>
        <v>14:30-22:00</v>
      </c>
      <c r="AS84" s="2" t="str">
        <f>IF(IFERROR(VLOOKUP($B84,Morning_Shift!$B$4:$BJ$61,MATCH(Both_Shift_Roster!AS$2,Morning_Shift!$B$2:$BJ$2,0),0),"")="",IFERROR(VLOOKUP($B84,Evening_Shift!$B$4:$BJ$62,MATCH(Both_Shift_Roster!AS$2,Evening_Shift!$B$2:$BJ$2,0),0),""),IFERROR(VLOOKUP($B84,Morning_Shift!$B$4:$BJ$61,MATCH(Both_Shift_Roster!AS$2,Morning_Shift!$B$2:$BJ$2,0),0),""))</f>
        <v>14:30-22:00</v>
      </c>
      <c r="AT84" s="2" t="str">
        <f>IF(IFERROR(VLOOKUP($B84,Morning_Shift!$B$4:$BJ$61,MATCH(Both_Shift_Roster!AT$2,Morning_Shift!$B$2:$BJ$2,0),0),"")="",IFERROR(VLOOKUP($B84,Evening_Shift!$B$4:$BJ$62,MATCH(Both_Shift_Roster!AT$2,Evening_Shift!$B$2:$BJ$2,0),0),""),IFERROR(VLOOKUP($B84,Morning_Shift!$B$4:$BJ$61,MATCH(Both_Shift_Roster!AT$2,Morning_Shift!$B$2:$BJ$2,0),0),""))</f>
        <v>14:30-22:00</v>
      </c>
      <c r="AU84" s="2" t="str">
        <f>IF(IFERROR(VLOOKUP($B84,Morning_Shift!$B$4:$BJ$61,MATCH(Both_Shift_Roster!AU$2,Morning_Shift!$B$2:$BJ$2,0),0),"")="",IFERROR(VLOOKUP($B84,Evening_Shift!$B$4:$BJ$62,MATCH(Both_Shift_Roster!AU$2,Evening_Shift!$B$2:$BJ$2,0),0),""),IFERROR(VLOOKUP($B84,Morning_Shift!$B$4:$BJ$61,MATCH(Both_Shift_Roster!AU$2,Morning_Shift!$B$2:$BJ$2,0),0),""))</f>
        <v>14:30-22:00</v>
      </c>
      <c r="AV84" s="2" t="str">
        <f>IF(IFERROR(VLOOKUP($B84,Morning_Shift!$B$4:$BJ$61,MATCH(Both_Shift_Roster!AV$2,Morning_Shift!$B$2:$BJ$2,0),0),"")="",IFERROR(VLOOKUP($B84,Evening_Shift!$B$4:$BJ$62,MATCH(Both_Shift_Roster!AV$2,Evening_Shift!$B$2:$BJ$2,0),0),""),IFERROR(VLOOKUP($B84,Morning_Shift!$B$4:$BJ$61,MATCH(Both_Shift_Roster!AV$2,Morning_Shift!$B$2:$BJ$2,0),0),""))</f>
        <v>14:30-22:00</v>
      </c>
      <c r="AW84" s="2" t="str">
        <f>IF(IFERROR(VLOOKUP($B84,Morning_Shift!$B$4:$BJ$61,MATCH(Both_Shift_Roster!AW$2,Morning_Shift!$B$2:$BJ$2,0),0),"")="",IFERROR(VLOOKUP($B84,Evening_Shift!$B$4:$BJ$62,MATCH(Both_Shift_Roster!AW$2,Evening_Shift!$B$2:$BJ$2,0),0),""),IFERROR(VLOOKUP($B84,Morning_Shift!$B$4:$BJ$61,MATCH(Both_Shift_Roster!AW$2,Morning_Shift!$B$2:$BJ$2,0),0),""))</f>
        <v>CL</v>
      </c>
      <c r="AX84" s="2">
        <f t="shared" si="56"/>
        <v>1</v>
      </c>
      <c r="AY84" s="2">
        <f t="shared" si="57"/>
        <v>0</v>
      </c>
      <c r="AZ84" s="2">
        <f t="shared" si="58"/>
        <v>1</v>
      </c>
      <c r="BA84" s="2">
        <f t="shared" si="59"/>
        <v>0</v>
      </c>
      <c r="BB84" s="2">
        <f t="shared" si="60"/>
        <v>0</v>
      </c>
      <c r="BC84" s="2" t="str">
        <f>IF(IFERROR(VLOOKUP($B84,Morning_Shift!$B$4:$BJ$61,MATCH(Both_Shift_Roster!BC$2,Morning_Shift!$B$2:$BJ$2,0),0),"")="",IFERROR(VLOOKUP($B84,Evening_Shift!$B$4:$BJ$62,MATCH(Both_Shift_Roster!BC$2,Evening_Shift!$B$2:$BJ$2,0),0),""),IFERROR(VLOOKUP($B84,Morning_Shift!$B$4:$BJ$61,MATCH(Both_Shift_Roster!BC$2,Morning_Shift!$B$2:$BJ$2,0),0),""))</f>
        <v>14:30-22:00</v>
      </c>
      <c r="BD84" s="2" t="str">
        <f>IF(IFERROR(VLOOKUP($B84,Morning_Shift!$B$4:$BJ$61,MATCH(Both_Shift_Roster!BD$2,Morning_Shift!$B$2:$BJ$2,0),0),"")="",IFERROR(VLOOKUP($B84,Evening_Shift!$B$4:$BJ$62,MATCH(Both_Shift_Roster!BD$2,Evening_Shift!$B$2:$BJ$2,0),0),""),IFERROR(VLOOKUP($B84,Morning_Shift!$B$4:$BJ$61,MATCH(Both_Shift_Roster!BD$2,Morning_Shift!$B$2:$BJ$2,0),0),""))</f>
        <v>14:30-22:00</v>
      </c>
      <c r="BE84" s="2" t="str">
        <f>IF(IFERROR(VLOOKUP($B84,Morning_Shift!$B$4:$BJ$61,MATCH(Both_Shift_Roster!BE$2,Morning_Shift!$B$2:$BJ$2,0),0),"")="",IFERROR(VLOOKUP($B84,Evening_Shift!$B$4:$BJ$59,MATCH(Both_Shift_Roster!BE$2,Evening_Shift!$B$2:$BJ$2,0),0),""),IFERROR(VLOOKUP($B84,Morning_Shift!$B$4:$BJ$61,MATCH(Both_Shift_Roster!BE$2,Morning_Shift!$B$2:$BJ$2,0),0),""))</f>
        <v>14:30-22:00</v>
      </c>
      <c r="BF84" s="2">
        <f t="shared" si="61"/>
        <v>0</v>
      </c>
      <c r="BG84" s="2">
        <f t="shared" si="62"/>
        <v>0</v>
      </c>
      <c r="BH84" s="2">
        <f t="shared" si="63"/>
        <v>0</v>
      </c>
      <c r="BI84" s="2">
        <f t="shared" si="64"/>
        <v>0</v>
      </c>
      <c r="BJ84" s="2">
        <f t="shared" si="65"/>
        <v>0</v>
      </c>
    </row>
    <row r="85" spans="1:62">
      <c r="A85" s="17">
        <f t="shared" si="66"/>
        <v>82</v>
      </c>
      <c r="B85" s="16" t="str">
        <f>Evening_Shift!$B27</f>
        <v>Dritm85</v>
      </c>
      <c r="C85" s="21" t="str">
        <f>IF(IFERROR(VLOOKUP(B85,Morning_Shift!B:C,2,0),"")="",IFERROR(VLOOKUP(B85,Evening_Shift!B:C,2,0),""),IFERROR(VLOOKUP(B85,Morning_Shift!B:C,2,0),""))</f>
        <v>Mukesh</v>
      </c>
      <c r="D85" s="15" t="str">
        <f>IF(IFERROR(VLOOKUP(B85,Morning_Shift!B:D,3,0),"")="",IFERROR(VLOOKUP(B85,Evening_Shift!B:D,3,0),""),IFERROR(VLOOKUP(B85,Morning_Shift!B:D,3,0),""))</f>
        <v xml:space="preserve">Sanjesh </v>
      </c>
      <c r="E85" s="4" t="str">
        <f>IF(IFERROR(VLOOKUP(B85,Morning_Shift!B:E,4,0),"")="",IFERROR(VLOOKUP(B85,Evening_Shift!B:E,4,0),""),IFERROR(VLOOKUP(B85,Morning_Shift!B:E,4,0),""))</f>
        <v>M</v>
      </c>
      <c r="F85" s="5" t="str">
        <f>IF(IFERROR(VLOOKUP(B85,Morning_Shift!B:F,5,0),"")="",IFERROR(VLOOKUP(B85,Evening_Shift!B:F,5,0),""),IFERROR(VLOOKUP(B85,Morning_Shift!B:F,5,0),""))</f>
        <v>Inbound</v>
      </c>
      <c r="G85" s="2" t="str">
        <f>IF(IFERROR(VLOOKUP($B85,Morning_Shift!$B$4:$BJ$61,MATCH(Both_Shift_Roster!G$2,Morning_Shift!$B$2:$BJ$2,0),0),"")="",IFERROR(VLOOKUP($B85,Evening_Shift!$B$4:$BJ$62,MATCH(Both_Shift_Roster!G$2,Evening_Shift!$B$2:$BJ$2,0),0),""),IFERROR(VLOOKUP($B85,Morning_Shift!$B$4:$BJ$61,MATCH(Both_Shift_Roster!G$2,Morning_Shift!$B$2:$BJ$2,0),0),""))</f>
        <v>14:30-22:00</v>
      </c>
      <c r="H85" s="2" t="str">
        <f>IF(IFERROR(VLOOKUP($B85,Morning_Shift!$B$4:$BJ$61,MATCH(Both_Shift_Roster!H$2,Morning_Shift!$B$2:$BJ$2,0),0),"")="",IFERROR(VLOOKUP($B85,Evening_Shift!$B$4:$BJ$62,MATCH(Both_Shift_Roster!H$2,Evening_Shift!$B$2:$BJ$2,0),0),""),IFERROR(VLOOKUP($B85,Morning_Shift!$B$4:$BJ$61,MATCH(Both_Shift_Roster!H$2,Morning_Shift!$B$2:$BJ$2,0),0),""))</f>
        <v>14:30-22:00</v>
      </c>
      <c r="I85" s="2" t="str">
        <f>IF(IFERROR(VLOOKUP($B85,Morning_Shift!$B$4:$BJ$61,MATCH(Both_Shift_Roster!I$2,Morning_Shift!$B$2:$BJ$2,0),0),"")="",IFERROR(VLOOKUP($B85,Evening_Shift!$B$4:$BJ$62,MATCH(Both_Shift_Roster!I$2,Evening_Shift!$B$2:$BJ$2,0),0),""),IFERROR(VLOOKUP($B85,Morning_Shift!$B$4:$BJ$61,MATCH(Both_Shift_Roster!I$2,Morning_Shift!$B$2:$BJ$2,0),0),""))</f>
        <v>14:30-22:00</v>
      </c>
      <c r="J85" s="2" t="str">
        <f>IF(IFERROR(VLOOKUP($B85,Morning_Shift!$B$4:$BJ$61,MATCH(Both_Shift_Roster!J$2,Morning_Shift!$B$2:$BJ$2,0),0),"")="",IFERROR(VLOOKUP($B85,Evening_Shift!$B$4:$BJ$62,MATCH(Both_Shift_Roster!J$2,Evening_Shift!$B$2:$BJ$2,0),0),""),IFERROR(VLOOKUP($B85,Morning_Shift!$B$4:$BJ$61,MATCH(Both_Shift_Roster!J$2,Morning_Shift!$B$2:$BJ$2,0),0),""))</f>
        <v>14:30-22:00</v>
      </c>
      <c r="K85" s="2" t="str">
        <f>IF(IFERROR(VLOOKUP($B85,Morning_Shift!$B$4:$BJ$61,MATCH(Both_Shift_Roster!K$2,Morning_Shift!$B$2:$BJ$2,0),0),"")="",IFERROR(VLOOKUP($B85,Evening_Shift!$B$4:$BJ$62,MATCH(Both_Shift_Roster!K$2,Evening_Shift!$B$2:$BJ$2,0),0),""),IFERROR(VLOOKUP($B85,Morning_Shift!$B$4:$BJ$61,MATCH(Both_Shift_Roster!K$2,Morning_Shift!$B$2:$BJ$2,0),0),""))</f>
        <v>14:30-22:00</v>
      </c>
      <c r="L85" s="2" t="str">
        <f>IF(IFERROR(VLOOKUP($B85,Morning_Shift!$B$4:$BJ$61,MATCH(Both_Shift_Roster!L$2,Morning_Shift!$B$2:$BJ$2,0),0),"")="",IFERROR(VLOOKUP($B85,Evening_Shift!$B$4:$BJ$62,MATCH(Both_Shift_Roster!L$2,Evening_Shift!$B$2:$BJ$2,0),0),""),IFERROR(VLOOKUP($B85,Morning_Shift!$B$4:$BJ$61,MATCH(Both_Shift_Roster!L$2,Morning_Shift!$B$2:$BJ$2,0),0),""))</f>
        <v>14:30-22:00</v>
      </c>
      <c r="M85" s="2" t="str">
        <f>IF(IFERROR(VLOOKUP($B85,Morning_Shift!$B$4:$BJ$61,MATCH(Both_Shift_Roster!M$2,Morning_Shift!$B$2:$BJ$2,0),0),"")="",IFERROR(VLOOKUP($B85,Evening_Shift!$B$4:$BJ$62,MATCH(Both_Shift_Roster!M$2,Evening_Shift!$B$2:$BJ$2,0),0),""),IFERROR(VLOOKUP($B85,Morning_Shift!$B$4:$BJ$61,MATCH(Both_Shift_Roster!M$2,Morning_Shift!$B$2:$BJ$2,0),0),""))</f>
        <v>Agent Choice WO</v>
      </c>
      <c r="N85" s="2">
        <f t="shared" si="41"/>
        <v>1</v>
      </c>
      <c r="O85" s="2">
        <f t="shared" si="42"/>
        <v>0</v>
      </c>
      <c r="P85" s="2">
        <f t="shared" si="43"/>
        <v>0</v>
      </c>
      <c r="Q85" s="2">
        <f t="shared" si="44"/>
        <v>0</v>
      </c>
      <c r="R85" s="2">
        <f t="shared" si="45"/>
        <v>0</v>
      </c>
      <c r="S85" s="2" t="str">
        <f>IF(IFERROR(VLOOKUP($B85,Morning_Shift!$B$4:$BJ$61,MATCH(Both_Shift_Roster!S$2,Morning_Shift!$B$2:$BJ$2,0),0),"")="",IFERROR(VLOOKUP($B85,Evening_Shift!$B$4:$BJ$62,MATCH(Both_Shift_Roster!S$2,Evening_Shift!$B$2:$BJ$2,0),0),""),IFERROR(VLOOKUP($B85,Morning_Shift!$B$4:$BJ$61,MATCH(Both_Shift_Roster!S$2,Morning_Shift!$B$2:$BJ$2,0),0),""))</f>
        <v>Agent Choice WO</v>
      </c>
      <c r="T85" s="2" t="str">
        <f>IF(IFERROR(VLOOKUP($B85,Morning_Shift!$B$4:$BJ$61,MATCH(Both_Shift_Roster!T$2,Morning_Shift!$B$2:$BJ$2,0),0),"")="",IFERROR(VLOOKUP($B85,Evening_Shift!$B$4:$BJ$62,MATCH(Both_Shift_Roster!T$2,Evening_Shift!$B$2:$BJ$2,0),0),""),IFERROR(VLOOKUP($B85,Morning_Shift!$B$4:$BJ$61,MATCH(Both_Shift_Roster!T$2,Morning_Shift!$B$2:$BJ$2,0),0),""))</f>
        <v>14:30-22:00</v>
      </c>
      <c r="U85" s="2" t="str">
        <f>IF(IFERROR(VLOOKUP($B85,Morning_Shift!$B$4:$BJ$61,MATCH(Both_Shift_Roster!U$2,Morning_Shift!$B$2:$BJ$2,0),0),"")="",IFERROR(VLOOKUP($B85,Evening_Shift!$B$4:$BJ$62,MATCH(Both_Shift_Roster!U$2,Evening_Shift!$B$2:$BJ$2,0),0),""),IFERROR(VLOOKUP($B85,Morning_Shift!$B$4:$BJ$61,MATCH(Both_Shift_Roster!U$2,Morning_Shift!$B$2:$BJ$2,0),0),""))</f>
        <v>14:30-22:00</v>
      </c>
      <c r="V85" s="2" t="str">
        <f>IF(IFERROR(VLOOKUP($B85,Morning_Shift!$B$4:$BJ$61,MATCH(Both_Shift_Roster!V$2,Morning_Shift!$B$2:$BJ$2,0),0),"")="",IFERROR(VLOOKUP($B85,Evening_Shift!$B$4:$BJ$62,MATCH(Both_Shift_Roster!V$2,Evening_Shift!$B$2:$BJ$2,0),0),""),IFERROR(VLOOKUP($B85,Morning_Shift!$B$4:$BJ$61,MATCH(Both_Shift_Roster!V$2,Morning_Shift!$B$2:$BJ$2,0),0),""))</f>
        <v>14:30-22:00</v>
      </c>
      <c r="W85" s="2" t="str">
        <f>IF(IFERROR(VLOOKUP($B85,Morning_Shift!$B$4:$BJ$61,MATCH(Both_Shift_Roster!W$2,Morning_Shift!$B$2:$BJ$2,0),0),"")="",IFERROR(VLOOKUP($B85,Evening_Shift!$B$4:$BJ$62,MATCH(Both_Shift_Roster!W$2,Evening_Shift!$B$2:$BJ$2,0),0),""),IFERROR(VLOOKUP($B85,Morning_Shift!$B$4:$BJ$61,MATCH(Both_Shift_Roster!W$2,Morning_Shift!$B$2:$BJ$2,0),0),""))</f>
        <v>14:30-22:00</v>
      </c>
      <c r="X85" s="2" t="str">
        <f>IF(IFERROR(VLOOKUP($B85,Morning_Shift!$B$4:$BJ$61,MATCH(Both_Shift_Roster!X$2,Morning_Shift!$B$2:$BJ$2,0),0),"")="",IFERROR(VLOOKUP($B85,Evening_Shift!$B$4:$BJ$62,MATCH(Both_Shift_Roster!X$2,Evening_Shift!$B$2:$BJ$2,0),0),""),IFERROR(VLOOKUP($B85,Morning_Shift!$B$4:$BJ$61,MATCH(Both_Shift_Roster!X$2,Morning_Shift!$B$2:$BJ$2,0),0),""))</f>
        <v>14:30-22:00</v>
      </c>
      <c r="Y85" s="2" t="str">
        <f>IF(IFERROR(VLOOKUP($B85,Morning_Shift!$B$4:$BJ$61,MATCH(Both_Shift_Roster!Y$2,Morning_Shift!$B$2:$BJ$2,0),0),"")="",IFERROR(VLOOKUP($B85,Evening_Shift!$B$4:$BJ$62,MATCH(Both_Shift_Roster!Y$2,Evening_Shift!$B$2:$BJ$2,0),0),""),IFERROR(VLOOKUP($B85,Morning_Shift!$B$4:$BJ$61,MATCH(Both_Shift_Roster!Y$2,Morning_Shift!$B$2:$BJ$2,0),0),""))</f>
        <v>14:30-22:00</v>
      </c>
      <c r="Z85" s="2">
        <f t="shared" si="46"/>
        <v>1</v>
      </c>
      <c r="AA85" s="2">
        <f t="shared" si="47"/>
        <v>0</v>
      </c>
      <c r="AB85" s="2">
        <f t="shared" si="48"/>
        <v>0</v>
      </c>
      <c r="AC85" s="2">
        <f t="shared" si="49"/>
        <v>0</v>
      </c>
      <c r="AD85" s="2">
        <f t="shared" si="50"/>
        <v>0</v>
      </c>
      <c r="AE85" s="2" t="str">
        <f>IF(IFERROR(VLOOKUP($B85,Morning_Shift!$B$4:$BJ$61,MATCH(Both_Shift_Roster!AE$2,Morning_Shift!$B$2:$BJ$2,0),0),"")="",IFERROR(VLOOKUP($B85,Evening_Shift!$B$4:$BJ$62,MATCH(Both_Shift_Roster!AE$2,Evening_Shift!$B$2:$BJ$2,0),0),""),IFERROR(VLOOKUP($B85,Morning_Shift!$B$4:$BJ$61,MATCH(Both_Shift_Roster!AE$2,Morning_Shift!$B$2:$BJ$2,0),0),""))</f>
        <v>14:30-22:00</v>
      </c>
      <c r="AF85" s="2" t="str">
        <f>IF(IFERROR(VLOOKUP($B85,Morning_Shift!$B$4:$BJ$61,MATCH(Both_Shift_Roster!AF$2,Morning_Shift!$B$2:$BJ$2,0),0),"")="",IFERROR(VLOOKUP($B85,Evening_Shift!$B$4:$BJ$62,MATCH(Both_Shift_Roster!AF$2,Evening_Shift!$B$2:$BJ$2,0),0),""),IFERROR(VLOOKUP($B85,Morning_Shift!$B$4:$BJ$61,MATCH(Both_Shift_Roster!AF$2,Morning_Shift!$B$2:$BJ$2,0),0),""))</f>
        <v>14:30-22:00</v>
      </c>
      <c r="AG85" s="2" t="str">
        <f>IF(IFERROR(VLOOKUP($B85,Morning_Shift!$B$4:$BJ$61,MATCH(Both_Shift_Roster!AG$2,Morning_Shift!$B$2:$BJ$2,0),0),"")="",IFERROR(VLOOKUP($B85,Evening_Shift!$B$4:$BJ$62,MATCH(Both_Shift_Roster!AG$2,Evening_Shift!$B$2:$BJ$2,0),0),""),IFERROR(VLOOKUP($B85,Morning_Shift!$B$4:$BJ$61,MATCH(Both_Shift_Roster!AG$2,Morning_Shift!$B$2:$BJ$2,0),0),""))</f>
        <v>Agent Choice WO</v>
      </c>
      <c r="AH85" s="2" t="str">
        <f>IF(IFERROR(VLOOKUP($B85,Morning_Shift!$B$4:$BJ$61,MATCH(Both_Shift_Roster!AH$2,Morning_Shift!$B$2:$BJ$2,0),0),"")="",IFERROR(VLOOKUP($B85,Evening_Shift!$B$4:$BJ$62,MATCH(Both_Shift_Roster!AH$2,Evening_Shift!$B$2:$BJ$2,0),0),""),IFERROR(VLOOKUP($B85,Morning_Shift!$B$4:$BJ$61,MATCH(Both_Shift_Roster!AH$2,Morning_Shift!$B$2:$BJ$2,0),0),""))</f>
        <v>14:30-22:00</v>
      </c>
      <c r="AI85" s="2" t="str">
        <f>IF(IFERROR(VLOOKUP($B85,Morning_Shift!$B$4:$BJ$61,MATCH(Both_Shift_Roster!AI$2,Morning_Shift!$B$2:$BJ$2,0),0),"")="",IFERROR(VLOOKUP($B85,Evening_Shift!$B$4:$BJ$62,MATCH(Both_Shift_Roster!AI$2,Evening_Shift!$B$2:$BJ$2,0),0),""),IFERROR(VLOOKUP($B85,Morning_Shift!$B$4:$BJ$61,MATCH(Both_Shift_Roster!AI$2,Morning_Shift!$B$2:$BJ$2,0),0),""))</f>
        <v>14:30-22:00</v>
      </c>
      <c r="AJ85" s="2" t="str">
        <f>IF(IFERROR(VLOOKUP($B85,Morning_Shift!$B$4:$BJ$61,MATCH(Both_Shift_Roster!AJ$2,Morning_Shift!$B$2:$BJ$2,0),0),"")="",IFERROR(VLOOKUP($B85,Evening_Shift!$B$4:$BJ$62,MATCH(Both_Shift_Roster!AJ$2,Evening_Shift!$B$2:$BJ$2,0),0),""),IFERROR(VLOOKUP($B85,Morning_Shift!$B$4:$BJ$61,MATCH(Both_Shift_Roster!AJ$2,Morning_Shift!$B$2:$BJ$2,0),0),""))</f>
        <v>14:30-22:00</v>
      </c>
      <c r="AK85" s="2" t="str">
        <f>IF(IFERROR(VLOOKUP($B85,Morning_Shift!$B$4:$BJ$61,MATCH(Both_Shift_Roster!AK$2,Morning_Shift!$B$2:$BJ$2,0),0),"")="",IFERROR(VLOOKUP($B85,Evening_Shift!$B$4:$BJ$62,MATCH(Both_Shift_Roster!AK$2,Evening_Shift!$B$2:$BJ$2,0),0),""),IFERROR(VLOOKUP($B85,Morning_Shift!$B$4:$BJ$61,MATCH(Both_Shift_Roster!AK$2,Morning_Shift!$B$2:$BJ$2,0),0),""))</f>
        <v>14:30-22:00</v>
      </c>
      <c r="AL85" s="2">
        <f t="shared" si="51"/>
        <v>1</v>
      </c>
      <c r="AM85" s="2">
        <f t="shared" si="52"/>
        <v>0</v>
      </c>
      <c r="AN85" s="2">
        <f t="shared" si="53"/>
        <v>0</v>
      </c>
      <c r="AO85" s="2">
        <f t="shared" si="54"/>
        <v>0</v>
      </c>
      <c r="AP85" s="2">
        <f t="shared" si="55"/>
        <v>0</v>
      </c>
      <c r="AQ85" s="2" t="str">
        <f>IF(IFERROR(VLOOKUP($B85,Morning_Shift!$B$4:$BJ$61,MATCH(Both_Shift_Roster!AQ$2,Morning_Shift!$B$2:$BJ$2,0),0),"")="",IFERROR(VLOOKUP($B85,Evening_Shift!$B$4:$BJ$62,MATCH(Both_Shift_Roster!AQ$2,Evening_Shift!$B$2:$BJ$2,0),0),""),IFERROR(VLOOKUP($B85,Morning_Shift!$B$4:$BJ$61,MATCH(Both_Shift_Roster!AQ$2,Morning_Shift!$B$2:$BJ$2,0),0),""))</f>
        <v>14:30-22:00</v>
      </c>
      <c r="AR85" s="2" t="str">
        <f>IF(IFERROR(VLOOKUP($B85,Morning_Shift!$B$4:$BJ$61,MATCH(Both_Shift_Roster!AR$2,Morning_Shift!$B$2:$BJ$2,0),0),"")="",IFERROR(VLOOKUP($B85,Evening_Shift!$B$4:$BJ$62,MATCH(Both_Shift_Roster!AR$2,Evening_Shift!$B$2:$BJ$2,0),0),""),IFERROR(VLOOKUP($B85,Morning_Shift!$B$4:$BJ$61,MATCH(Both_Shift_Roster!AR$2,Morning_Shift!$B$2:$BJ$2,0),0),""))</f>
        <v>14:30-22:00</v>
      </c>
      <c r="AS85" s="2" t="str">
        <f>IF(IFERROR(VLOOKUP($B85,Morning_Shift!$B$4:$BJ$61,MATCH(Both_Shift_Roster!AS$2,Morning_Shift!$B$2:$BJ$2,0),0),"")="",IFERROR(VLOOKUP($B85,Evening_Shift!$B$4:$BJ$62,MATCH(Both_Shift_Roster!AS$2,Evening_Shift!$B$2:$BJ$2,0),0),""),IFERROR(VLOOKUP($B85,Morning_Shift!$B$4:$BJ$61,MATCH(Both_Shift_Roster!AS$2,Morning_Shift!$B$2:$BJ$2,0),0),""))</f>
        <v>14:30-22:00</v>
      </c>
      <c r="AT85" s="2" t="str">
        <f>IF(IFERROR(VLOOKUP($B85,Morning_Shift!$B$4:$BJ$61,MATCH(Both_Shift_Roster!AT$2,Morning_Shift!$B$2:$BJ$2,0),0),"")="",IFERROR(VLOOKUP($B85,Evening_Shift!$B$4:$BJ$62,MATCH(Both_Shift_Roster!AT$2,Evening_Shift!$B$2:$BJ$2,0),0),""),IFERROR(VLOOKUP($B85,Morning_Shift!$B$4:$BJ$61,MATCH(Both_Shift_Roster!AT$2,Morning_Shift!$B$2:$BJ$2,0),0),""))</f>
        <v>14:30-22:00</v>
      </c>
      <c r="AU85" s="2" t="str">
        <f>IF(IFERROR(VLOOKUP($B85,Morning_Shift!$B$4:$BJ$61,MATCH(Both_Shift_Roster!AU$2,Morning_Shift!$B$2:$BJ$2,0),0),"")="",IFERROR(VLOOKUP($B85,Evening_Shift!$B$4:$BJ$62,MATCH(Both_Shift_Roster!AU$2,Evening_Shift!$B$2:$BJ$2,0),0),""),IFERROR(VLOOKUP($B85,Morning_Shift!$B$4:$BJ$61,MATCH(Both_Shift_Roster!AU$2,Morning_Shift!$B$2:$BJ$2,0),0),""))</f>
        <v>14:30-22:00</v>
      </c>
      <c r="AV85" s="2" t="str">
        <f>IF(IFERROR(VLOOKUP($B85,Morning_Shift!$B$4:$BJ$61,MATCH(Both_Shift_Roster!AV$2,Morning_Shift!$B$2:$BJ$2,0),0),"")="",IFERROR(VLOOKUP($B85,Evening_Shift!$B$4:$BJ$62,MATCH(Both_Shift_Roster!AV$2,Evening_Shift!$B$2:$BJ$2,0),0),""),IFERROR(VLOOKUP($B85,Morning_Shift!$B$4:$BJ$61,MATCH(Both_Shift_Roster!AV$2,Morning_Shift!$B$2:$BJ$2,0),0),""))</f>
        <v>14:30-22:00</v>
      </c>
      <c r="AW85" s="2" t="str">
        <f>IF(IFERROR(VLOOKUP($B85,Morning_Shift!$B$4:$BJ$61,MATCH(Both_Shift_Roster!AW$2,Morning_Shift!$B$2:$BJ$2,0),0),"")="",IFERROR(VLOOKUP($B85,Evening_Shift!$B$4:$BJ$62,MATCH(Both_Shift_Roster!AW$2,Evening_Shift!$B$2:$BJ$2,0),0),""),IFERROR(VLOOKUP($B85,Morning_Shift!$B$4:$BJ$61,MATCH(Both_Shift_Roster!AW$2,Morning_Shift!$B$2:$BJ$2,0),0),""))</f>
        <v>14:30-22:00</v>
      </c>
      <c r="AX85" s="2">
        <f t="shared" si="56"/>
        <v>0</v>
      </c>
      <c r="AY85" s="2">
        <f t="shared" si="57"/>
        <v>0</v>
      </c>
      <c r="AZ85" s="2">
        <f t="shared" si="58"/>
        <v>0</v>
      </c>
      <c r="BA85" s="2">
        <f t="shared" si="59"/>
        <v>0</v>
      </c>
      <c r="BB85" s="2">
        <f t="shared" si="60"/>
        <v>0</v>
      </c>
      <c r="BC85" s="2" t="str">
        <f>IF(IFERROR(VLOOKUP($B85,Morning_Shift!$B$4:$BJ$61,MATCH(Both_Shift_Roster!BC$2,Morning_Shift!$B$2:$BJ$2,0),0),"")="",IFERROR(VLOOKUP($B85,Evening_Shift!$B$4:$BJ$62,MATCH(Both_Shift_Roster!BC$2,Evening_Shift!$B$2:$BJ$2,0),0),""),IFERROR(VLOOKUP($B85,Morning_Shift!$B$4:$BJ$61,MATCH(Both_Shift_Roster!BC$2,Morning_Shift!$B$2:$BJ$2,0),0),""))</f>
        <v>14:30-22:00</v>
      </c>
      <c r="BD85" s="2" t="str">
        <f>IF(IFERROR(VLOOKUP($B85,Morning_Shift!$B$4:$BJ$61,MATCH(Both_Shift_Roster!BD$2,Morning_Shift!$B$2:$BJ$2,0),0),"")="",IFERROR(VLOOKUP($B85,Evening_Shift!$B$4:$BJ$62,MATCH(Both_Shift_Roster!BD$2,Evening_Shift!$B$2:$BJ$2,0),0),""),IFERROR(VLOOKUP($B85,Morning_Shift!$B$4:$BJ$61,MATCH(Both_Shift_Roster!BD$2,Morning_Shift!$B$2:$BJ$2,0),0),""))</f>
        <v>Agent Choice WO</v>
      </c>
      <c r="BE85" s="2" t="str">
        <f>IF(IFERROR(VLOOKUP($B85,Morning_Shift!$B$4:$BJ$61,MATCH(Both_Shift_Roster!BE$2,Morning_Shift!$B$2:$BJ$2,0),0),"")="",IFERROR(VLOOKUP($B85,Evening_Shift!$B$4:$BJ$59,MATCH(Both_Shift_Roster!BE$2,Evening_Shift!$B$2:$BJ$2,0),0),""),IFERROR(VLOOKUP($B85,Morning_Shift!$B$4:$BJ$61,MATCH(Both_Shift_Roster!BE$2,Morning_Shift!$B$2:$BJ$2,0),0),""))</f>
        <v>14:30-22:00</v>
      </c>
      <c r="BF85" s="2">
        <f t="shared" si="61"/>
        <v>1</v>
      </c>
      <c r="BG85" s="2">
        <f t="shared" si="62"/>
        <v>0</v>
      </c>
      <c r="BH85" s="2">
        <f t="shared" si="63"/>
        <v>0</v>
      </c>
      <c r="BI85" s="2">
        <f t="shared" si="64"/>
        <v>0</v>
      </c>
      <c r="BJ85" s="2">
        <f t="shared" si="65"/>
        <v>0</v>
      </c>
    </row>
    <row r="86" spans="1:62">
      <c r="A86" s="17">
        <f t="shared" si="66"/>
        <v>83</v>
      </c>
      <c r="B86" s="16" t="str">
        <f>Evening_Shift!$B28</f>
        <v>Dritm89</v>
      </c>
      <c r="C86" s="21" t="str">
        <f>IF(IFERROR(VLOOKUP(B86,Morning_Shift!B:C,2,0),"")="",IFERROR(VLOOKUP(B86,Evening_Shift!B:C,2,0),""),IFERROR(VLOOKUP(B86,Morning_Shift!B:C,2,0),""))</f>
        <v>Mamta</v>
      </c>
      <c r="D86" s="15" t="str">
        <f>IF(IFERROR(VLOOKUP(B86,Morning_Shift!B:D,3,0),"")="",IFERROR(VLOOKUP(B86,Evening_Shift!B:D,3,0),""),IFERROR(VLOOKUP(B86,Morning_Shift!B:D,3,0),""))</f>
        <v xml:space="preserve">Sanjesh </v>
      </c>
      <c r="E86" s="4" t="str">
        <f>IF(IFERROR(VLOOKUP(B86,Morning_Shift!B:E,4,0),"")="",IFERROR(VLOOKUP(B86,Evening_Shift!B:E,4,0),""),IFERROR(VLOOKUP(B86,Morning_Shift!B:E,4,0),""))</f>
        <v>F</v>
      </c>
      <c r="F86" s="5" t="str">
        <f>IF(IFERROR(VLOOKUP(B86,Morning_Shift!B:F,5,0),"")="",IFERROR(VLOOKUP(B86,Evening_Shift!B:F,5,0),""),IFERROR(VLOOKUP(B86,Morning_Shift!B:F,5,0),""))</f>
        <v xml:space="preserve">Excise &amp; Taxation </v>
      </c>
      <c r="G86" s="2" t="str">
        <f>IF(IFERROR(VLOOKUP($B86,Morning_Shift!$B$4:$BJ$61,MATCH(Both_Shift_Roster!G$2,Morning_Shift!$B$2:$BJ$2,0),0),"")="",IFERROR(VLOOKUP($B86,Evening_Shift!$B$4:$BJ$62,MATCH(Both_Shift_Roster!G$2,Evening_Shift!$B$2:$BJ$2,0),0),""),IFERROR(VLOOKUP($B86,Morning_Shift!$B$4:$BJ$61,MATCH(Both_Shift_Roster!G$2,Morning_Shift!$B$2:$BJ$2,0),0),""))</f>
        <v>14:30-22:00</v>
      </c>
      <c r="H86" s="2" t="str">
        <f>IF(IFERROR(VLOOKUP($B86,Morning_Shift!$B$4:$BJ$61,MATCH(Both_Shift_Roster!H$2,Morning_Shift!$B$2:$BJ$2,0),0),"")="",IFERROR(VLOOKUP($B86,Evening_Shift!$B$4:$BJ$62,MATCH(Both_Shift_Roster!H$2,Evening_Shift!$B$2:$BJ$2,0),0),""),IFERROR(VLOOKUP($B86,Morning_Shift!$B$4:$BJ$61,MATCH(Both_Shift_Roster!H$2,Morning_Shift!$B$2:$BJ$2,0),0),""))</f>
        <v>14:30-22:00</v>
      </c>
      <c r="I86" s="2" t="str">
        <f>IF(IFERROR(VLOOKUP($B86,Morning_Shift!$B$4:$BJ$61,MATCH(Both_Shift_Roster!I$2,Morning_Shift!$B$2:$BJ$2,0),0),"")="",IFERROR(VLOOKUP($B86,Evening_Shift!$B$4:$BJ$62,MATCH(Both_Shift_Roster!I$2,Evening_Shift!$B$2:$BJ$2,0),0),""),IFERROR(VLOOKUP($B86,Morning_Shift!$B$4:$BJ$61,MATCH(Both_Shift_Roster!I$2,Morning_Shift!$B$2:$BJ$2,0),0),""))</f>
        <v>14:30-22:00</v>
      </c>
      <c r="J86" s="2" t="str">
        <f>IF(IFERROR(VLOOKUP($B86,Morning_Shift!$B$4:$BJ$61,MATCH(Both_Shift_Roster!J$2,Morning_Shift!$B$2:$BJ$2,0),0),"")="",IFERROR(VLOOKUP($B86,Evening_Shift!$B$4:$BJ$62,MATCH(Both_Shift_Roster!J$2,Evening_Shift!$B$2:$BJ$2,0),0),""),IFERROR(VLOOKUP($B86,Morning_Shift!$B$4:$BJ$61,MATCH(Both_Shift_Roster!J$2,Morning_Shift!$B$2:$BJ$2,0),0),""))</f>
        <v>14:30-22:00</v>
      </c>
      <c r="K86" s="2" t="str">
        <f>IF(IFERROR(VLOOKUP($B86,Morning_Shift!$B$4:$BJ$61,MATCH(Both_Shift_Roster!K$2,Morning_Shift!$B$2:$BJ$2,0),0),"")="",IFERROR(VLOOKUP($B86,Evening_Shift!$B$4:$BJ$62,MATCH(Both_Shift_Roster!K$2,Evening_Shift!$B$2:$BJ$2,0),0),""),IFERROR(VLOOKUP($B86,Morning_Shift!$B$4:$BJ$61,MATCH(Both_Shift_Roster!K$2,Morning_Shift!$B$2:$BJ$2,0),0),""))</f>
        <v>14:30-22:00</v>
      </c>
      <c r="L86" s="2" t="str">
        <f>IF(IFERROR(VLOOKUP($B86,Morning_Shift!$B$4:$BJ$61,MATCH(Both_Shift_Roster!L$2,Morning_Shift!$B$2:$BJ$2,0),0),"")="",IFERROR(VLOOKUP($B86,Evening_Shift!$B$4:$BJ$62,MATCH(Both_Shift_Roster!L$2,Evening_Shift!$B$2:$BJ$2,0),0),""),IFERROR(VLOOKUP($B86,Morning_Shift!$B$4:$BJ$61,MATCH(Both_Shift_Roster!L$2,Morning_Shift!$B$2:$BJ$2,0),0),""))</f>
        <v>Agent Choice WO</v>
      </c>
      <c r="M86" s="2" t="str">
        <f>IF(IFERROR(VLOOKUP($B86,Morning_Shift!$B$4:$BJ$61,MATCH(Both_Shift_Roster!M$2,Morning_Shift!$B$2:$BJ$2,0),0),"")="",IFERROR(VLOOKUP($B86,Evening_Shift!$B$4:$BJ$62,MATCH(Both_Shift_Roster!M$2,Evening_Shift!$B$2:$BJ$2,0),0),""),IFERROR(VLOOKUP($B86,Morning_Shift!$B$4:$BJ$61,MATCH(Both_Shift_Roster!M$2,Morning_Shift!$B$2:$BJ$2,0),0),""))</f>
        <v>14:30-22:00</v>
      </c>
      <c r="N86" s="2">
        <f t="shared" si="41"/>
        <v>1</v>
      </c>
      <c r="O86" s="2">
        <f t="shared" si="42"/>
        <v>0</v>
      </c>
      <c r="P86" s="2">
        <f t="shared" si="43"/>
        <v>0</v>
      </c>
      <c r="Q86" s="2">
        <f t="shared" si="44"/>
        <v>0</v>
      </c>
      <c r="R86" s="2">
        <f t="shared" si="45"/>
        <v>0</v>
      </c>
      <c r="S86" s="2" t="str">
        <f>IF(IFERROR(VLOOKUP($B86,Morning_Shift!$B$4:$BJ$61,MATCH(Both_Shift_Roster!S$2,Morning_Shift!$B$2:$BJ$2,0),0),"")="",IFERROR(VLOOKUP($B86,Evening_Shift!$B$4:$BJ$62,MATCH(Both_Shift_Roster!S$2,Evening_Shift!$B$2:$BJ$2,0),0),""),IFERROR(VLOOKUP($B86,Morning_Shift!$B$4:$BJ$61,MATCH(Both_Shift_Roster!S$2,Morning_Shift!$B$2:$BJ$2,0),0),""))</f>
        <v>14:30-22:00</v>
      </c>
      <c r="T86" s="2" t="str">
        <f>IF(IFERROR(VLOOKUP($B86,Morning_Shift!$B$4:$BJ$61,MATCH(Both_Shift_Roster!T$2,Morning_Shift!$B$2:$BJ$2,0),0),"")="",IFERROR(VLOOKUP($B86,Evening_Shift!$B$4:$BJ$62,MATCH(Both_Shift_Roster!T$2,Evening_Shift!$B$2:$BJ$2,0),0),""),IFERROR(VLOOKUP($B86,Morning_Shift!$B$4:$BJ$61,MATCH(Both_Shift_Roster!T$2,Morning_Shift!$B$2:$BJ$2,0),0),""))</f>
        <v>14:30-22:00</v>
      </c>
      <c r="U86" s="2" t="str">
        <f>IF(IFERROR(VLOOKUP($B86,Morning_Shift!$B$4:$BJ$61,MATCH(Both_Shift_Roster!U$2,Morning_Shift!$B$2:$BJ$2,0),0),"")="",IFERROR(VLOOKUP($B86,Evening_Shift!$B$4:$BJ$62,MATCH(Both_Shift_Roster!U$2,Evening_Shift!$B$2:$BJ$2,0),0),""),IFERROR(VLOOKUP($B86,Morning_Shift!$B$4:$BJ$61,MATCH(Both_Shift_Roster!U$2,Morning_Shift!$B$2:$BJ$2,0),0),""))</f>
        <v>14:30-22:00</v>
      </c>
      <c r="V86" s="2" t="str">
        <f>IF(IFERROR(VLOOKUP($B86,Morning_Shift!$B$4:$BJ$61,MATCH(Both_Shift_Roster!V$2,Morning_Shift!$B$2:$BJ$2,0),0),"")="",IFERROR(VLOOKUP($B86,Evening_Shift!$B$4:$BJ$62,MATCH(Both_Shift_Roster!V$2,Evening_Shift!$B$2:$BJ$2,0),0),""),IFERROR(VLOOKUP($B86,Morning_Shift!$B$4:$BJ$61,MATCH(Both_Shift_Roster!V$2,Morning_Shift!$B$2:$BJ$2,0),0),""))</f>
        <v>14:30-22:00</v>
      </c>
      <c r="W86" s="2" t="str">
        <f>IF(IFERROR(VLOOKUP($B86,Morning_Shift!$B$4:$BJ$61,MATCH(Both_Shift_Roster!W$2,Morning_Shift!$B$2:$BJ$2,0),0),"")="",IFERROR(VLOOKUP($B86,Evening_Shift!$B$4:$BJ$62,MATCH(Both_Shift_Roster!W$2,Evening_Shift!$B$2:$BJ$2,0),0),""),IFERROR(VLOOKUP($B86,Morning_Shift!$B$4:$BJ$61,MATCH(Both_Shift_Roster!W$2,Morning_Shift!$B$2:$BJ$2,0),0),""))</f>
        <v>14:30-22:00</v>
      </c>
      <c r="X86" s="2" t="str">
        <f>IF(IFERROR(VLOOKUP($B86,Morning_Shift!$B$4:$BJ$61,MATCH(Both_Shift_Roster!X$2,Morning_Shift!$B$2:$BJ$2,0),0),"")="",IFERROR(VLOOKUP($B86,Evening_Shift!$B$4:$BJ$62,MATCH(Both_Shift_Roster!X$2,Evening_Shift!$B$2:$BJ$2,0),0),""),IFERROR(VLOOKUP($B86,Morning_Shift!$B$4:$BJ$61,MATCH(Both_Shift_Roster!X$2,Morning_Shift!$B$2:$BJ$2,0),0),""))</f>
        <v>Agent Choice WO</v>
      </c>
      <c r="Y86" s="2" t="str">
        <f>IF(IFERROR(VLOOKUP($B86,Morning_Shift!$B$4:$BJ$61,MATCH(Both_Shift_Roster!Y$2,Morning_Shift!$B$2:$BJ$2,0),0),"")="",IFERROR(VLOOKUP($B86,Evening_Shift!$B$4:$BJ$62,MATCH(Both_Shift_Roster!Y$2,Evening_Shift!$B$2:$BJ$2,0),0),""),IFERROR(VLOOKUP($B86,Morning_Shift!$B$4:$BJ$61,MATCH(Both_Shift_Roster!Y$2,Morning_Shift!$B$2:$BJ$2,0),0),""))</f>
        <v>14:30-22:00</v>
      </c>
      <c r="Z86" s="2">
        <f t="shared" si="46"/>
        <v>1</v>
      </c>
      <c r="AA86" s="2">
        <f t="shared" si="47"/>
        <v>0</v>
      </c>
      <c r="AB86" s="2">
        <f t="shared" si="48"/>
        <v>0</v>
      </c>
      <c r="AC86" s="2">
        <f t="shared" si="49"/>
        <v>0</v>
      </c>
      <c r="AD86" s="2">
        <f t="shared" si="50"/>
        <v>0</v>
      </c>
      <c r="AE86" s="2" t="str">
        <f>IF(IFERROR(VLOOKUP($B86,Morning_Shift!$B$4:$BJ$61,MATCH(Both_Shift_Roster!AE$2,Morning_Shift!$B$2:$BJ$2,0),0),"")="",IFERROR(VLOOKUP($B86,Evening_Shift!$B$4:$BJ$62,MATCH(Both_Shift_Roster!AE$2,Evening_Shift!$B$2:$BJ$2,0),0),""),IFERROR(VLOOKUP($B86,Morning_Shift!$B$4:$BJ$61,MATCH(Both_Shift_Roster!AE$2,Morning_Shift!$B$2:$BJ$2,0),0),""))</f>
        <v>14:30-22:00</v>
      </c>
      <c r="AF86" s="2" t="str">
        <f>IF(IFERROR(VLOOKUP($B86,Morning_Shift!$B$4:$BJ$61,MATCH(Both_Shift_Roster!AF$2,Morning_Shift!$B$2:$BJ$2,0),0),"")="",IFERROR(VLOOKUP($B86,Evening_Shift!$B$4:$BJ$62,MATCH(Both_Shift_Roster!AF$2,Evening_Shift!$B$2:$BJ$2,0),0),""),IFERROR(VLOOKUP($B86,Morning_Shift!$B$4:$BJ$61,MATCH(Both_Shift_Roster!AF$2,Morning_Shift!$B$2:$BJ$2,0),0),""))</f>
        <v>14:30-22:00</v>
      </c>
      <c r="AG86" s="2" t="str">
        <f>IF(IFERROR(VLOOKUP($B86,Morning_Shift!$B$4:$BJ$61,MATCH(Both_Shift_Roster!AG$2,Morning_Shift!$B$2:$BJ$2,0),0),"")="",IFERROR(VLOOKUP($B86,Evening_Shift!$B$4:$BJ$62,MATCH(Both_Shift_Roster!AG$2,Evening_Shift!$B$2:$BJ$2,0),0),""),IFERROR(VLOOKUP($B86,Morning_Shift!$B$4:$BJ$61,MATCH(Both_Shift_Roster!AG$2,Morning_Shift!$B$2:$BJ$2,0),0),""))</f>
        <v>14:30-22:00</v>
      </c>
      <c r="AH86" s="2" t="str">
        <f>IF(IFERROR(VLOOKUP($B86,Morning_Shift!$B$4:$BJ$61,MATCH(Both_Shift_Roster!AH$2,Morning_Shift!$B$2:$BJ$2,0),0),"")="",IFERROR(VLOOKUP($B86,Evening_Shift!$B$4:$BJ$62,MATCH(Both_Shift_Roster!AH$2,Evening_Shift!$B$2:$BJ$2,0),0),""),IFERROR(VLOOKUP($B86,Morning_Shift!$B$4:$BJ$61,MATCH(Both_Shift_Roster!AH$2,Morning_Shift!$B$2:$BJ$2,0),0),""))</f>
        <v>14:30-22:00</v>
      </c>
      <c r="AI86" s="2" t="str">
        <f>IF(IFERROR(VLOOKUP($B86,Morning_Shift!$B$4:$BJ$61,MATCH(Both_Shift_Roster!AI$2,Morning_Shift!$B$2:$BJ$2,0),0),"")="",IFERROR(VLOOKUP($B86,Evening_Shift!$B$4:$BJ$62,MATCH(Both_Shift_Roster!AI$2,Evening_Shift!$B$2:$BJ$2,0),0),""),IFERROR(VLOOKUP($B86,Morning_Shift!$B$4:$BJ$61,MATCH(Both_Shift_Roster!AI$2,Morning_Shift!$B$2:$BJ$2,0),0),""))</f>
        <v>Agent Choice WO</v>
      </c>
      <c r="AJ86" s="2" t="str">
        <f>IF(IFERROR(VLOOKUP($B86,Morning_Shift!$B$4:$BJ$61,MATCH(Both_Shift_Roster!AJ$2,Morning_Shift!$B$2:$BJ$2,0),0),"")="",IFERROR(VLOOKUP($B86,Evening_Shift!$B$4:$BJ$62,MATCH(Both_Shift_Roster!AJ$2,Evening_Shift!$B$2:$BJ$2,0),0),""),IFERROR(VLOOKUP($B86,Morning_Shift!$B$4:$BJ$61,MATCH(Both_Shift_Roster!AJ$2,Morning_Shift!$B$2:$BJ$2,0),0),""))</f>
        <v>Agent Choice WO</v>
      </c>
      <c r="AK86" s="2" t="str">
        <f>IF(IFERROR(VLOOKUP($B86,Morning_Shift!$B$4:$BJ$61,MATCH(Both_Shift_Roster!AK$2,Morning_Shift!$B$2:$BJ$2,0),0),"")="",IFERROR(VLOOKUP($B86,Evening_Shift!$B$4:$BJ$62,MATCH(Both_Shift_Roster!AK$2,Evening_Shift!$B$2:$BJ$2,0),0),""),IFERROR(VLOOKUP($B86,Morning_Shift!$B$4:$BJ$61,MATCH(Both_Shift_Roster!AK$2,Morning_Shift!$B$2:$BJ$2,0),0),""))</f>
        <v>14:30-22:00</v>
      </c>
      <c r="AL86" s="2">
        <f t="shared" si="51"/>
        <v>2</v>
      </c>
      <c r="AM86" s="2">
        <f t="shared" si="52"/>
        <v>0</v>
      </c>
      <c r="AN86" s="2">
        <f t="shared" si="53"/>
        <v>0</v>
      </c>
      <c r="AO86" s="2">
        <f t="shared" si="54"/>
        <v>0</v>
      </c>
      <c r="AP86" s="2">
        <f t="shared" si="55"/>
        <v>0</v>
      </c>
      <c r="AQ86" s="2" t="str">
        <f>IF(IFERROR(VLOOKUP($B86,Morning_Shift!$B$4:$BJ$61,MATCH(Both_Shift_Roster!AQ$2,Morning_Shift!$B$2:$BJ$2,0),0),"")="",IFERROR(VLOOKUP($B86,Evening_Shift!$B$4:$BJ$62,MATCH(Both_Shift_Roster!AQ$2,Evening_Shift!$B$2:$BJ$2,0),0),""),IFERROR(VLOOKUP($B86,Morning_Shift!$B$4:$BJ$61,MATCH(Both_Shift_Roster!AQ$2,Morning_Shift!$B$2:$BJ$2,0),0),""))</f>
        <v>14:30-22:00</v>
      </c>
      <c r="AR86" s="2" t="str">
        <f>IF(IFERROR(VLOOKUP($B86,Morning_Shift!$B$4:$BJ$61,MATCH(Both_Shift_Roster!AR$2,Morning_Shift!$B$2:$BJ$2,0),0),"")="",IFERROR(VLOOKUP($B86,Evening_Shift!$B$4:$BJ$62,MATCH(Both_Shift_Roster!AR$2,Evening_Shift!$B$2:$BJ$2,0),0),""),IFERROR(VLOOKUP($B86,Morning_Shift!$B$4:$BJ$61,MATCH(Both_Shift_Roster!AR$2,Morning_Shift!$B$2:$BJ$2,0),0),""))</f>
        <v>14:30-22:00</v>
      </c>
      <c r="AS86" s="2" t="str">
        <f>IF(IFERROR(VLOOKUP($B86,Morning_Shift!$B$4:$BJ$61,MATCH(Both_Shift_Roster!AS$2,Morning_Shift!$B$2:$BJ$2,0),0),"")="",IFERROR(VLOOKUP($B86,Evening_Shift!$B$4:$BJ$62,MATCH(Both_Shift_Roster!AS$2,Evening_Shift!$B$2:$BJ$2,0),0),""),IFERROR(VLOOKUP($B86,Morning_Shift!$B$4:$BJ$61,MATCH(Both_Shift_Roster!AS$2,Morning_Shift!$B$2:$BJ$2,0),0),""))</f>
        <v>14:30-22:00</v>
      </c>
      <c r="AT86" s="2" t="str">
        <f>IF(IFERROR(VLOOKUP($B86,Morning_Shift!$B$4:$BJ$61,MATCH(Both_Shift_Roster!AT$2,Morning_Shift!$B$2:$BJ$2,0),0),"")="",IFERROR(VLOOKUP($B86,Evening_Shift!$B$4:$BJ$62,MATCH(Both_Shift_Roster!AT$2,Evening_Shift!$B$2:$BJ$2,0),0),""),IFERROR(VLOOKUP($B86,Morning_Shift!$B$4:$BJ$61,MATCH(Both_Shift_Roster!AT$2,Morning_Shift!$B$2:$BJ$2,0),0),""))</f>
        <v>14:30-22:00</v>
      </c>
      <c r="AU86" s="2" t="str">
        <f>IF(IFERROR(VLOOKUP($B86,Morning_Shift!$B$4:$BJ$61,MATCH(Both_Shift_Roster!AU$2,Morning_Shift!$B$2:$BJ$2,0),0),"")="",IFERROR(VLOOKUP($B86,Evening_Shift!$B$4:$BJ$62,MATCH(Both_Shift_Roster!AU$2,Evening_Shift!$B$2:$BJ$2,0),0),""),IFERROR(VLOOKUP($B86,Morning_Shift!$B$4:$BJ$61,MATCH(Both_Shift_Roster!AU$2,Morning_Shift!$B$2:$BJ$2,0),0),""))</f>
        <v>14:30-22:00</v>
      </c>
      <c r="AV86" s="2" t="str">
        <f>IF(IFERROR(VLOOKUP($B86,Morning_Shift!$B$4:$BJ$61,MATCH(Both_Shift_Roster!AV$2,Morning_Shift!$B$2:$BJ$2,0),0),"")="",IFERROR(VLOOKUP($B86,Evening_Shift!$B$4:$BJ$62,MATCH(Both_Shift_Roster!AV$2,Evening_Shift!$B$2:$BJ$2,0),0),""),IFERROR(VLOOKUP($B86,Morning_Shift!$B$4:$BJ$61,MATCH(Both_Shift_Roster!AV$2,Morning_Shift!$B$2:$BJ$2,0),0),""))</f>
        <v>CL</v>
      </c>
      <c r="AW86" s="2" t="str">
        <f>IF(IFERROR(VLOOKUP($B86,Morning_Shift!$B$4:$BJ$61,MATCH(Both_Shift_Roster!AW$2,Morning_Shift!$B$2:$BJ$2,0),0),"")="",IFERROR(VLOOKUP($B86,Evening_Shift!$B$4:$BJ$62,MATCH(Both_Shift_Roster!AW$2,Evening_Shift!$B$2:$BJ$2,0),0),""),IFERROR(VLOOKUP($B86,Morning_Shift!$B$4:$BJ$61,MATCH(Both_Shift_Roster!AW$2,Morning_Shift!$B$2:$BJ$2,0),0),""))</f>
        <v>14:30-22:00</v>
      </c>
      <c r="AX86" s="2">
        <f t="shared" si="56"/>
        <v>0</v>
      </c>
      <c r="AY86" s="2">
        <f t="shared" si="57"/>
        <v>0</v>
      </c>
      <c r="AZ86" s="2">
        <f t="shared" si="58"/>
        <v>1</v>
      </c>
      <c r="BA86" s="2">
        <f t="shared" si="59"/>
        <v>0</v>
      </c>
      <c r="BB86" s="2">
        <f t="shared" si="60"/>
        <v>0</v>
      </c>
      <c r="BC86" s="2" t="str">
        <f>IF(IFERROR(VLOOKUP($B86,Morning_Shift!$B$4:$BJ$61,MATCH(Both_Shift_Roster!BC$2,Morning_Shift!$B$2:$BJ$2,0),0),"")="",IFERROR(VLOOKUP($B86,Evening_Shift!$B$4:$BJ$62,MATCH(Both_Shift_Roster!BC$2,Evening_Shift!$B$2:$BJ$2,0),0),""),IFERROR(VLOOKUP($B86,Morning_Shift!$B$4:$BJ$61,MATCH(Both_Shift_Roster!BC$2,Morning_Shift!$B$2:$BJ$2,0),0),""))</f>
        <v>14:30-22:00</v>
      </c>
      <c r="BD86" s="2" t="str">
        <f>IF(IFERROR(VLOOKUP($B86,Morning_Shift!$B$4:$BJ$61,MATCH(Both_Shift_Roster!BD$2,Morning_Shift!$B$2:$BJ$2,0),0),"")="",IFERROR(VLOOKUP($B86,Evening_Shift!$B$4:$BJ$62,MATCH(Both_Shift_Roster!BD$2,Evening_Shift!$B$2:$BJ$2,0),0),""),IFERROR(VLOOKUP($B86,Morning_Shift!$B$4:$BJ$61,MATCH(Both_Shift_Roster!BD$2,Morning_Shift!$B$2:$BJ$2,0),0),""))</f>
        <v>14:30-22:00</v>
      </c>
      <c r="BE86" s="2" t="str">
        <f>IF(IFERROR(VLOOKUP($B86,Morning_Shift!$B$4:$BJ$61,MATCH(Both_Shift_Roster!BE$2,Morning_Shift!$B$2:$BJ$2,0),0),"")="",IFERROR(VLOOKUP($B86,Evening_Shift!$B$4:$BJ$59,MATCH(Both_Shift_Roster!BE$2,Evening_Shift!$B$2:$BJ$2,0),0),""),IFERROR(VLOOKUP($B86,Morning_Shift!$B$4:$BJ$61,MATCH(Both_Shift_Roster!BE$2,Morning_Shift!$B$2:$BJ$2,0),0),""))</f>
        <v>14:30-22:00</v>
      </c>
      <c r="BF86" s="2">
        <f t="shared" si="61"/>
        <v>0</v>
      </c>
      <c r="BG86" s="2">
        <f t="shared" si="62"/>
        <v>0</v>
      </c>
      <c r="BH86" s="2">
        <f t="shared" si="63"/>
        <v>0</v>
      </c>
      <c r="BI86" s="2">
        <f t="shared" si="64"/>
        <v>0</v>
      </c>
      <c r="BJ86" s="2">
        <f t="shared" si="65"/>
        <v>0</v>
      </c>
    </row>
    <row r="87" spans="1:62">
      <c r="A87" s="17">
        <f t="shared" si="66"/>
        <v>84</v>
      </c>
      <c r="B87" s="16" t="str">
        <f>Evening_Shift!$B29</f>
        <v>Dritm93</v>
      </c>
      <c r="C87" s="21" t="str">
        <f>IF(IFERROR(VLOOKUP(B87,Morning_Shift!B:C,2,0),"")="",IFERROR(VLOOKUP(B87,Evening_Shift!B:C,2,0),""),IFERROR(VLOOKUP(B87,Morning_Shift!B:C,2,0),""))</f>
        <v> Aarushi</v>
      </c>
      <c r="D87" s="15" t="str">
        <f>IF(IFERROR(VLOOKUP(B87,Morning_Shift!B:D,3,0),"")="",IFERROR(VLOOKUP(B87,Evening_Shift!B:D,3,0),""),IFERROR(VLOOKUP(B87,Morning_Shift!B:D,3,0),""))</f>
        <v xml:space="preserve">Sanjesh </v>
      </c>
      <c r="E87" s="4" t="str">
        <f>IF(IFERROR(VLOOKUP(B87,Morning_Shift!B:E,4,0),"")="",IFERROR(VLOOKUP(B87,Evening_Shift!B:E,4,0),""),IFERROR(VLOOKUP(B87,Morning_Shift!B:E,4,0),""))</f>
        <v>F</v>
      </c>
      <c r="F87" s="5" t="str">
        <f>IF(IFERROR(VLOOKUP(B87,Morning_Shift!B:F,5,0),"")="",IFERROR(VLOOKUP(B87,Evening_Shift!B:F,5,0),""),IFERROR(VLOOKUP(B87,Morning_Shift!B:F,5,0),""))</f>
        <v>Inbound</v>
      </c>
      <c r="G87" s="2" t="str">
        <f>IF(IFERROR(VLOOKUP($B87,Morning_Shift!$B$4:$BJ$61,MATCH(Both_Shift_Roster!G$2,Morning_Shift!$B$2:$BJ$2,0),0),"")="",IFERROR(VLOOKUP($B87,Evening_Shift!$B$4:$BJ$62,MATCH(Both_Shift_Roster!G$2,Evening_Shift!$B$2:$BJ$2,0),0),""),IFERROR(VLOOKUP($B87,Morning_Shift!$B$4:$BJ$61,MATCH(Both_Shift_Roster!G$2,Morning_Shift!$B$2:$BJ$2,0),0),""))</f>
        <v>Agent Choice WO</v>
      </c>
      <c r="H87" s="2" t="str">
        <f>IF(IFERROR(VLOOKUP($B87,Morning_Shift!$B$4:$BJ$61,MATCH(Both_Shift_Roster!H$2,Morning_Shift!$B$2:$BJ$2,0),0),"")="",IFERROR(VLOOKUP($B87,Evening_Shift!$B$4:$BJ$62,MATCH(Both_Shift_Roster!H$2,Evening_Shift!$B$2:$BJ$2,0),0),""),IFERROR(VLOOKUP($B87,Morning_Shift!$B$4:$BJ$61,MATCH(Both_Shift_Roster!H$2,Morning_Shift!$B$2:$BJ$2,0),0),""))</f>
        <v>14:30-22:00</v>
      </c>
      <c r="I87" s="2" t="str">
        <f>IF(IFERROR(VLOOKUP($B87,Morning_Shift!$B$4:$BJ$61,MATCH(Both_Shift_Roster!I$2,Morning_Shift!$B$2:$BJ$2,0),0),"")="",IFERROR(VLOOKUP($B87,Evening_Shift!$B$4:$BJ$62,MATCH(Both_Shift_Roster!I$2,Evening_Shift!$B$2:$BJ$2,0),0),""),IFERROR(VLOOKUP($B87,Morning_Shift!$B$4:$BJ$61,MATCH(Both_Shift_Roster!I$2,Morning_Shift!$B$2:$BJ$2,0),0),""))</f>
        <v>14:30-22:00</v>
      </c>
      <c r="J87" s="2" t="str">
        <f>IF(IFERROR(VLOOKUP($B87,Morning_Shift!$B$4:$BJ$61,MATCH(Both_Shift_Roster!J$2,Morning_Shift!$B$2:$BJ$2,0),0),"")="",IFERROR(VLOOKUP($B87,Evening_Shift!$B$4:$BJ$62,MATCH(Both_Shift_Roster!J$2,Evening_Shift!$B$2:$BJ$2,0),0),""),IFERROR(VLOOKUP($B87,Morning_Shift!$B$4:$BJ$61,MATCH(Both_Shift_Roster!J$2,Morning_Shift!$B$2:$BJ$2,0),0),""))</f>
        <v>14:30-22:00</v>
      </c>
      <c r="K87" s="2" t="str">
        <f>IF(IFERROR(VLOOKUP($B87,Morning_Shift!$B$4:$BJ$61,MATCH(Both_Shift_Roster!K$2,Morning_Shift!$B$2:$BJ$2,0),0),"")="",IFERROR(VLOOKUP($B87,Evening_Shift!$B$4:$BJ$62,MATCH(Both_Shift_Roster!K$2,Evening_Shift!$B$2:$BJ$2,0),0),""),IFERROR(VLOOKUP($B87,Morning_Shift!$B$4:$BJ$61,MATCH(Both_Shift_Roster!K$2,Morning_Shift!$B$2:$BJ$2,0),0),""))</f>
        <v>14:30-22:00</v>
      </c>
      <c r="L87" s="2" t="str">
        <f>IF(IFERROR(VLOOKUP($B87,Morning_Shift!$B$4:$BJ$61,MATCH(Both_Shift_Roster!L$2,Morning_Shift!$B$2:$BJ$2,0),0),"")="",IFERROR(VLOOKUP($B87,Evening_Shift!$B$4:$BJ$62,MATCH(Both_Shift_Roster!L$2,Evening_Shift!$B$2:$BJ$2,0),0),""),IFERROR(VLOOKUP($B87,Morning_Shift!$B$4:$BJ$61,MATCH(Both_Shift_Roster!L$2,Morning_Shift!$B$2:$BJ$2,0),0),""))</f>
        <v>14:30-22:00</v>
      </c>
      <c r="M87" s="2" t="str">
        <f>IF(IFERROR(VLOOKUP($B87,Morning_Shift!$B$4:$BJ$61,MATCH(Both_Shift_Roster!M$2,Morning_Shift!$B$2:$BJ$2,0),0),"")="",IFERROR(VLOOKUP($B87,Evening_Shift!$B$4:$BJ$62,MATCH(Both_Shift_Roster!M$2,Evening_Shift!$B$2:$BJ$2,0),0),""),IFERROR(VLOOKUP($B87,Morning_Shift!$B$4:$BJ$61,MATCH(Both_Shift_Roster!M$2,Morning_Shift!$B$2:$BJ$2,0),0),""))</f>
        <v>14:30-22:00</v>
      </c>
      <c r="N87" s="2">
        <f t="shared" si="41"/>
        <v>1</v>
      </c>
      <c r="O87" s="2">
        <f t="shared" si="42"/>
        <v>0</v>
      </c>
      <c r="P87" s="2">
        <f t="shared" si="43"/>
        <v>0</v>
      </c>
      <c r="Q87" s="2">
        <f t="shared" si="44"/>
        <v>0</v>
      </c>
      <c r="R87" s="2">
        <f t="shared" si="45"/>
        <v>0</v>
      </c>
      <c r="S87" s="2" t="str">
        <f>IF(IFERROR(VLOOKUP($B87,Morning_Shift!$B$4:$BJ$61,MATCH(Both_Shift_Roster!S$2,Morning_Shift!$B$2:$BJ$2,0),0),"")="",IFERROR(VLOOKUP($B87,Evening_Shift!$B$4:$BJ$62,MATCH(Both_Shift_Roster!S$2,Evening_Shift!$B$2:$BJ$2,0),0),""),IFERROR(VLOOKUP($B87,Morning_Shift!$B$4:$BJ$61,MATCH(Both_Shift_Roster!S$2,Morning_Shift!$B$2:$BJ$2,0),0),""))</f>
        <v>14:30-22:00</v>
      </c>
      <c r="T87" s="2" t="str">
        <f>IF(IFERROR(VLOOKUP($B87,Morning_Shift!$B$4:$BJ$61,MATCH(Both_Shift_Roster!T$2,Morning_Shift!$B$2:$BJ$2,0),0),"")="",IFERROR(VLOOKUP($B87,Evening_Shift!$B$4:$BJ$62,MATCH(Both_Shift_Roster!T$2,Evening_Shift!$B$2:$BJ$2,0),0),""),IFERROR(VLOOKUP($B87,Morning_Shift!$B$4:$BJ$61,MATCH(Both_Shift_Roster!T$2,Morning_Shift!$B$2:$BJ$2,0),0),""))</f>
        <v>14:30-22:00</v>
      </c>
      <c r="U87" s="2" t="str">
        <f>IF(IFERROR(VLOOKUP($B87,Morning_Shift!$B$4:$BJ$61,MATCH(Both_Shift_Roster!U$2,Morning_Shift!$B$2:$BJ$2,0),0),"")="",IFERROR(VLOOKUP($B87,Evening_Shift!$B$4:$BJ$62,MATCH(Both_Shift_Roster!U$2,Evening_Shift!$B$2:$BJ$2,0),0),""),IFERROR(VLOOKUP($B87,Morning_Shift!$B$4:$BJ$61,MATCH(Both_Shift_Roster!U$2,Morning_Shift!$B$2:$BJ$2,0),0),""))</f>
        <v>14:30-22:00</v>
      </c>
      <c r="V87" s="2" t="str">
        <f>IF(IFERROR(VLOOKUP($B87,Morning_Shift!$B$4:$BJ$61,MATCH(Both_Shift_Roster!V$2,Morning_Shift!$B$2:$BJ$2,0),0),"")="",IFERROR(VLOOKUP($B87,Evening_Shift!$B$4:$BJ$62,MATCH(Both_Shift_Roster!V$2,Evening_Shift!$B$2:$BJ$2,0),0),""),IFERROR(VLOOKUP($B87,Morning_Shift!$B$4:$BJ$61,MATCH(Both_Shift_Roster!V$2,Morning_Shift!$B$2:$BJ$2,0),0),""))</f>
        <v>14:30-22:00</v>
      </c>
      <c r="W87" s="2" t="str">
        <f>IF(IFERROR(VLOOKUP($B87,Morning_Shift!$B$4:$BJ$61,MATCH(Both_Shift_Roster!W$2,Morning_Shift!$B$2:$BJ$2,0),0),"")="",IFERROR(VLOOKUP($B87,Evening_Shift!$B$4:$BJ$62,MATCH(Both_Shift_Roster!W$2,Evening_Shift!$B$2:$BJ$2,0),0),""),IFERROR(VLOOKUP($B87,Morning_Shift!$B$4:$BJ$61,MATCH(Both_Shift_Roster!W$2,Morning_Shift!$B$2:$BJ$2,0),0),""))</f>
        <v>14:30-22:00</v>
      </c>
      <c r="X87" s="2" t="str">
        <f>IF(IFERROR(VLOOKUP($B87,Morning_Shift!$B$4:$BJ$61,MATCH(Both_Shift_Roster!X$2,Morning_Shift!$B$2:$BJ$2,0),0),"")="",IFERROR(VLOOKUP($B87,Evening_Shift!$B$4:$BJ$62,MATCH(Both_Shift_Roster!X$2,Evening_Shift!$B$2:$BJ$2,0),0),""),IFERROR(VLOOKUP($B87,Morning_Shift!$B$4:$BJ$61,MATCH(Both_Shift_Roster!X$2,Morning_Shift!$B$2:$BJ$2,0),0),""))</f>
        <v>14:30-22:00</v>
      </c>
      <c r="Y87" s="2" t="str">
        <f>IF(IFERROR(VLOOKUP($B87,Morning_Shift!$B$4:$BJ$61,MATCH(Both_Shift_Roster!Y$2,Morning_Shift!$B$2:$BJ$2,0),0),"")="",IFERROR(VLOOKUP($B87,Evening_Shift!$B$4:$BJ$62,MATCH(Both_Shift_Roster!Y$2,Evening_Shift!$B$2:$BJ$2,0),0),""),IFERROR(VLOOKUP($B87,Morning_Shift!$B$4:$BJ$61,MATCH(Both_Shift_Roster!Y$2,Morning_Shift!$B$2:$BJ$2,0),0),""))</f>
        <v>14:30-22:00</v>
      </c>
      <c r="Z87" s="2">
        <f t="shared" si="46"/>
        <v>0</v>
      </c>
      <c r="AA87" s="2">
        <f t="shared" si="47"/>
        <v>0</v>
      </c>
      <c r="AB87" s="2">
        <f t="shared" si="48"/>
        <v>0</v>
      </c>
      <c r="AC87" s="2">
        <f t="shared" si="49"/>
        <v>0</v>
      </c>
      <c r="AD87" s="2">
        <f t="shared" si="50"/>
        <v>0</v>
      </c>
      <c r="AE87" s="2" t="str">
        <f>IF(IFERROR(VLOOKUP($B87,Morning_Shift!$B$4:$BJ$61,MATCH(Both_Shift_Roster!AE$2,Morning_Shift!$B$2:$BJ$2,0),0),"")="",IFERROR(VLOOKUP($B87,Evening_Shift!$B$4:$BJ$62,MATCH(Both_Shift_Roster!AE$2,Evening_Shift!$B$2:$BJ$2,0),0),""),IFERROR(VLOOKUP($B87,Morning_Shift!$B$4:$BJ$61,MATCH(Both_Shift_Roster!AE$2,Morning_Shift!$B$2:$BJ$2,0),0),""))</f>
        <v>14:30-22:00</v>
      </c>
      <c r="AF87" s="2" t="str">
        <f>IF(IFERROR(VLOOKUP($B87,Morning_Shift!$B$4:$BJ$61,MATCH(Both_Shift_Roster!AF$2,Morning_Shift!$B$2:$BJ$2,0),0),"")="",IFERROR(VLOOKUP($B87,Evening_Shift!$B$4:$BJ$62,MATCH(Both_Shift_Roster!AF$2,Evening_Shift!$B$2:$BJ$2,0),0),""),IFERROR(VLOOKUP($B87,Morning_Shift!$B$4:$BJ$61,MATCH(Both_Shift_Roster!AF$2,Morning_Shift!$B$2:$BJ$2,0),0),""))</f>
        <v>14:30-22:00</v>
      </c>
      <c r="AG87" s="2" t="str">
        <f>IF(IFERROR(VLOOKUP($B87,Morning_Shift!$B$4:$BJ$61,MATCH(Both_Shift_Roster!AG$2,Morning_Shift!$B$2:$BJ$2,0),0),"")="",IFERROR(VLOOKUP($B87,Evening_Shift!$B$4:$BJ$62,MATCH(Both_Shift_Roster!AG$2,Evening_Shift!$B$2:$BJ$2,0),0),""),IFERROR(VLOOKUP($B87,Morning_Shift!$B$4:$BJ$61,MATCH(Both_Shift_Roster!AG$2,Morning_Shift!$B$2:$BJ$2,0),0),""))</f>
        <v>14:30-22:00</v>
      </c>
      <c r="AH87" s="2" t="str">
        <f>IF(IFERROR(VLOOKUP($B87,Morning_Shift!$B$4:$BJ$61,MATCH(Both_Shift_Roster!AH$2,Morning_Shift!$B$2:$BJ$2,0),0),"")="",IFERROR(VLOOKUP($B87,Evening_Shift!$B$4:$BJ$62,MATCH(Both_Shift_Roster!AH$2,Evening_Shift!$B$2:$BJ$2,0),0),""),IFERROR(VLOOKUP($B87,Morning_Shift!$B$4:$BJ$61,MATCH(Both_Shift_Roster!AH$2,Morning_Shift!$B$2:$BJ$2,0),0),""))</f>
        <v>14:30-22:00</v>
      </c>
      <c r="AI87" s="2" t="str">
        <f>IF(IFERROR(VLOOKUP($B87,Morning_Shift!$B$4:$BJ$61,MATCH(Both_Shift_Roster!AI$2,Morning_Shift!$B$2:$BJ$2,0),0),"")="",IFERROR(VLOOKUP($B87,Evening_Shift!$B$4:$BJ$62,MATCH(Both_Shift_Roster!AI$2,Evening_Shift!$B$2:$BJ$2,0),0),""),IFERROR(VLOOKUP($B87,Morning_Shift!$B$4:$BJ$61,MATCH(Both_Shift_Roster!AI$2,Morning_Shift!$B$2:$BJ$2,0),0),""))</f>
        <v>14:30-22:00</v>
      </c>
      <c r="AJ87" s="2" t="str">
        <f>IF(IFERROR(VLOOKUP($B87,Morning_Shift!$B$4:$BJ$61,MATCH(Both_Shift_Roster!AJ$2,Morning_Shift!$B$2:$BJ$2,0),0),"")="",IFERROR(VLOOKUP($B87,Evening_Shift!$B$4:$BJ$62,MATCH(Both_Shift_Roster!AJ$2,Evening_Shift!$B$2:$BJ$2,0),0),""),IFERROR(VLOOKUP($B87,Morning_Shift!$B$4:$BJ$61,MATCH(Both_Shift_Roster!AJ$2,Morning_Shift!$B$2:$BJ$2,0),0),""))</f>
        <v>Agent Choice WO</v>
      </c>
      <c r="AK87" s="2" t="str">
        <f>IF(IFERROR(VLOOKUP($B87,Morning_Shift!$B$4:$BJ$61,MATCH(Both_Shift_Roster!AK$2,Morning_Shift!$B$2:$BJ$2,0),0),"")="",IFERROR(VLOOKUP($B87,Evening_Shift!$B$4:$BJ$62,MATCH(Both_Shift_Roster!AK$2,Evening_Shift!$B$2:$BJ$2,0),0),""),IFERROR(VLOOKUP($B87,Morning_Shift!$B$4:$BJ$61,MATCH(Both_Shift_Roster!AK$2,Morning_Shift!$B$2:$BJ$2,0),0),""))</f>
        <v>14:30-22:00</v>
      </c>
      <c r="AL87" s="2">
        <f t="shared" si="51"/>
        <v>1</v>
      </c>
      <c r="AM87" s="2">
        <f t="shared" si="52"/>
        <v>0</v>
      </c>
      <c r="AN87" s="2">
        <f t="shared" si="53"/>
        <v>0</v>
      </c>
      <c r="AO87" s="2">
        <f t="shared" si="54"/>
        <v>0</v>
      </c>
      <c r="AP87" s="2">
        <f t="shared" si="55"/>
        <v>0</v>
      </c>
      <c r="AQ87" s="2" t="str">
        <f>IF(IFERROR(VLOOKUP($B87,Morning_Shift!$B$4:$BJ$61,MATCH(Both_Shift_Roster!AQ$2,Morning_Shift!$B$2:$BJ$2,0),0),"")="",IFERROR(VLOOKUP($B87,Evening_Shift!$B$4:$BJ$62,MATCH(Both_Shift_Roster!AQ$2,Evening_Shift!$B$2:$BJ$2,0),0),""),IFERROR(VLOOKUP($B87,Morning_Shift!$B$4:$BJ$61,MATCH(Both_Shift_Roster!AQ$2,Morning_Shift!$B$2:$BJ$2,0),0),""))</f>
        <v>14:30-22:00</v>
      </c>
      <c r="AR87" s="2" t="str">
        <f>IF(IFERROR(VLOOKUP($B87,Morning_Shift!$B$4:$BJ$61,MATCH(Both_Shift_Roster!AR$2,Morning_Shift!$B$2:$BJ$2,0),0),"")="",IFERROR(VLOOKUP($B87,Evening_Shift!$B$4:$BJ$62,MATCH(Both_Shift_Roster!AR$2,Evening_Shift!$B$2:$BJ$2,0),0),""),IFERROR(VLOOKUP($B87,Morning_Shift!$B$4:$BJ$61,MATCH(Both_Shift_Roster!AR$2,Morning_Shift!$B$2:$BJ$2,0),0),""))</f>
        <v>14:30-22:00</v>
      </c>
      <c r="AS87" s="2" t="str">
        <f>IF(IFERROR(VLOOKUP($B87,Morning_Shift!$B$4:$BJ$61,MATCH(Both_Shift_Roster!AS$2,Morning_Shift!$B$2:$BJ$2,0),0),"")="",IFERROR(VLOOKUP($B87,Evening_Shift!$B$4:$BJ$62,MATCH(Both_Shift_Roster!AS$2,Evening_Shift!$B$2:$BJ$2,0),0),""),IFERROR(VLOOKUP($B87,Morning_Shift!$B$4:$BJ$61,MATCH(Both_Shift_Roster!AS$2,Morning_Shift!$B$2:$BJ$2,0),0),""))</f>
        <v>14:30-22:00</v>
      </c>
      <c r="AT87" s="2" t="str">
        <f>IF(IFERROR(VLOOKUP($B87,Morning_Shift!$B$4:$BJ$61,MATCH(Both_Shift_Roster!AT$2,Morning_Shift!$B$2:$BJ$2,0),0),"")="",IFERROR(VLOOKUP($B87,Evening_Shift!$B$4:$BJ$62,MATCH(Both_Shift_Roster!AT$2,Evening_Shift!$B$2:$BJ$2,0),0),""),IFERROR(VLOOKUP($B87,Morning_Shift!$B$4:$BJ$61,MATCH(Both_Shift_Roster!AT$2,Morning_Shift!$B$2:$BJ$2,0),0),""))</f>
        <v>14:30-22:00</v>
      </c>
      <c r="AU87" s="2" t="str">
        <f>IF(IFERROR(VLOOKUP($B87,Morning_Shift!$B$4:$BJ$61,MATCH(Both_Shift_Roster!AU$2,Morning_Shift!$B$2:$BJ$2,0),0),"")="",IFERROR(VLOOKUP($B87,Evening_Shift!$B$4:$BJ$62,MATCH(Both_Shift_Roster!AU$2,Evening_Shift!$B$2:$BJ$2,0),0),""),IFERROR(VLOOKUP($B87,Morning_Shift!$B$4:$BJ$61,MATCH(Both_Shift_Roster!AU$2,Morning_Shift!$B$2:$BJ$2,0),0),""))</f>
        <v>14:30-22:00</v>
      </c>
      <c r="AV87" s="2" t="str">
        <f>IF(IFERROR(VLOOKUP($B87,Morning_Shift!$B$4:$BJ$61,MATCH(Both_Shift_Roster!AV$2,Morning_Shift!$B$2:$BJ$2,0),0),"")="",IFERROR(VLOOKUP($B87,Evening_Shift!$B$4:$BJ$62,MATCH(Both_Shift_Roster!AV$2,Evening_Shift!$B$2:$BJ$2,0),0),""),IFERROR(VLOOKUP($B87,Morning_Shift!$B$4:$BJ$61,MATCH(Both_Shift_Roster!AV$2,Morning_Shift!$B$2:$BJ$2,0),0),""))</f>
        <v>14:30-22:00</v>
      </c>
      <c r="AW87" s="2" t="str">
        <f>IF(IFERROR(VLOOKUP($B87,Morning_Shift!$B$4:$BJ$61,MATCH(Both_Shift_Roster!AW$2,Morning_Shift!$B$2:$BJ$2,0),0),"")="",IFERROR(VLOOKUP($B87,Evening_Shift!$B$4:$BJ$62,MATCH(Both_Shift_Roster!AW$2,Evening_Shift!$B$2:$BJ$2,0),0),""),IFERROR(VLOOKUP($B87,Morning_Shift!$B$4:$BJ$61,MATCH(Both_Shift_Roster!AW$2,Morning_Shift!$B$2:$BJ$2,0),0),""))</f>
        <v>Agent Choice WO</v>
      </c>
      <c r="AX87" s="2">
        <f t="shared" si="56"/>
        <v>1</v>
      </c>
      <c r="AY87" s="2">
        <f t="shared" si="57"/>
        <v>0</v>
      </c>
      <c r="AZ87" s="2">
        <f t="shared" si="58"/>
        <v>0</v>
      </c>
      <c r="BA87" s="2">
        <f t="shared" si="59"/>
        <v>0</v>
      </c>
      <c r="BB87" s="2">
        <f t="shared" si="60"/>
        <v>0</v>
      </c>
      <c r="BC87" s="2" t="str">
        <f>IF(IFERROR(VLOOKUP($B87,Morning_Shift!$B$4:$BJ$61,MATCH(Both_Shift_Roster!BC$2,Morning_Shift!$B$2:$BJ$2,0),0),"")="",IFERROR(VLOOKUP($B87,Evening_Shift!$B$4:$BJ$62,MATCH(Both_Shift_Roster!BC$2,Evening_Shift!$B$2:$BJ$2,0),0),""),IFERROR(VLOOKUP($B87,Morning_Shift!$B$4:$BJ$61,MATCH(Both_Shift_Roster!BC$2,Morning_Shift!$B$2:$BJ$2,0),0),""))</f>
        <v>Agent Choice WO</v>
      </c>
      <c r="BD87" s="2" t="str">
        <f>IF(IFERROR(VLOOKUP($B87,Morning_Shift!$B$4:$BJ$61,MATCH(Both_Shift_Roster!BD$2,Morning_Shift!$B$2:$BJ$2,0),0),"")="",IFERROR(VLOOKUP($B87,Evening_Shift!$B$4:$BJ$62,MATCH(Both_Shift_Roster!BD$2,Evening_Shift!$B$2:$BJ$2,0),0),""),IFERROR(VLOOKUP($B87,Morning_Shift!$B$4:$BJ$61,MATCH(Both_Shift_Roster!BD$2,Morning_Shift!$B$2:$BJ$2,0),0),""))</f>
        <v>14:30-22:00</v>
      </c>
      <c r="BE87" s="2" t="str">
        <f>IF(IFERROR(VLOOKUP($B87,Morning_Shift!$B$4:$BJ$61,MATCH(Both_Shift_Roster!BE$2,Morning_Shift!$B$2:$BJ$2,0),0),"")="",IFERROR(VLOOKUP($B87,Evening_Shift!$B$4:$BJ$59,MATCH(Both_Shift_Roster!BE$2,Evening_Shift!$B$2:$BJ$2,0),0),""),IFERROR(VLOOKUP($B87,Morning_Shift!$B$4:$BJ$61,MATCH(Both_Shift_Roster!BE$2,Morning_Shift!$B$2:$BJ$2,0),0),""))</f>
        <v>14:30-22:00</v>
      </c>
      <c r="BF87" s="2">
        <f t="shared" si="61"/>
        <v>1</v>
      </c>
      <c r="BG87" s="2">
        <f t="shared" si="62"/>
        <v>0</v>
      </c>
      <c r="BH87" s="2">
        <f t="shared" si="63"/>
        <v>0</v>
      </c>
      <c r="BI87" s="2">
        <f t="shared" si="64"/>
        <v>0</v>
      </c>
      <c r="BJ87" s="2">
        <f t="shared" si="65"/>
        <v>0</v>
      </c>
    </row>
    <row r="88" spans="1:62">
      <c r="A88" s="17">
        <f t="shared" si="66"/>
        <v>85</v>
      </c>
      <c r="B88" s="16" t="str">
        <f>Evening_Shift!$B30</f>
        <v>Dritm96</v>
      </c>
      <c r="C88" s="21" t="str">
        <f>IF(IFERROR(VLOOKUP(B88,Morning_Shift!B:C,2,0),"")="",IFERROR(VLOOKUP(B88,Evening_Shift!B:C,2,0),""),IFERROR(VLOOKUP(B88,Morning_Shift!B:C,2,0),""))</f>
        <v>Deepak Kumar</v>
      </c>
      <c r="D88" s="15" t="str">
        <f>IF(IFERROR(VLOOKUP(B88,Morning_Shift!B:D,3,0),"")="",IFERROR(VLOOKUP(B88,Evening_Shift!B:D,3,0),""),IFERROR(VLOOKUP(B88,Morning_Shift!B:D,3,0),""))</f>
        <v xml:space="preserve">Sanjesh </v>
      </c>
      <c r="E88" s="4" t="str">
        <f>IF(IFERROR(VLOOKUP(B88,Morning_Shift!B:E,4,0),"")="",IFERROR(VLOOKUP(B88,Evening_Shift!B:E,4,0),""),IFERROR(VLOOKUP(B88,Morning_Shift!B:E,4,0),""))</f>
        <v>M</v>
      </c>
      <c r="F88" s="5" t="str">
        <f>IF(IFERROR(VLOOKUP(B88,Morning_Shift!B:F,5,0),"")="",IFERROR(VLOOKUP(B88,Evening_Shift!B:F,5,0),""),IFERROR(VLOOKUP(B88,Morning_Shift!B:F,5,0),""))</f>
        <v>Inbound</v>
      </c>
      <c r="G88" s="2" t="str">
        <f>IF(IFERROR(VLOOKUP($B88,Morning_Shift!$B$4:$BJ$61,MATCH(Both_Shift_Roster!G$2,Morning_Shift!$B$2:$BJ$2,0),0),"")="",IFERROR(VLOOKUP($B88,Evening_Shift!$B$4:$BJ$62,MATCH(Both_Shift_Roster!G$2,Evening_Shift!$B$2:$BJ$2,0),0),""),IFERROR(VLOOKUP($B88,Morning_Shift!$B$4:$BJ$61,MATCH(Both_Shift_Roster!G$2,Morning_Shift!$B$2:$BJ$2,0),0),""))</f>
        <v>14:30-22:00</v>
      </c>
      <c r="H88" s="2" t="str">
        <f>IF(IFERROR(VLOOKUP($B88,Morning_Shift!$B$4:$BJ$61,MATCH(Both_Shift_Roster!H$2,Morning_Shift!$B$2:$BJ$2,0),0),"")="",IFERROR(VLOOKUP($B88,Evening_Shift!$B$4:$BJ$62,MATCH(Both_Shift_Roster!H$2,Evening_Shift!$B$2:$BJ$2,0),0),""),IFERROR(VLOOKUP($B88,Morning_Shift!$B$4:$BJ$61,MATCH(Both_Shift_Roster!H$2,Morning_Shift!$B$2:$BJ$2,0),0),""))</f>
        <v>14:30-22:00</v>
      </c>
      <c r="I88" s="2" t="str">
        <f>IF(IFERROR(VLOOKUP($B88,Morning_Shift!$B$4:$BJ$61,MATCH(Both_Shift_Roster!I$2,Morning_Shift!$B$2:$BJ$2,0),0),"")="",IFERROR(VLOOKUP($B88,Evening_Shift!$B$4:$BJ$62,MATCH(Both_Shift_Roster!I$2,Evening_Shift!$B$2:$BJ$2,0),0),""),IFERROR(VLOOKUP($B88,Morning_Shift!$B$4:$BJ$61,MATCH(Both_Shift_Roster!I$2,Morning_Shift!$B$2:$BJ$2,0),0),""))</f>
        <v>14:30-22:00</v>
      </c>
      <c r="J88" s="2" t="str">
        <f>IF(IFERROR(VLOOKUP($B88,Morning_Shift!$B$4:$BJ$61,MATCH(Both_Shift_Roster!J$2,Morning_Shift!$B$2:$BJ$2,0),0),"")="",IFERROR(VLOOKUP($B88,Evening_Shift!$B$4:$BJ$62,MATCH(Both_Shift_Roster!J$2,Evening_Shift!$B$2:$BJ$2,0),0),""),IFERROR(VLOOKUP($B88,Morning_Shift!$B$4:$BJ$61,MATCH(Both_Shift_Roster!J$2,Morning_Shift!$B$2:$BJ$2,0),0),""))</f>
        <v>14:30-22:00</v>
      </c>
      <c r="K88" s="2" t="str">
        <f>IF(IFERROR(VLOOKUP($B88,Morning_Shift!$B$4:$BJ$61,MATCH(Both_Shift_Roster!K$2,Morning_Shift!$B$2:$BJ$2,0),0),"")="",IFERROR(VLOOKUP($B88,Evening_Shift!$B$4:$BJ$62,MATCH(Both_Shift_Roster!K$2,Evening_Shift!$B$2:$BJ$2,0),0),""),IFERROR(VLOOKUP($B88,Morning_Shift!$B$4:$BJ$61,MATCH(Both_Shift_Roster!K$2,Morning_Shift!$B$2:$BJ$2,0),0),""))</f>
        <v>14:30-22:00</v>
      </c>
      <c r="L88" s="2" t="str">
        <f>IF(IFERROR(VLOOKUP($B88,Morning_Shift!$B$4:$BJ$61,MATCH(Both_Shift_Roster!L$2,Morning_Shift!$B$2:$BJ$2,0),0),"")="",IFERROR(VLOOKUP($B88,Evening_Shift!$B$4:$BJ$62,MATCH(Both_Shift_Roster!L$2,Evening_Shift!$B$2:$BJ$2,0),0),""),IFERROR(VLOOKUP($B88,Morning_Shift!$B$4:$BJ$61,MATCH(Both_Shift_Roster!L$2,Morning_Shift!$B$2:$BJ$2,0),0),""))</f>
        <v>14:30-22:00</v>
      </c>
      <c r="M88" s="2" t="str">
        <f>IF(IFERROR(VLOOKUP($B88,Morning_Shift!$B$4:$BJ$61,MATCH(Both_Shift_Roster!M$2,Morning_Shift!$B$2:$BJ$2,0),0),"")="",IFERROR(VLOOKUP($B88,Evening_Shift!$B$4:$BJ$62,MATCH(Both_Shift_Roster!M$2,Evening_Shift!$B$2:$BJ$2,0),0),""),IFERROR(VLOOKUP($B88,Morning_Shift!$B$4:$BJ$61,MATCH(Both_Shift_Roster!M$2,Morning_Shift!$B$2:$BJ$2,0),0),""))</f>
        <v>14:30-22:00</v>
      </c>
      <c r="N88" s="2">
        <f t="shared" si="41"/>
        <v>0</v>
      </c>
      <c r="O88" s="2">
        <f t="shared" si="42"/>
        <v>0</v>
      </c>
      <c r="P88" s="2">
        <f t="shared" si="43"/>
        <v>0</v>
      </c>
      <c r="Q88" s="2">
        <f t="shared" si="44"/>
        <v>0</v>
      </c>
      <c r="R88" s="2">
        <f t="shared" si="45"/>
        <v>0</v>
      </c>
      <c r="S88" s="2" t="str">
        <f>IF(IFERROR(VLOOKUP($B88,Morning_Shift!$B$4:$BJ$61,MATCH(Both_Shift_Roster!S$2,Morning_Shift!$B$2:$BJ$2,0),0),"")="",IFERROR(VLOOKUP($B88,Evening_Shift!$B$4:$BJ$62,MATCH(Both_Shift_Roster!S$2,Evening_Shift!$B$2:$BJ$2,0),0),""),IFERROR(VLOOKUP($B88,Morning_Shift!$B$4:$BJ$61,MATCH(Both_Shift_Roster!S$2,Morning_Shift!$B$2:$BJ$2,0),0),""))</f>
        <v>14:30-22:00</v>
      </c>
      <c r="T88" s="2" t="str">
        <f>IF(IFERROR(VLOOKUP($B88,Morning_Shift!$B$4:$BJ$61,MATCH(Both_Shift_Roster!T$2,Morning_Shift!$B$2:$BJ$2,0),0),"")="",IFERROR(VLOOKUP($B88,Evening_Shift!$B$4:$BJ$62,MATCH(Both_Shift_Roster!T$2,Evening_Shift!$B$2:$BJ$2,0),0),""),IFERROR(VLOOKUP($B88,Morning_Shift!$B$4:$BJ$61,MATCH(Both_Shift_Roster!T$2,Morning_Shift!$B$2:$BJ$2,0),0),""))</f>
        <v>14:30-22:00</v>
      </c>
      <c r="U88" s="2" t="str">
        <f>IF(IFERROR(VLOOKUP($B88,Morning_Shift!$B$4:$BJ$61,MATCH(Both_Shift_Roster!U$2,Morning_Shift!$B$2:$BJ$2,0),0),"")="",IFERROR(VLOOKUP($B88,Evening_Shift!$B$4:$BJ$62,MATCH(Both_Shift_Roster!U$2,Evening_Shift!$B$2:$BJ$2,0),0),""),IFERROR(VLOOKUP($B88,Morning_Shift!$B$4:$BJ$61,MATCH(Both_Shift_Roster!U$2,Morning_Shift!$B$2:$BJ$2,0),0),""))</f>
        <v>14:30-22:00</v>
      </c>
      <c r="V88" s="2" t="str">
        <f>IF(IFERROR(VLOOKUP($B88,Morning_Shift!$B$4:$BJ$61,MATCH(Both_Shift_Roster!V$2,Morning_Shift!$B$2:$BJ$2,0),0),"")="",IFERROR(VLOOKUP($B88,Evening_Shift!$B$4:$BJ$62,MATCH(Both_Shift_Roster!V$2,Evening_Shift!$B$2:$BJ$2,0),0),""),IFERROR(VLOOKUP($B88,Morning_Shift!$B$4:$BJ$61,MATCH(Both_Shift_Roster!V$2,Morning_Shift!$B$2:$BJ$2,0),0),""))</f>
        <v>14:30-22:00</v>
      </c>
      <c r="W88" s="2" t="str">
        <f>IF(IFERROR(VLOOKUP($B88,Morning_Shift!$B$4:$BJ$61,MATCH(Both_Shift_Roster!W$2,Morning_Shift!$B$2:$BJ$2,0),0),"")="",IFERROR(VLOOKUP($B88,Evening_Shift!$B$4:$BJ$62,MATCH(Both_Shift_Roster!W$2,Evening_Shift!$B$2:$BJ$2,0),0),""),IFERROR(VLOOKUP($B88,Morning_Shift!$B$4:$BJ$61,MATCH(Both_Shift_Roster!W$2,Morning_Shift!$B$2:$BJ$2,0),0),""))</f>
        <v>14:30-22:00</v>
      </c>
      <c r="X88" s="2" t="str">
        <f>IF(IFERROR(VLOOKUP($B88,Morning_Shift!$B$4:$BJ$61,MATCH(Both_Shift_Roster!X$2,Morning_Shift!$B$2:$BJ$2,0),0),"")="",IFERROR(VLOOKUP($B88,Evening_Shift!$B$4:$BJ$62,MATCH(Both_Shift_Roster!X$2,Evening_Shift!$B$2:$BJ$2,0),0),""),IFERROR(VLOOKUP($B88,Morning_Shift!$B$4:$BJ$61,MATCH(Both_Shift_Roster!X$2,Morning_Shift!$B$2:$BJ$2,0),0),""))</f>
        <v>14:30-22:00</v>
      </c>
      <c r="Y88" s="2" t="str">
        <f>IF(IFERROR(VLOOKUP($B88,Morning_Shift!$B$4:$BJ$61,MATCH(Both_Shift_Roster!Y$2,Morning_Shift!$B$2:$BJ$2,0),0),"")="",IFERROR(VLOOKUP($B88,Evening_Shift!$B$4:$BJ$62,MATCH(Both_Shift_Roster!Y$2,Evening_Shift!$B$2:$BJ$2,0),0),""),IFERROR(VLOOKUP($B88,Morning_Shift!$B$4:$BJ$61,MATCH(Both_Shift_Roster!Y$2,Morning_Shift!$B$2:$BJ$2,0),0),""))</f>
        <v>14:30-22:00</v>
      </c>
      <c r="Z88" s="2">
        <f t="shared" si="46"/>
        <v>0</v>
      </c>
      <c r="AA88" s="2">
        <f t="shared" si="47"/>
        <v>0</v>
      </c>
      <c r="AB88" s="2">
        <f t="shared" si="48"/>
        <v>0</v>
      </c>
      <c r="AC88" s="2">
        <f t="shared" si="49"/>
        <v>0</v>
      </c>
      <c r="AD88" s="2">
        <f t="shared" si="50"/>
        <v>0</v>
      </c>
      <c r="AE88" s="2" t="str">
        <f>IF(IFERROR(VLOOKUP($B88,Morning_Shift!$B$4:$BJ$61,MATCH(Both_Shift_Roster!AE$2,Morning_Shift!$B$2:$BJ$2,0),0),"")="",IFERROR(VLOOKUP($B88,Evening_Shift!$B$4:$BJ$62,MATCH(Both_Shift_Roster!AE$2,Evening_Shift!$B$2:$BJ$2,0),0),""),IFERROR(VLOOKUP($B88,Morning_Shift!$B$4:$BJ$61,MATCH(Both_Shift_Roster!AE$2,Morning_Shift!$B$2:$BJ$2,0),0),""))</f>
        <v>14:30-22:00</v>
      </c>
      <c r="AF88" s="2" t="str">
        <f>IF(IFERROR(VLOOKUP($B88,Morning_Shift!$B$4:$BJ$61,MATCH(Both_Shift_Roster!AF$2,Morning_Shift!$B$2:$BJ$2,0),0),"")="",IFERROR(VLOOKUP($B88,Evening_Shift!$B$4:$BJ$62,MATCH(Both_Shift_Roster!AF$2,Evening_Shift!$B$2:$BJ$2,0),0),""),IFERROR(VLOOKUP($B88,Morning_Shift!$B$4:$BJ$61,MATCH(Both_Shift_Roster!AF$2,Morning_Shift!$B$2:$BJ$2,0),0),""))</f>
        <v>14:30-22:00</v>
      </c>
      <c r="AG88" s="2" t="str">
        <f>IF(IFERROR(VLOOKUP($B88,Morning_Shift!$B$4:$BJ$61,MATCH(Both_Shift_Roster!AG$2,Morning_Shift!$B$2:$BJ$2,0),0),"")="",IFERROR(VLOOKUP($B88,Evening_Shift!$B$4:$BJ$62,MATCH(Both_Shift_Roster!AG$2,Evening_Shift!$B$2:$BJ$2,0),0),""),IFERROR(VLOOKUP($B88,Morning_Shift!$B$4:$BJ$61,MATCH(Both_Shift_Roster!AG$2,Morning_Shift!$B$2:$BJ$2,0),0),""))</f>
        <v>14:30-22:00</v>
      </c>
      <c r="AH88" s="2" t="str">
        <f>IF(IFERROR(VLOOKUP($B88,Morning_Shift!$B$4:$BJ$61,MATCH(Both_Shift_Roster!AH$2,Morning_Shift!$B$2:$BJ$2,0),0),"")="",IFERROR(VLOOKUP($B88,Evening_Shift!$B$4:$BJ$62,MATCH(Both_Shift_Roster!AH$2,Evening_Shift!$B$2:$BJ$2,0),0),""),IFERROR(VLOOKUP($B88,Morning_Shift!$B$4:$BJ$61,MATCH(Both_Shift_Roster!AH$2,Morning_Shift!$B$2:$BJ$2,0),0),""))</f>
        <v>14:30-22:00</v>
      </c>
      <c r="AI88" s="2" t="str">
        <f>IF(IFERROR(VLOOKUP($B88,Morning_Shift!$B$4:$BJ$61,MATCH(Both_Shift_Roster!AI$2,Morning_Shift!$B$2:$BJ$2,0),0),"")="",IFERROR(VLOOKUP($B88,Evening_Shift!$B$4:$BJ$62,MATCH(Both_Shift_Roster!AI$2,Evening_Shift!$B$2:$BJ$2,0),0),""),IFERROR(VLOOKUP($B88,Morning_Shift!$B$4:$BJ$61,MATCH(Both_Shift_Roster!AI$2,Morning_Shift!$B$2:$BJ$2,0),0),""))</f>
        <v>14:30-22:00</v>
      </c>
      <c r="AJ88" s="2" t="str">
        <f>IF(IFERROR(VLOOKUP($B88,Morning_Shift!$B$4:$BJ$61,MATCH(Both_Shift_Roster!AJ$2,Morning_Shift!$B$2:$BJ$2,0),0),"")="",IFERROR(VLOOKUP($B88,Evening_Shift!$B$4:$BJ$62,MATCH(Both_Shift_Roster!AJ$2,Evening_Shift!$B$2:$BJ$2,0),0),""),IFERROR(VLOOKUP($B88,Morning_Shift!$B$4:$BJ$61,MATCH(Both_Shift_Roster!AJ$2,Morning_Shift!$B$2:$BJ$2,0),0),""))</f>
        <v>14:30-22:00</v>
      </c>
      <c r="AK88" s="2" t="str">
        <f>IF(IFERROR(VLOOKUP($B88,Morning_Shift!$B$4:$BJ$61,MATCH(Both_Shift_Roster!AK$2,Morning_Shift!$B$2:$BJ$2,0),0),"")="",IFERROR(VLOOKUP($B88,Evening_Shift!$B$4:$BJ$62,MATCH(Both_Shift_Roster!AK$2,Evening_Shift!$B$2:$BJ$2,0),0),""),IFERROR(VLOOKUP($B88,Morning_Shift!$B$4:$BJ$61,MATCH(Both_Shift_Roster!AK$2,Morning_Shift!$B$2:$BJ$2,0),0),""))</f>
        <v>Agent Choice WO</v>
      </c>
      <c r="AL88" s="2">
        <f t="shared" si="51"/>
        <v>1</v>
      </c>
      <c r="AM88" s="2">
        <f t="shared" si="52"/>
        <v>0</v>
      </c>
      <c r="AN88" s="2">
        <f t="shared" si="53"/>
        <v>0</v>
      </c>
      <c r="AO88" s="2">
        <f t="shared" si="54"/>
        <v>0</v>
      </c>
      <c r="AP88" s="2">
        <f t="shared" si="55"/>
        <v>0</v>
      </c>
      <c r="AQ88" s="2" t="str">
        <f>IF(IFERROR(VLOOKUP($B88,Morning_Shift!$B$4:$BJ$61,MATCH(Both_Shift_Roster!AQ$2,Morning_Shift!$B$2:$BJ$2,0),0),"")="",IFERROR(VLOOKUP($B88,Evening_Shift!$B$4:$BJ$62,MATCH(Both_Shift_Roster!AQ$2,Evening_Shift!$B$2:$BJ$2,0),0),""),IFERROR(VLOOKUP($B88,Morning_Shift!$B$4:$BJ$61,MATCH(Both_Shift_Roster!AQ$2,Morning_Shift!$B$2:$BJ$2,0),0),""))</f>
        <v>Agent Choice WO</v>
      </c>
      <c r="AR88" s="2" t="str">
        <f>IF(IFERROR(VLOOKUP($B88,Morning_Shift!$B$4:$BJ$61,MATCH(Both_Shift_Roster!AR$2,Morning_Shift!$B$2:$BJ$2,0),0),"")="",IFERROR(VLOOKUP($B88,Evening_Shift!$B$4:$BJ$62,MATCH(Both_Shift_Roster!AR$2,Evening_Shift!$B$2:$BJ$2,0),0),""),IFERROR(VLOOKUP($B88,Morning_Shift!$B$4:$BJ$61,MATCH(Both_Shift_Roster!AR$2,Morning_Shift!$B$2:$BJ$2,0),0),""))</f>
        <v>Agent Choice WO</v>
      </c>
      <c r="AS88" s="2" t="str">
        <f>IF(IFERROR(VLOOKUP($B88,Morning_Shift!$B$4:$BJ$61,MATCH(Both_Shift_Roster!AS$2,Morning_Shift!$B$2:$BJ$2,0),0),"")="",IFERROR(VLOOKUP($B88,Evening_Shift!$B$4:$BJ$62,MATCH(Both_Shift_Roster!AS$2,Evening_Shift!$B$2:$BJ$2,0),0),""),IFERROR(VLOOKUP($B88,Morning_Shift!$B$4:$BJ$61,MATCH(Both_Shift_Roster!AS$2,Morning_Shift!$B$2:$BJ$2,0),0),""))</f>
        <v>Agent Choice WO</v>
      </c>
      <c r="AT88" s="2" t="str">
        <f>IF(IFERROR(VLOOKUP($B88,Morning_Shift!$B$4:$BJ$61,MATCH(Both_Shift_Roster!AT$2,Morning_Shift!$B$2:$BJ$2,0),0),"")="",IFERROR(VLOOKUP($B88,Evening_Shift!$B$4:$BJ$62,MATCH(Both_Shift_Roster!AT$2,Evening_Shift!$B$2:$BJ$2,0),0),""),IFERROR(VLOOKUP($B88,Morning_Shift!$B$4:$BJ$61,MATCH(Both_Shift_Roster!AT$2,Morning_Shift!$B$2:$BJ$2,0),0),""))</f>
        <v>Left</v>
      </c>
      <c r="AU88" s="2" t="str">
        <f>IF(IFERROR(VLOOKUP($B88,Morning_Shift!$B$4:$BJ$61,MATCH(Both_Shift_Roster!AU$2,Morning_Shift!$B$2:$BJ$2,0),0),"")="",IFERROR(VLOOKUP($B88,Evening_Shift!$B$4:$BJ$62,MATCH(Both_Shift_Roster!AU$2,Evening_Shift!$B$2:$BJ$2,0),0),""),IFERROR(VLOOKUP($B88,Morning_Shift!$B$4:$BJ$61,MATCH(Both_Shift_Roster!AU$2,Morning_Shift!$B$2:$BJ$2,0),0),""))</f>
        <v>Left</v>
      </c>
      <c r="AV88" s="2" t="str">
        <f>IF(IFERROR(VLOOKUP($B88,Morning_Shift!$B$4:$BJ$61,MATCH(Both_Shift_Roster!AV$2,Morning_Shift!$B$2:$BJ$2,0),0),"")="",IFERROR(VLOOKUP($B88,Evening_Shift!$B$4:$BJ$62,MATCH(Both_Shift_Roster!AV$2,Evening_Shift!$B$2:$BJ$2,0),0),""),IFERROR(VLOOKUP($B88,Morning_Shift!$B$4:$BJ$61,MATCH(Both_Shift_Roster!AV$2,Morning_Shift!$B$2:$BJ$2,0),0),""))</f>
        <v>Left</v>
      </c>
      <c r="AW88" s="2" t="str">
        <f>IF(IFERROR(VLOOKUP($B88,Morning_Shift!$B$4:$BJ$61,MATCH(Both_Shift_Roster!AW$2,Morning_Shift!$B$2:$BJ$2,0),0),"")="",IFERROR(VLOOKUP($B88,Evening_Shift!$B$4:$BJ$62,MATCH(Both_Shift_Roster!AW$2,Evening_Shift!$B$2:$BJ$2,0),0),""),IFERROR(VLOOKUP($B88,Morning_Shift!$B$4:$BJ$61,MATCH(Both_Shift_Roster!AW$2,Morning_Shift!$B$2:$BJ$2,0),0),""))</f>
        <v>Left</v>
      </c>
      <c r="AX88" s="2">
        <f t="shared" si="56"/>
        <v>3</v>
      </c>
      <c r="AY88" s="2">
        <f t="shared" si="57"/>
        <v>0</v>
      </c>
      <c r="AZ88" s="2">
        <f t="shared" si="58"/>
        <v>0</v>
      </c>
      <c r="BA88" s="2">
        <f t="shared" si="59"/>
        <v>0</v>
      </c>
      <c r="BB88" s="2">
        <f t="shared" si="60"/>
        <v>0</v>
      </c>
      <c r="BC88" s="2" t="str">
        <f>IF(IFERROR(VLOOKUP($B88,Morning_Shift!$B$4:$BJ$61,MATCH(Both_Shift_Roster!BC$2,Morning_Shift!$B$2:$BJ$2,0),0),"")="",IFERROR(VLOOKUP($B88,Evening_Shift!$B$4:$BJ$62,MATCH(Both_Shift_Roster!BC$2,Evening_Shift!$B$2:$BJ$2,0),0),""),IFERROR(VLOOKUP($B88,Morning_Shift!$B$4:$BJ$61,MATCH(Both_Shift_Roster!BC$2,Morning_Shift!$B$2:$BJ$2,0),0),""))</f>
        <v>Left</v>
      </c>
      <c r="BD88" s="2" t="str">
        <f>IF(IFERROR(VLOOKUP($B88,Morning_Shift!$B$4:$BJ$61,MATCH(Both_Shift_Roster!BD$2,Morning_Shift!$B$2:$BJ$2,0),0),"")="",IFERROR(VLOOKUP($B88,Evening_Shift!$B$4:$BJ$62,MATCH(Both_Shift_Roster!BD$2,Evening_Shift!$B$2:$BJ$2,0),0),""),IFERROR(VLOOKUP($B88,Morning_Shift!$B$4:$BJ$61,MATCH(Both_Shift_Roster!BD$2,Morning_Shift!$B$2:$BJ$2,0),0),""))</f>
        <v>Left</v>
      </c>
      <c r="BE88" s="2" t="str">
        <f>IF(IFERROR(VLOOKUP($B88,Morning_Shift!$B$4:$BJ$61,MATCH(Both_Shift_Roster!BE$2,Morning_Shift!$B$2:$BJ$2,0),0),"")="",IFERROR(VLOOKUP($B88,Evening_Shift!$B$4:$BJ$59,MATCH(Both_Shift_Roster!BE$2,Evening_Shift!$B$2:$BJ$2,0),0),""),IFERROR(VLOOKUP($B88,Morning_Shift!$B$4:$BJ$61,MATCH(Both_Shift_Roster!BE$2,Morning_Shift!$B$2:$BJ$2,0),0),""))</f>
        <v>14:30-22:00</v>
      </c>
      <c r="BF88" s="2">
        <f t="shared" si="61"/>
        <v>0</v>
      </c>
      <c r="BG88" s="2">
        <f t="shared" si="62"/>
        <v>0</v>
      </c>
      <c r="BH88" s="2">
        <f t="shared" si="63"/>
        <v>0</v>
      </c>
      <c r="BI88" s="2">
        <f t="shared" si="64"/>
        <v>0</v>
      </c>
      <c r="BJ88" s="2">
        <f t="shared" si="65"/>
        <v>0</v>
      </c>
    </row>
    <row r="89" spans="1:62">
      <c r="A89" s="17">
        <f t="shared" si="66"/>
        <v>86</v>
      </c>
      <c r="B89" s="16" t="str">
        <f>Evening_Shift!$B31</f>
        <v>Dritm104</v>
      </c>
      <c r="C89" s="21" t="str">
        <f>IF(IFERROR(VLOOKUP(B89,Morning_Shift!B:C,2,0),"")="",IFERROR(VLOOKUP(B89,Evening_Shift!B:C,2,0),""),IFERROR(VLOOKUP(B89,Morning_Shift!B:C,2,0),""))</f>
        <v>Neksha</v>
      </c>
      <c r="D89" s="15" t="str">
        <f>IF(IFERROR(VLOOKUP(B89,Morning_Shift!B:D,3,0),"")="",IFERROR(VLOOKUP(B89,Evening_Shift!B:D,3,0),""),IFERROR(VLOOKUP(B89,Morning_Shift!B:D,3,0),""))</f>
        <v xml:space="preserve">Sanjesh </v>
      </c>
      <c r="E89" s="4" t="str">
        <f>IF(IFERROR(VLOOKUP(B89,Morning_Shift!B:E,4,0),"")="",IFERROR(VLOOKUP(B89,Evening_Shift!B:E,4,0),""),IFERROR(VLOOKUP(B89,Morning_Shift!B:E,4,0),""))</f>
        <v>F</v>
      </c>
      <c r="F89" s="5" t="str">
        <f>IF(IFERROR(VLOOKUP(B89,Morning_Shift!B:F,5,0),"")="",IFERROR(VLOOKUP(B89,Evening_Shift!B:F,5,0),""),IFERROR(VLOOKUP(B89,Morning_Shift!B:F,5,0),""))</f>
        <v>Inbound</v>
      </c>
      <c r="G89" s="2" t="str">
        <f>IF(IFERROR(VLOOKUP($B89,Morning_Shift!$B$4:$BJ$61,MATCH(Both_Shift_Roster!G$2,Morning_Shift!$B$2:$BJ$2,0),0),"")="",IFERROR(VLOOKUP($B89,Evening_Shift!$B$4:$BJ$62,MATCH(Both_Shift_Roster!G$2,Evening_Shift!$B$2:$BJ$2,0),0),""),IFERROR(VLOOKUP($B89,Morning_Shift!$B$4:$BJ$61,MATCH(Both_Shift_Roster!G$2,Morning_Shift!$B$2:$BJ$2,0),0),""))</f>
        <v>14:30-22:00</v>
      </c>
      <c r="H89" s="2" t="str">
        <f>IF(IFERROR(VLOOKUP($B89,Morning_Shift!$B$4:$BJ$61,MATCH(Both_Shift_Roster!H$2,Morning_Shift!$B$2:$BJ$2,0),0),"")="",IFERROR(VLOOKUP($B89,Evening_Shift!$B$4:$BJ$62,MATCH(Both_Shift_Roster!H$2,Evening_Shift!$B$2:$BJ$2,0),0),""),IFERROR(VLOOKUP($B89,Morning_Shift!$B$4:$BJ$61,MATCH(Both_Shift_Roster!H$2,Morning_Shift!$B$2:$BJ$2,0),0),""))</f>
        <v>14:30-22:00</v>
      </c>
      <c r="I89" s="2" t="str">
        <f>IF(IFERROR(VLOOKUP($B89,Morning_Shift!$B$4:$BJ$61,MATCH(Both_Shift_Roster!I$2,Morning_Shift!$B$2:$BJ$2,0),0),"")="",IFERROR(VLOOKUP($B89,Evening_Shift!$B$4:$BJ$62,MATCH(Both_Shift_Roster!I$2,Evening_Shift!$B$2:$BJ$2,0),0),""),IFERROR(VLOOKUP($B89,Morning_Shift!$B$4:$BJ$61,MATCH(Both_Shift_Roster!I$2,Morning_Shift!$B$2:$BJ$2,0),0),""))</f>
        <v>14:30-22:00</v>
      </c>
      <c r="J89" s="2" t="str">
        <f>IF(IFERROR(VLOOKUP($B89,Morning_Shift!$B$4:$BJ$61,MATCH(Both_Shift_Roster!J$2,Morning_Shift!$B$2:$BJ$2,0),0),"")="",IFERROR(VLOOKUP($B89,Evening_Shift!$B$4:$BJ$62,MATCH(Both_Shift_Roster!J$2,Evening_Shift!$B$2:$BJ$2,0),0),""),IFERROR(VLOOKUP($B89,Morning_Shift!$B$4:$BJ$61,MATCH(Both_Shift_Roster!J$2,Morning_Shift!$B$2:$BJ$2,0),0),""))</f>
        <v>14:30-22:00</v>
      </c>
      <c r="K89" s="2" t="str">
        <f>IF(IFERROR(VLOOKUP($B89,Morning_Shift!$B$4:$BJ$61,MATCH(Both_Shift_Roster!K$2,Morning_Shift!$B$2:$BJ$2,0),0),"")="",IFERROR(VLOOKUP($B89,Evening_Shift!$B$4:$BJ$62,MATCH(Both_Shift_Roster!K$2,Evening_Shift!$B$2:$BJ$2,0),0),""),IFERROR(VLOOKUP($B89,Morning_Shift!$B$4:$BJ$61,MATCH(Both_Shift_Roster!K$2,Morning_Shift!$B$2:$BJ$2,0),0),""))</f>
        <v>14:30-22:00</v>
      </c>
      <c r="L89" s="2" t="str">
        <f>IF(IFERROR(VLOOKUP($B89,Morning_Shift!$B$4:$BJ$61,MATCH(Both_Shift_Roster!L$2,Morning_Shift!$B$2:$BJ$2,0),0),"")="",IFERROR(VLOOKUP($B89,Evening_Shift!$B$4:$BJ$62,MATCH(Both_Shift_Roster!L$2,Evening_Shift!$B$2:$BJ$2,0),0),""),IFERROR(VLOOKUP($B89,Morning_Shift!$B$4:$BJ$61,MATCH(Both_Shift_Roster!L$2,Morning_Shift!$B$2:$BJ$2,0),0),""))</f>
        <v>14:30-22:00</v>
      </c>
      <c r="M89" s="2" t="str">
        <f>IF(IFERROR(VLOOKUP($B89,Morning_Shift!$B$4:$BJ$61,MATCH(Both_Shift_Roster!M$2,Morning_Shift!$B$2:$BJ$2,0),0),"")="",IFERROR(VLOOKUP($B89,Evening_Shift!$B$4:$BJ$62,MATCH(Both_Shift_Roster!M$2,Evening_Shift!$B$2:$BJ$2,0),0),""),IFERROR(VLOOKUP($B89,Morning_Shift!$B$4:$BJ$61,MATCH(Both_Shift_Roster!M$2,Morning_Shift!$B$2:$BJ$2,0),0),""))</f>
        <v>14:30-22:00</v>
      </c>
      <c r="N89" s="2">
        <f t="shared" si="41"/>
        <v>0</v>
      </c>
      <c r="O89" s="2">
        <f t="shared" si="42"/>
        <v>0</v>
      </c>
      <c r="P89" s="2">
        <f t="shared" si="43"/>
        <v>0</v>
      </c>
      <c r="Q89" s="2">
        <f t="shared" si="44"/>
        <v>0</v>
      </c>
      <c r="R89" s="2">
        <f t="shared" si="45"/>
        <v>0</v>
      </c>
      <c r="S89" s="2" t="str">
        <f>IF(IFERROR(VLOOKUP($B89,Morning_Shift!$B$4:$BJ$61,MATCH(Both_Shift_Roster!S$2,Morning_Shift!$B$2:$BJ$2,0),0),"")="",IFERROR(VLOOKUP($B89,Evening_Shift!$B$4:$BJ$62,MATCH(Both_Shift_Roster!S$2,Evening_Shift!$B$2:$BJ$2,0),0),""),IFERROR(VLOOKUP($B89,Morning_Shift!$B$4:$BJ$61,MATCH(Both_Shift_Roster!S$2,Morning_Shift!$B$2:$BJ$2,0),0),""))</f>
        <v>14:30-22:00</v>
      </c>
      <c r="T89" s="2" t="str">
        <f>IF(IFERROR(VLOOKUP($B89,Morning_Shift!$B$4:$BJ$61,MATCH(Both_Shift_Roster!T$2,Morning_Shift!$B$2:$BJ$2,0),0),"")="",IFERROR(VLOOKUP($B89,Evening_Shift!$B$4:$BJ$62,MATCH(Both_Shift_Roster!T$2,Evening_Shift!$B$2:$BJ$2,0),0),""),IFERROR(VLOOKUP($B89,Morning_Shift!$B$4:$BJ$61,MATCH(Both_Shift_Roster!T$2,Morning_Shift!$B$2:$BJ$2,0),0),""))</f>
        <v>14:30-22:00</v>
      </c>
      <c r="U89" s="2" t="str">
        <f>IF(IFERROR(VLOOKUP($B89,Morning_Shift!$B$4:$BJ$61,MATCH(Both_Shift_Roster!U$2,Morning_Shift!$B$2:$BJ$2,0),0),"")="",IFERROR(VLOOKUP($B89,Evening_Shift!$B$4:$BJ$62,MATCH(Both_Shift_Roster!U$2,Evening_Shift!$B$2:$BJ$2,0),0),""),IFERROR(VLOOKUP($B89,Morning_Shift!$B$4:$BJ$61,MATCH(Both_Shift_Roster!U$2,Morning_Shift!$B$2:$BJ$2,0),0),""))</f>
        <v>14:30-22:00</v>
      </c>
      <c r="V89" s="2" t="str">
        <f>IF(IFERROR(VLOOKUP($B89,Morning_Shift!$B$4:$BJ$61,MATCH(Both_Shift_Roster!V$2,Morning_Shift!$B$2:$BJ$2,0),0),"")="",IFERROR(VLOOKUP($B89,Evening_Shift!$B$4:$BJ$62,MATCH(Both_Shift_Roster!V$2,Evening_Shift!$B$2:$BJ$2,0),0),""),IFERROR(VLOOKUP($B89,Morning_Shift!$B$4:$BJ$61,MATCH(Both_Shift_Roster!V$2,Morning_Shift!$B$2:$BJ$2,0),0),""))</f>
        <v>14:30-22:00</v>
      </c>
      <c r="W89" s="2" t="str">
        <f>IF(IFERROR(VLOOKUP($B89,Morning_Shift!$B$4:$BJ$61,MATCH(Both_Shift_Roster!W$2,Morning_Shift!$B$2:$BJ$2,0),0),"")="",IFERROR(VLOOKUP($B89,Evening_Shift!$B$4:$BJ$62,MATCH(Both_Shift_Roster!W$2,Evening_Shift!$B$2:$BJ$2,0),0),""),IFERROR(VLOOKUP($B89,Morning_Shift!$B$4:$BJ$61,MATCH(Both_Shift_Roster!W$2,Morning_Shift!$B$2:$BJ$2,0),0),""))</f>
        <v>14:30-22:00</v>
      </c>
      <c r="X89" s="2" t="str">
        <f>IF(IFERROR(VLOOKUP($B89,Morning_Shift!$B$4:$BJ$61,MATCH(Both_Shift_Roster!X$2,Morning_Shift!$B$2:$BJ$2,0),0),"")="",IFERROR(VLOOKUP($B89,Evening_Shift!$B$4:$BJ$62,MATCH(Both_Shift_Roster!X$2,Evening_Shift!$B$2:$BJ$2,0),0),""),IFERROR(VLOOKUP($B89,Morning_Shift!$B$4:$BJ$61,MATCH(Both_Shift_Roster!X$2,Morning_Shift!$B$2:$BJ$2,0),0),""))</f>
        <v>14:30-22:00</v>
      </c>
      <c r="Y89" s="2" t="str">
        <f>IF(IFERROR(VLOOKUP($B89,Morning_Shift!$B$4:$BJ$61,MATCH(Both_Shift_Roster!Y$2,Morning_Shift!$B$2:$BJ$2,0),0),"")="",IFERROR(VLOOKUP($B89,Evening_Shift!$B$4:$BJ$62,MATCH(Both_Shift_Roster!Y$2,Evening_Shift!$B$2:$BJ$2,0),0),""),IFERROR(VLOOKUP($B89,Morning_Shift!$B$4:$BJ$61,MATCH(Both_Shift_Roster!Y$2,Morning_Shift!$B$2:$BJ$2,0),0),""))</f>
        <v>14:30-22:00</v>
      </c>
      <c r="Z89" s="2">
        <f t="shared" si="46"/>
        <v>0</v>
      </c>
      <c r="AA89" s="2">
        <f t="shared" si="47"/>
        <v>0</v>
      </c>
      <c r="AB89" s="2">
        <f t="shared" si="48"/>
        <v>0</v>
      </c>
      <c r="AC89" s="2">
        <f t="shared" si="49"/>
        <v>0</v>
      </c>
      <c r="AD89" s="2">
        <f t="shared" si="50"/>
        <v>0</v>
      </c>
      <c r="AE89" s="2" t="str">
        <f>IF(IFERROR(VLOOKUP($B89,Morning_Shift!$B$4:$BJ$61,MATCH(Both_Shift_Roster!AE$2,Morning_Shift!$B$2:$BJ$2,0),0),"")="",IFERROR(VLOOKUP($B89,Evening_Shift!$B$4:$BJ$62,MATCH(Both_Shift_Roster!AE$2,Evening_Shift!$B$2:$BJ$2,0),0),""),IFERROR(VLOOKUP($B89,Morning_Shift!$B$4:$BJ$61,MATCH(Both_Shift_Roster!AE$2,Morning_Shift!$B$2:$BJ$2,0),0),""))</f>
        <v>14:30-22:00</v>
      </c>
      <c r="AF89" s="2" t="str">
        <f>IF(IFERROR(VLOOKUP($B89,Morning_Shift!$B$4:$BJ$61,MATCH(Both_Shift_Roster!AF$2,Morning_Shift!$B$2:$BJ$2,0),0),"")="",IFERROR(VLOOKUP($B89,Evening_Shift!$B$4:$BJ$62,MATCH(Both_Shift_Roster!AF$2,Evening_Shift!$B$2:$BJ$2,0),0),""),IFERROR(VLOOKUP($B89,Morning_Shift!$B$4:$BJ$61,MATCH(Both_Shift_Roster!AF$2,Morning_Shift!$B$2:$BJ$2,0),0),""))</f>
        <v>14:30-22:00</v>
      </c>
      <c r="AG89" s="2" t="str">
        <f>IF(IFERROR(VLOOKUP($B89,Morning_Shift!$B$4:$BJ$61,MATCH(Both_Shift_Roster!AG$2,Morning_Shift!$B$2:$BJ$2,0),0),"")="",IFERROR(VLOOKUP($B89,Evening_Shift!$B$4:$BJ$62,MATCH(Both_Shift_Roster!AG$2,Evening_Shift!$B$2:$BJ$2,0),0),""),IFERROR(VLOOKUP($B89,Morning_Shift!$B$4:$BJ$61,MATCH(Both_Shift_Roster!AG$2,Morning_Shift!$B$2:$BJ$2,0),0),""))</f>
        <v>14:30-22:00</v>
      </c>
      <c r="AH89" s="2" t="str">
        <f>IF(IFERROR(VLOOKUP($B89,Morning_Shift!$B$4:$BJ$61,MATCH(Both_Shift_Roster!AH$2,Morning_Shift!$B$2:$BJ$2,0),0),"")="",IFERROR(VLOOKUP($B89,Evening_Shift!$B$4:$BJ$62,MATCH(Both_Shift_Roster!AH$2,Evening_Shift!$B$2:$BJ$2,0),0),""),IFERROR(VLOOKUP($B89,Morning_Shift!$B$4:$BJ$61,MATCH(Both_Shift_Roster!AH$2,Morning_Shift!$B$2:$BJ$2,0),0),""))</f>
        <v>Agent Choice WO</v>
      </c>
      <c r="AI89" s="2" t="str">
        <f>IF(IFERROR(VLOOKUP($B89,Morning_Shift!$B$4:$BJ$61,MATCH(Both_Shift_Roster!AI$2,Morning_Shift!$B$2:$BJ$2,0),0),"")="",IFERROR(VLOOKUP($B89,Evening_Shift!$B$4:$BJ$62,MATCH(Both_Shift_Roster!AI$2,Evening_Shift!$B$2:$BJ$2,0),0),""),IFERROR(VLOOKUP($B89,Morning_Shift!$B$4:$BJ$61,MATCH(Both_Shift_Roster!AI$2,Morning_Shift!$B$2:$BJ$2,0),0),""))</f>
        <v>Agent Choice WO</v>
      </c>
      <c r="AJ89" s="2" t="str">
        <f>IF(IFERROR(VLOOKUP($B89,Morning_Shift!$B$4:$BJ$61,MATCH(Both_Shift_Roster!AJ$2,Morning_Shift!$B$2:$BJ$2,0),0),"")="",IFERROR(VLOOKUP($B89,Evening_Shift!$B$4:$BJ$62,MATCH(Both_Shift_Roster!AJ$2,Evening_Shift!$B$2:$BJ$2,0),0),""),IFERROR(VLOOKUP($B89,Morning_Shift!$B$4:$BJ$61,MATCH(Both_Shift_Roster!AJ$2,Morning_Shift!$B$2:$BJ$2,0),0),""))</f>
        <v>Agent Choice WO</v>
      </c>
      <c r="AK89" s="2" t="str">
        <f>IF(IFERROR(VLOOKUP($B89,Morning_Shift!$B$4:$BJ$61,MATCH(Both_Shift_Roster!AK$2,Morning_Shift!$B$2:$BJ$2,0),0),"")="",IFERROR(VLOOKUP($B89,Evening_Shift!$B$4:$BJ$62,MATCH(Both_Shift_Roster!AK$2,Evening_Shift!$B$2:$BJ$2,0),0),""),IFERROR(VLOOKUP($B89,Morning_Shift!$B$4:$BJ$61,MATCH(Both_Shift_Roster!AK$2,Morning_Shift!$B$2:$BJ$2,0),0),""))</f>
        <v>Agent Choice WO</v>
      </c>
      <c r="AL89" s="2">
        <f t="shared" si="51"/>
        <v>4</v>
      </c>
      <c r="AM89" s="2">
        <f t="shared" si="52"/>
        <v>0</v>
      </c>
      <c r="AN89" s="2">
        <f t="shared" si="53"/>
        <v>0</v>
      </c>
      <c r="AO89" s="2">
        <f t="shared" si="54"/>
        <v>0</v>
      </c>
      <c r="AP89" s="2">
        <f t="shared" si="55"/>
        <v>0</v>
      </c>
      <c r="AQ89" s="2" t="str">
        <f>IF(IFERROR(VLOOKUP($B89,Morning_Shift!$B$4:$BJ$61,MATCH(Both_Shift_Roster!AQ$2,Morning_Shift!$B$2:$BJ$2,0),0),"")="",IFERROR(VLOOKUP($B89,Evening_Shift!$B$4:$BJ$62,MATCH(Both_Shift_Roster!AQ$2,Evening_Shift!$B$2:$BJ$2,0),0),""),IFERROR(VLOOKUP($B89,Morning_Shift!$B$4:$BJ$61,MATCH(Both_Shift_Roster!AQ$2,Morning_Shift!$B$2:$BJ$2,0),0),""))</f>
        <v>CL</v>
      </c>
      <c r="AR89" s="2" t="str">
        <f>IF(IFERROR(VLOOKUP($B89,Morning_Shift!$B$4:$BJ$61,MATCH(Both_Shift_Roster!AR$2,Morning_Shift!$B$2:$BJ$2,0),0),"")="",IFERROR(VLOOKUP($B89,Evening_Shift!$B$4:$BJ$62,MATCH(Both_Shift_Roster!AR$2,Evening_Shift!$B$2:$BJ$2,0),0),""),IFERROR(VLOOKUP($B89,Morning_Shift!$B$4:$BJ$61,MATCH(Both_Shift_Roster!AR$2,Morning_Shift!$B$2:$BJ$2,0),0),""))</f>
        <v>CL</v>
      </c>
      <c r="AS89" s="2" t="str">
        <f>IF(IFERROR(VLOOKUP($B89,Morning_Shift!$B$4:$BJ$61,MATCH(Both_Shift_Roster!AS$2,Morning_Shift!$B$2:$BJ$2,0),0),"")="",IFERROR(VLOOKUP($B89,Evening_Shift!$B$4:$BJ$62,MATCH(Both_Shift_Roster!AS$2,Evening_Shift!$B$2:$BJ$2,0),0),""),IFERROR(VLOOKUP($B89,Morning_Shift!$B$4:$BJ$61,MATCH(Both_Shift_Roster!AS$2,Morning_Shift!$B$2:$BJ$2,0),0),""))</f>
        <v>LP</v>
      </c>
      <c r="AT89" s="2" t="str">
        <f>IF(IFERROR(VLOOKUP($B89,Morning_Shift!$B$4:$BJ$61,MATCH(Both_Shift_Roster!AT$2,Morning_Shift!$B$2:$BJ$2,0),0),"")="",IFERROR(VLOOKUP($B89,Evening_Shift!$B$4:$BJ$62,MATCH(Both_Shift_Roster!AT$2,Evening_Shift!$B$2:$BJ$2,0),0),""),IFERROR(VLOOKUP($B89,Morning_Shift!$B$4:$BJ$61,MATCH(Both_Shift_Roster!AT$2,Morning_Shift!$B$2:$BJ$2,0),0),""))</f>
        <v>14:30-22:00</v>
      </c>
      <c r="AU89" s="2" t="str">
        <f>IF(IFERROR(VLOOKUP($B89,Morning_Shift!$B$4:$BJ$61,MATCH(Both_Shift_Roster!AU$2,Morning_Shift!$B$2:$BJ$2,0),0),"")="",IFERROR(VLOOKUP($B89,Evening_Shift!$B$4:$BJ$62,MATCH(Both_Shift_Roster!AU$2,Evening_Shift!$B$2:$BJ$2,0),0),""),IFERROR(VLOOKUP($B89,Morning_Shift!$B$4:$BJ$61,MATCH(Both_Shift_Roster!AU$2,Morning_Shift!$B$2:$BJ$2,0),0),""))</f>
        <v>14:30-22:00</v>
      </c>
      <c r="AV89" s="2" t="str">
        <f>IF(IFERROR(VLOOKUP($B89,Morning_Shift!$B$4:$BJ$61,MATCH(Both_Shift_Roster!AV$2,Morning_Shift!$B$2:$BJ$2,0),0),"")="",IFERROR(VLOOKUP($B89,Evening_Shift!$B$4:$BJ$62,MATCH(Both_Shift_Roster!AV$2,Evening_Shift!$B$2:$BJ$2,0),0),""),IFERROR(VLOOKUP($B89,Morning_Shift!$B$4:$BJ$61,MATCH(Both_Shift_Roster!AV$2,Morning_Shift!$B$2:$BJ$2,0),0),""))</f>
        <v>14:30-22:00</v>
      </c>
      <c r="AW89" s="2" t="str">
        <f>IF(IFERROR(VLOOKUP($B89,Morning_Shift!$B$4:$BJ$61,MATCH(Both_Shift_Roster!AW$2,Morning_Shift!$B$2:$BJ$2,0),0),"")="",IFERROR(VLOOKUP($B89,Evening_Shift!$B$4:$BJ$62,MATCH(Both_Shift_Roster!AW$2,Evening_Shift!$B$2:$BJ$2,0),0),""),IFERROR(VLOOKUP($B89,Morning_Shift!$B$4:$BJ$61,MATCH(Both_Shift_Roster!AW$2,Morning_Shift!$B$2:$BJ$2,0),0),""))</f>
        <v>14:30-22:00</v>
      </c>
      <c r="AX89" s="2">
        <f t="shared" si="56"/>
        <v>0</v>
      </c>
      <c r="AY89" s="2">
        <f t="shared" si="57"/>
        <v>0</v>
      </c>
      <c r="AZ89" s="2">
        <f t="shared" si="58"/>
        <v>2</v>
      </c>
      <c r="BA89" s="2">
        <f t="shared" si="59"/>
        <v>0</v>
      </c>
      <c r="BB89" s="2">
        <f t="shared" si="60"/>
        <v>1</v>
      </c>
      <c r="BC89" s="2" t="str">
        <f>IF(IFERROR(VLOOKUP($B89,Morning_Shift!$B$4:$BJ$61,MATCH(Both_Shift_Roster!BC$2,Morning_Shift!$B$2:$BJ$2,0),0),"")="",IFERROR(VLOOKUP($B89,Evening_Shift!$B$4:$BJ$62,MATCH(Both_Shift_Roster!BC$2,Evening_Shift!$B$2:$BJ$2,0),0),""),IFERROR(VLOOKUP($B89,Morning_Shift!$B$4:$BJ$61,MATCH(Both_Shift_Roster!BC$2,Morning_Shift!$B$2:$BJ$2,0),0),""))</f>
        <v>14:30-22:00</v>
      </c>
      <c r="BD89" s="2" t="str">
        <f>IF(IFERROR(VLOOKUP($B89,Morning_Shift!$B$4:$BJ$61,MATCH(Both_Shift_Roster!BD$2,Morning_Shift!$B$2:$BJ$2,0),0),"")="",IFERROR(VLOOKUP($B89,Evening_Shift!$B$4:$BJ$62,MATCH(Both_Shift_Roster!BD$2,Evening_Shift!$B$2:$BJ$2,0),0),""),IFERROR(VLOOKUP($B89,Morning_Shift!$B$4:$BJ$61,MATCH(Both_Shift_Roster!BD$2,Morning_Shift!$B$2:$BJ$2,0),0),""))</f>
        <v>14:30-22:00</v>
      </c>
      <c r="BE89" s="2" t="str">
        <f>IF(IFERROR(VLOOKUP($B89,Morning_Shift!$B$4:$BJ$61,MATCH(Both_Shift_Roster!BE$2,Morning_Shift!$B$2:$BJ$2,0),0),"")="",IFERROR(VLOOKUP($B89,Evening_Shift!$B$4:$BJ$59,MATCH(Both_Shift_Roster!BE$2,Evening_Shift!$B$2:$BJ$2,0),0),""),IFERROR(VLOOKUP($B89,Morning_Shift!$B$4:$BJ$61,MATCH(Both_Shift_Roster!BE$2,Morning_Shift!$B$2:$BJ$2,0),0),""))</f>
        <v>14:30-22:00</v>
      </c>
      <c r="BF89" s="2">
        <f t="shared" si="61"/>
        <v>0</v>
      </c>
      <c r="BG89" s="2">
        <f t="shared" si="62"/>
        <v>0</v>
      </c>
      <c r="BH89" s="2">
        <f t="shared" si="63"/>
        <v>0</v>
      </c>
      <c r="BI89" s="2">
        <f t="shared" si="64"/>
        <v>0</v>
      </c>
      <c r="BJ89" s="2">
        <f t="shared" si="65"/>
        <v>0</v>
      </c>
    </row>
    <row r="90" spans="1:62">
      <c r="A90" s="17">
        <f t="shared" si="66"/>
        <v>87</v>
      </c>
      <c r="B90" s="16" t="str">
        <f>Evening_Shift!$B32</f>
        <v>Dritm105</v>
      </c>
      <c r="C90" s="21" t="str">
        <f>IF(IFERROR(VLOOKUP(B90,Morning_Shift!B:C,2,0),"")="",IFERROR(VLOOKUP(B90,Evening_Shift!B:C,2,0),""),IFERROR(VLOOKUP(B90,Morning_Shift!B:C,2,0),""))</f>
        <v xml:space="preserve">Priyanka Singh </v>
      </c>
      <c r="D90" s="15" t="str">
        <f>IF(IFERROR(VLOOKUP(B90,Morning_Shift!B:D,3,0),"")="",IFERROR(VLOOKUP(B90,Evening_Shift!B:D,3,0),""),IFERROR(VLOOKUP(B90,Morning_Shift!B:D,3,0),""))</f>
        <v xml:space="preserve">Sanjesh </v>
      </c>
      <c r="E90" s="4" t="str">
        <f>IF(IFERROR(VLOOKUP(B90,Morning_Shift!B:E,4,0),"")="",IFERROR(VLOOKUP(B90,Evening_Shift!B:E,4,0),""),IFERROR(VLOOKUP(B90,Morning_Shift!B:E,4,0),""))</f>
        <v>F</v>
      </c>
      <c r="F90" s="5" t="str">
        <f>IF(IFERROR(VLOOKUP(B90,Morning_Shift!B:F,5,0),"")="",IFERROR(VLOOKUP(B90,Evening_Shift!B:F,5,0),""),IFERROR(VLOOKUP(B90,Morning_Shift!B:F,5,0),""))</f>
        <v>Inbound</v>
      </c>
      <c r="G90" s="2" t="str">
        <f>IF(IFERROR(VLOOKUP($B90,Morning_Shift!$B$4:$BJ$61,MATCH(Both_Shift_Roster!G$2,Morning_Shift!$B$2:$BJ$2,0),0),"")="",IFERROR(VLOOKUP($B90,Evening_Shift!$B$4:$BJ$62,MATCH(Both_Shift_Roster!G$2,Evening_Shift!$B$2:$BJ$2,0),0),""),IFERROR(VLOOKUP($B90,Morning_Shift!$B$4:$BJ$61,MATCH(Both_Shift_Roster!G$2,Morning_Shift!$B$2:$BJ$2,0),0),""))</f>
        <v>14:30-22:00</v>
      </c>
      <c r="H90" s="2" t="str">
        <f>IF(IFERROR(VLOOKUP($B90,Morning_Shift!$B$4:$BJ$61,MATCH(Both_Shift_Roster!H$2,Morning_Shift!$B$2:$BJ$2,0),0),"")="",IFERROR(VLOOKUP($B90,Evening_Shift!$B$4:$BJ$62,MATCH(Both_Shift_Roster!H$2,Evening_Shift!$B$2:$BJ$2,0),0),""),IFERROR(VLOOKUP($B90,Morning_Shift!$B$4:$BJ$61,MATCH(Both_Shift_Roster!H$2,Morning_Shift!$B$2:$BJ$2,0),0),""))</f>
        <v>14:30-22:00</v>
      </c>
      <c r="I90" s="2" t="str">
        <f>IF(IFERROR(VLOOKUP($B90,Morning_Shift!$B$4:$BJ$61,MATCH(Both_Shift_Roster!I$2,Morning_Shift!$B$2:$BJ$2,0),0),"")="",IFERROR(VLOOKUP($B90,Evening_Shift!$B$4:$BJ$62,MATCH(Both_Shift_Roster!I$2,Evening_Shift!$B$2:$BJ$2,0),0),""),IFERROR(VLOOKUP($B90,Morning_Shift!$B$4:$BJ$61,MATCH(Both_Shift_Roster!I$2,Morning_Shift!$B$2:$BJ$2,0),0),""))</f>
        <v>14:30-22:00</v>
      </c>
      <c r="J90" s="2" t="str">
        <f>IF(IFERROR(VLOOKUP($B90,Morning_Shift!$B$4:$BJ$61,MATCH(Both_Shift_Roster!J$2,Morning_Shift!$B$2:$BJ$2,0),0),"")="",IFERROR(VLOOKUP($B90,Evening_Shift!$B$4:$BJ$62,MATCH(Both_Shift_Roster!J$2,Evening_Shift!$B$2:$BJ$2,0),0),""),IFERROR(VLOOKUP($B90,Morning_Shift!$B$4:$BJ$61,MATCH(Both_Shift_Roster!J$2,Morning_Shift!$B$2:$BJ$2,0),0),""))</f>
        <v>14:30-22:00</v>
      </c>
      <c r="K90" s="2" t="str">
        <f>IF(IFERROR(VLOOKUP($B90,Morning_Shift!$B$4:$BJ$61,MATCH(Both_Shift_Roster!K$2,Morning_Shift!$B$2:$BJ$2,0),0),"")="",IFERROR(VLOOKUP($B90,Evening_Shift!$B$4:$BJ$62,MATCH(Both_Shift_Roster!K$2,Evening_Shift!$B$2:$BJ$2,0),0),""),IFERROR(VLOOKUP($B90,Morning_Shift!$B$4:$BJ$61,MATCH(Both_Shift_Roster!K$2,Morning_Shift!$B$2:$BJ$2,0),0),""))</f>
        <v>14:30-22:00</v>
      </c>
      <c r="L90" s="2" t="str">
        <f>IF(IFERROR(VLOOKUP($B90,Morning_Shift!$B$4:$BJ$61,MATCH(Both_Shift_Roster!L$2,Morning_Shift!$B$2:$BJ$2,0),0),"")="",IFERROR(VLOOKUP($B90,Evening_Shift!$B$4:$BJ$62,MATCH(Both_Shift_Roster!L$2,Evening_Shift!$B$2:$BJ$2,0),0),""),IFERROR(VLOOKUP($B90,Morning_Shift!$B$4:$BJ$61,MATCH(Both_Shift_Roster!L$2,Morning_Shift!$B$2:$BJ$2,0),0),""))</f>
        <v>Agent Choice WO</v>
      </c>
      <c r="M90" s="2" t="str">
        <f>IF(IFERROR(VLOOKUP($B90,Morning_Shift!$B$4:$BJ$61,MATCH(Both_Shift_Roster!M$2,Morning_Shift!$B$2:$BJ$2,0),0),"")="",IFERROR(VLOOKUP($B90,Evening_Shift!$B$4:$BJ$62,MATCH(Both_Shift_Roster!M$2,Evening_Shift!$B$2:$BJ$2,0),0),""),IFERROR(VLOOKUP($B90,Morning_Shift!$B$4:$BJ$61,MATCH(Both_Shift_Roster!M$2,Morning_Shift!$B$2:$BJ$2,0),0),""))</f>
        <v>14:30-22:00</v>
      </c>
      <c r="N90" s="2">
        <f t="shared" si="41"/>
        <v>1</v>
      </c>
      <c r="O90" s="2">
        <f t="shared" si="42"/>
        <v>0</v>
      </c>
      <c r="P90" s="2">
        <f t="shared" si="43"/>
        <v>0</v>
      </c>
      <c r="Q90" s="2">
        <f t="shared" si="44"/>
        <v>0</v>
      </c>
      <c r="R90" s="2">
        <f t="shared" si="45"/>
        <v>0</v>
      </c>
      <c r="S90" s="2" t="str">
        <f>IF(IFERROR(VLOOKUP($B90,Morning_Shift!$B$4:$BJ$61,MATCH(Both_Shift_Roster!S$2,Morning_Shift!$B$2:$BJ$2,0),0),"")="",IFERROR(VLOOKUP($B90,Evening_Shift!$B$4:$BJ$62,MATCH(Both_Shift_Roster!S$2,Evening_Shift!$B$2:$BJ$2,0),0),""),IFERROR(VLOOKUP($B90,Morning_Shift!$B$4:$BJ$61,MATCH(Both_Shift_Roster!S$2,Morning_Shift!$B$2:$BJ$2,0),0),""))</f>
        <v>14:30-22:00</v>
      </c>
      <c r="T90" s="2" t="str">
        <f>IF(IFERROR(VLOOKUP($B90,Morning_Shift!$B$4:$BJ$61,MATCH(Both_Shift_Roster!T$2,Morning_Shift!$B$2:$BJ$2,0),0),"")="",IFERROR(VLOOKUP($B90,Evening_Shift!$B$4:$BJ$62,MATCH(Both_Shift_Roster!T$2,Evening_Shift!$B$2:$BJ$2,0),0),""),IFERROR(VLOOKUP($B90,Morning_Shift!$B$4:$BJ$61,MATCH(Both_Shift_Roster!T$2,Morning_Shift!$B$2:$BJ$2,0),0),""))</f>
        <v>14:30-22:00</v>
      </c>
      <c r="U90" s="2" t="str">
        <f>IF(IFERROR(VLOOKUP($B90,Morning_Shift!$B$4:$BJ$61,MATCH(Both_Shift_Roster!U$2,Morning_Shift!$B$2:$BJ$2,0),0),"")="",IFERROR(VLOOKUP($B90,Evening_Shift!$B$4:$BJ$62,MATCH(Both_Shift_Roster!U$2,Evening_Shift!$B$2:$BJ$2,0),0),""),IFERROR(VLOOKUP($B90,Morning_Shift!$B$4:$BJ$61,MATCH(Both_Shift_Roster!U$2,Morning_Shift!$B$2:$BJ$2,0),0),""))</f>
        <v>14:30-22:00</v>
      </c>
      <c r="V90" s="2" t="str">
        <f>IF(IFERROR(VLOOKUP($B90,Morning_Shift!$B$4:$BJ$61,MATCH(Both_Shift_Roster!V$2,Morning_Shift!$B$2:$BJ$2,0),0),"")="",IFERROR(VLOOKUP($B90,Evening_Shift!$B$4:$BJ$62,MATCH(Both_Shift_Roster!V$2,Evening_Shift!$B$2:$BJ$2,0),0),""),IFERROR(VLOOKUP($B90,Morning_Shift!$B$4:$BJ$61,MATCH(Both_Shift_Roster!V$2,Morning_Shift!$B$2:$BJ$2,0),0),""))</f>
        <v>14:30-22:00</v>
      </c>
      <c r="W90" s="2" t="str">
        <f>IF(IFERROR(VLOOKUP($B90,Morning_Shift!$B$4:$BJ$61,MATCH(Both_Shift_Roster!W$2,Morning_Shift!$B$2:$BJ$2,0),0),"")="",IFERROR(VLOOKUP($B90,Evening_Shift!$B$4:$BJ$62,MATCH(Both_Shift_Roster!W$2,Evening_Shift!$B$2:$BJ$2,0),0),""),IFERROR(VLOOKUP($B90,Morning_Shift!$B$4:$BJ$61,MATCH(Both_Shift_Roster!W$2,Morning_Shift!$B$2:$BJ$2,0),0),""))</f>
        <v>14:30-22:00</v>
      </c>
      <c r="X90" s="2" t="str">
        <f>IF(IFERROR(VLOOKUP($B90,Morning_Shift!$B$4:$BJ$61,MATCH(Both_Shift_Roster!X$2,Morning_Shift!$B$2:$BJ$2,0),0),"")="",IFERROR(VLOOKUP($B90,Evening_Shift!$B$4:$BJ$62,MATCH(Both_Shift_Roster!X$2,Evening_Shift!$B$2:$BJ$2,0),0),""),IFERROR(VLOOKUP($B90,Morning_Shift!$B$4:$BJ$61,MATCH(Both_Shift_Roster!X$2,Morning_Shift!$B$2:$BJ$2,0),0),""))</f>
        <v>Agent Choice WO</v>
      </c>
      <c r="Y90" s="2" t="str">
        <f>IF(IFERROR(VLOOKUP($B90,Morning_Shift!$B$4:$BJ$61,MATCH(Both_Shift_Roster!Y$2,Morning_Shift!$B$2:$BJ$2,0),0),"")="",IFERROR(VLOOKUP($B90,Evening_Shift!$B$4:$BJ$62,MATCH(Both_Shift_Roster!Y$2,Evening_Shift!$B$2:$BJ$2,0),0),""),IFERROR(VLOOKUP($B90,Morning_Shift!$B$4:$BJ$61,MATCH(Both_Shift_Roster!Y$2,Morning_Shift!$B$2:$BJ$2,0),0),""))</f>
        <v>14:30-22:00</v>
      </c>
      <c r="Z90" s="2">
        <f t="shared" si="46"/>
        <v>1</v>
      </c>
      <c r="AA90" s="2">
        <f t="shared" si="47"/>
        <v>0</v>
      </c>
      <c r="AB90" s="2">
        <f t="shared" si="48"/>
        <v>0</v>
      </c>
      <c r="AC90" s="2">
        <f t="shared" si="49"/>
        <v>0</v>
      </c>
      <c r="AD90" s="2">
        <f t="shared" si="50"/>
        <v>0</v>
      </c>
      <c r="AE90" s="2" t="str">
        <f>IF(IFERROR(VLOOKUP($B90,Morning_Shift!$B$4:$BJ$61,MATCH(Both_Shift_Roster!AE$2,Morning_Shift!$B$2:$BJ$2,0),0),"")="",IFERROR(VLOOKUP($B90,Evening_Shift!$B$4:$BJ$62,MATCH(Both_Shift_Roster!AE$2,Evening_Shift!$B$2:$BJ$2,0),0),""),IFERROR(VLOOKUP($B90,Morning_Shift!$B$4:$BJ$61,MATCH(Both_Shift_Roster!AE$2,Morning_Shift!$B$2:$BJ$2,0),0),""))</f>
        <v>14:30-22:00</v>
      </c>
      <c r="AF90" s="2" t="str">
        <f>IF(IFERROR(VLOOKUP($B90,Morning_Shift!$B$4:$BJ$61,MATCH(Both_Shift_Roster!AF$2,Morning_Shift!$B$2:$BJ$2,0),0),"")="",IFERROR(VLOOKUP($B90,Evening_Shift!$B$4:$BJ$62,MATCH(Both_Shift_Roster!AF$2,Evening_Shift!$B$2:$BJ$2,0),0),""),IFERROR(VLOOKUP($B90,Morning_Shift!$B$4:$BJ$61,MATCH(Both_Shift_Roster!AF$2,Morning_Shift!$B$2:$BJ$2,0),0),""))</f>
        <v>14:30-22:00</v>
      </c>
      <c r="AG90" s="2" t="str">
        <f>IF(IFERROR(VLOOKUP($B90,Morning_Shift!$B$4:$BJ$61,MATCH(Both_Shift_Roster!AG$2,Morning_Shift!$B$2:$BJ$2,0),0),"")="",IFERROR(VLOOKUP($B90,Evening_Shift!$B$4:$BJ$62,MATCH(Both_Shift_Roster!AG$2,Evening_Shift!$B$2:$BJ$2,0),0),""),IFERROR(VLOOKUP($B90,Morning_Shift!$B$4:$BJ$61,MATCH(Both_Shift_Roster!AG$2,Morning_Shift!$B$2:$BJ$2,0),0),""))</f>
        <v>14:30-22:00</v>
      </c>
      <c r="AH90" s="2" t="str">
        <f>IF(IFERROR(VLOOKUP($B90,Morning_Shift!$B$4:$BJ$61,MATCH(Both_Shift_Roster!AH$2,Morning_Shift!$B$2:$BJ$2,0),0),"")="",IFERROR(VLOOKUP($B90,Evening_Shift!$B$4:$BJ$62,MATCH(Both_Shift_Roster!AH$2,Evening_Shift!$B$2:$BJ$2,0),0),""),IFERROR(VLOOKUP($B90,Morning_Shift!$B$4:$BJ$61,MATCH(Both_Shift_Roster!AH$2,Morning_Shift!$B$2:$BJ$2,0),0),""))</f>
        <v>14:30-22:00</v>
      </c>
      <c r="AI90" s="2" t="str">
        <f>IF(IFERROR(VLOOKUP($B90,Morning_Shift!$B$4:$BJ$61,MATCH(Both_Shift_Roster!AI$2,Morning_Shift!$B$2:$BJ$2,0),0),"")="",IFERROR(VLOOKUP($B90,Evening_Shift!$B$4:$BJ$62,MATCH(Both_Shift_Roster!AI$2,Evening_Shift!$B$2:$BJ$2,0),0),""),IFERROR(VLOOKUP($B90,Morning_Shift!$B$4:$BJ$61,MATCH(Both_Shift_Roster!AI$2,Morning_Shift!$B$2:$BJ$2,0),0),""))</f>
        <v>14:30-22:00</v>
      </c>
      <c r="AJ90" s="2" t="str">
        <f>IF(IFERROR(VLOOKUP($B90,Morning_Shift!$B$4:$BJ$61,MATCH(Both_Shift_Roster!AJ$2,Morning_Shift!$B$2:$BJ$2,0),0),"")="",IFERROR(VLOOKUP($B90,Evening_Shift!$B$4:$BJ$62,MATCH(Both_Shift_Roster!AJ$2,Evening_Shift!$B$2:$BJ$2,0),0),""),IFERROR(VLOOKUP($B90,Morning_Shift!$B$4:$BJ$61,MATCH(Both_Shift_Roster!AJ$2,Morning_Shift!$B$2:$BJ$2,0),0),""))</f>
        <v>14:30-22:00</v>
      </c>
      <c r="AK90" s="2" t="str">
        <f>IF(IFERROR(VLOOKUP($B90,Morning_Shift!$B$4:$BJ$61,MATCH(Both_Shift_Roster!AK$2,Morning_Shift!$B$2:$BJ$2,0),0),"")="",IFERROR(VLOOKUP($B90,Evening_Shift!$B$4:$BJ$62,MATCH(Both_Shift_Roster!AK$2,Evening_Shift!$B$2:$BJ$2,0),0),""),IFERROR(VLOOKUP($B90,Morning_Shift!$B$4:$BJ$61,MATCH(Both_Shift_Roster!AK$2,Morning_Shift!$B$2:$BJ$2,0),0),""))</f>
        <v>14:30-22:00</v>
      </c>
      <c r="AL90" s="2">
        <f t="shared" si="51"/>
        <v>0</v>
      </c>
      <c r="AM90" s="2">
        <f t="shared" si="52"/>
        <v>0</v>
      </c>
      <c r="AN90" s="2">
        <f t="shared" si="53"/>
        <v>0</v>
      </c>
      <c r="AO90" s="2">
        <f t="shared" si="54"/>
        <v>0</v>
      </c>
      <c r="AP90" s="2">
        <f t="shared" si="55"/>
        <v>0</v>
      </c>
      <c r="AQ90" s="2" t="str">
        <f>IF(IFERROR(VLOOKUP($B90,Morning_Shift!$B$4:$BJ$61,MATCH(Both_Shift_Roster!AQ$2,Morning_Shift!$B$2:$BJ$2,0),0),"")="",IFERROR(VLOOKUP($B90,Evening_Shift!$B$4:$BJ$62,MATCH(Both_Shift_Roster!AQ$2,Evening_Shift!$B$2:$BJ$2,0),0),""),IFERROR(VLOOKUP($B90,Morning_Shift!$B$4:$BJ$61,MATCH(Both_Shift_Roster!AQ$2,Morning_Shift!$B$2:$BJ$2,0),0),""))</f>
        <v>Agent Choice WO</v>
      </c>
      <c r="AR90" s="2" t="str">
        <f>IF(IFERROR(VLOOKUP($B90,Morning_Shift!$B$4:$BJ$61,MATCH(Both_Shift_Roster!AR$2,Morning_Shift!$B$2:$BJ$2,0),0),"")="",IFERROR(VLOOKUP($B90,Evening_Shift!$B$4:$BJ$62,MATCH(Both_Shift_Roster!AR$2,Evening_Shift!$B$2:$BJ$2,0),0),""),IFERROR(VLOOKUP($B90,Morning_Shift!$B$4:$BJ$61,MATCH(Both_Shift_Roster!AR$2,Morning_Shift!$B$2:$BJ$2,0),0),""))</f>
        <v>Agent Choice WO</v>
      </c>
      <c r="AS90" s="2" t="str">
        <f>IF(IFERROR(VLOOKUP($B90,Morning_Shift!$B$4:$BJ$61,MATCH(Both_Shift_Roster!AS$2,Morning_Shift!$B$2:$BJ$2,0),0),"")="",IFERROR(VLOOKUP($B90,Evening_Shift!$B$4:$BJ$62,MATCH(Both_Shift_Roster!AS$2,Evening_Shift!$B$2:$BJ$2,0),0),""),IFERROR(VLOOKUP($B90,Morning_Shift!$B$4:$BJ$61,MATCH(Both_Shift_Roster!AS$2,Morning_Shift!$B$2:$BJ$2,0),0),""))</f>
        <v>14:30-22:00</v>
      </c>
      <c r="AT90" s="2" t="str">
        <f>IF(IFERROR(VLOOKUP($B90,Morning_Shift!$B$4:$BJ$61,MATCH(Both_Shift_Roster!AT$2,Morning_Shift!$B$2:$BJ$2,0),0),"")="",IFERROR(VLOOKUP($B90,Evening_Shift!$B$4:$BJ$62,MATCH(Both_Shift_Roster!AT$2,Evening_Shift!$B$2:$BJ$2,0),0),""),IFERROR(VLOOKUP($B90,Morning_Shift!$B$4:$BJ$61,MATCH(Both_Shift_Roster!AT$2,Morning_Shift!$B$2:$BJ$2,0),0),""))</f>
        <v>CL</v>
      </c>
      <c r="AU90" s="2" t="str">
        <f>IF(IFERROR(VLOOKUP($B90,Morning_Shift!$B$4:$BJ$61,MATCH(Both_Shift_Roster!AU$2,Morning_Shift!$B$2:$BJ$2,0),0),"")="",IFERROR(VLOOKUP($B90,Evening_Shift!$B$4:$BJ$62,MATCH(Both_Shift_Roster!AU$2,Evening_Shift!$B$2:$BJ$2,0),0),""),IFERROR(VLOOKUP($B90,Morning_Shift!$B$4:$BJ$61,MATCH(Both_Shift_Roster!AU$2,Morning_Shift!$B$2:$BJ$2,0),0),""))</f>
        <v>14:30-22:00</v>
      </c>
      <c r="AV90" s="2" t="str">
        <f>IF(IFERROR(VLOOKUP($B90,Morning_Shift!$B$4:$BJ$61,MATCH(Both_Shift_Roster!AV$2,Morning_Shift!$B$2:$BJ$2,0),0),"")="",IFERROR(VLOOKUP($B90,Evening_Shift!$B$4:$BJ$62,MATCH(Both_Shift_Roster!AV$2,Evening_Shift!$B$2:$BJ$2,0),0),""),IFERROR(VLOOKUP($B90,Morning_Shift!$B$4:$BJ$61,MATCH(Both_Shift_Roster!AV$2,Morning_Shift!$B$2:$BJ$2,0),0),""))</f>
        <v>14:30-22:00</v>
      </c>
      <c r="AW90" s="2" t="str">
        <f>IF(IFERROR(VLOOKUP($B90,Morning_Shift!$B$4:$BJ$61,MATCH(Both_Shift_Roster!AW$2,Morning_Shift!$B$2:$BJ$2,0),0),"")="",IFERROR(VLOOKUP($B90,Evening_Shift!$B$4:$BJ$62,MATCH(Both_Shift_Roster!AW$2,Evening_Shift!$B$2:$BJ$2,0),0),""),IFERROR(VLOOKUP($B90,Morning_Shift!$B$4:$BJ$61,MATCH(Both_Shift_Roster!AW$2,Morning_Shift!$B$2:$BJ$2,0),0),""))</f>
        <v>14:30-22:00</v>
      </c>
      <c r="AX90" s="2">
        <f t="shared" si="56"/>
        <v>2</v>
      </c>
      <c r="AY90" s="2">
        <f t="shared" si="57"/>
        <v>0</v>
      </c>
      <c r="AZ90" s="2">
        <f t="shared" si="58"/>
        <v>1</v>
      </c>
      <c r="BA90" s="2">
        <f t="shared" si="59"/>
        <v>0</v>
      </c>
      <c r="BB90" s="2">
        <f t="shared" si="60"/>
        <v>0</v>
      </c>
      <c r="BC90" s="2" t="str">
        <f>IF(IFERROR(VLOOKUP($B90,Morning_Shift!$B$4:$BJ$61,MATCH(Both_Shift_Roster!BC$2,Morning_Shift!$B$2:$BJ$2,0),0),"")="",IFERROR(VLOOKUP($B90,Evening_Shift!$B$4:$BJ$62,MATCH(Both_Shift_Roster!BC$2,Evening_Shift!$B$2:$BJ$2,0),0),""),IFERROR(VLOOKUP($B90,Morning_Shift!$B$4:$BJ$61,MATCH(Both_Shift_Roster!BC$2,Morning_Shift!$B$2:$BJ$2,0),0),""))</f>
        <v>14:30-22:00</v>
      </c>
      <c r="BD90" s="2" t="str">
        <f>IF(IFERROR(VLOOKUP($B90,Morning_Shift!$B$4:$BJ$61,MATCH(Both_Shift_Roster!BD$2,Morning_Shift!$B$2:$BJ$2,0),0),"")="",IFERROR(VLOOKUP($B90,Evening_Shift!$B$4:$BJ$62,MATCH(Both_Shift_Roster!BD$2,Evening_Shift!$B$2:$BJ$2,0),0),""),IFERROR(VLOOKUP($B90,Morning_Shift!$B$4:$BJ$61,MATCH(Both_Shift_Roster!BD$2,Morning_Shift!$B$2:$BJ$2,0),0),""))</f>
        <v>14:30-22:00</v>
      </c>
      <c r="BE90" s="2" t="str">
        <f>IF(IFERROR(VLOOKUP($B90,Morning_Shift!$B$4:$BJ$61,MATCH(Both_Shift_Roster!BE$2,Morning_Shift!$B$2:$BJ$2,0),0),"")="",IFERROR(VLOOKUP($B90,Evening_Shift!$B$4:$BJ$59,MATCH(Both_Shift_Roster!BE$2,Evening_Shift!$B$2:$BJ$2,0),0),""),IFERROR(VLOOKUP($B90,Morning_Shift!$B$4:$BJ$61,MATCH(Both_Shift_Roster!BE$2,Morning_Shift!$B$2:$BJ$2,0),0),""))</f>
        <v>14:30-22:00</v>
      </c>
      <c r="BF90" s="2">
        <f t="shared" si="61"/>
        <v>0</v>
      </c>
      <c r="BG90" s="2">
        <f t="shared" si="62"/>
        <v>0</v>
      </c>
      <c r="BH90" s="2">
        <f t="shared" si="63"/>
        <v>0</v>
      </c>
      <c r="BI90" s="2">
        <f t="shared" si="64"/>
        <v>0</v>
      </c>
      <c r="BJ90" s="2">
        <f t="shared" si="65"/>
        <v>0</v>
      </c>
    </row>
    <row r="91" spans="1:62">
      <c r="A91" s="17">
        <f t="shared" si="66"/>
        <v>88</v>
      </c>
      <c r="B91" s="16" t="str">
        <f>Evening_Shift!$B33</f>
        <v>Dritm106</v>
      </c>
      <c r="C91" s="21" t="str">
        <f>IF(IFERROR(VLOOKUP(B91,Morning_Shift!B:C,2,0),"")="",IFERROR(VLOOKUP(B91,Evening_Shift!B:C,2,0),""),IFERROR(VLOOKUP(B91,Morning_Shift!B:C,2,0),""))</f>
        <v>Mansi Verma</v>
      </c>
      <c r="D91" s="15" t="str">
        <f>IF(IFERROR(VLOOKUP(B91,Morning_Shift!B:D,3,0),"")="",IFERROR(VLOOKUP(B91,Evening_Shift!B:D,3,0),""),IFERROR(VLOOKUP(B91,Morning_Shift!B:D,3,0),""))</f>
        <v xml:space="preserve">Sanjesh </v>
      </c>
      <c r="E91" s="4" t="str">
        <f>IF(IFERROR(VLOOKUP(B91,Morning_Shift!B:E,4,0),"")="",IFERROR(VLOOKUP(B91,Evening_Shift!B:E,4,0),""),IFERROR(VLOOKUP(B91,Morning_Shift!B:E,4,0),""))</f>
        <v>F</v>
      </c>
      <c r="F91" s="5" t="str">
        <f>IF(IFERROR(VLOOKUP(B91,Morning_Shift!B:F,5,0),"")="",IFERROR(VLOOKUP(B91,Evening_Shift!B:F,5,0),""),IFERROR(VLOOKUP(B91,Morning_Shift!B:F,5,0),""))</f>
        <v>Inbound</v>
      </c>
      <c r="G91" s="2" t="str">
        <f>IF(IFERROR(VLOOKUP($B91,Morning_Shift!$B$4:$BJ$61,MATCH(Both_Shift_Roster!G$2,Morning_Shift!$B$2:$BJ$2,0),0),"")="",IFERROR(VLOOKUP($B91,Evening_Shift!$B$4:$BJ$62,MATCH(Both_Shift_Roster!G$2,Evening_Shift!$B$2:$BJ$2,0),0),""),IFERROR(VLOOKUP($B91,Morning_Shift!$B$4:$BJ$61,MATCH(Both_Shift_Roster!G$2,Morning_Shift!$B$2:$BJ$2,0),0),""))</f>
        <v>14:30-22:00</v>
      </c>
      <c r="H91" s="2" t="str">
        <f>IF(IFERROR(VLOOKUP($B91,Morning_Shift!$B$4:$BJ$61,MATCH(Both_Shift_Roster!H$2,Morning_Shift!$B$2:$BJ$2,0),0),"")="",IFERROR(VLOOKUP($B91,Evening_Shift!$B$4:$BJ$62,MATCH(Both_Shift_Roster!H$2,Evening_Shift!$B$2:$BJ$2,0),0),""),IFERROR(VLOOKUP($B91,Morning_Shift!$B$4:$BJ$61,MATCH(Both_Shift_Roster!H$2,Morning_Shift!$B$2:$BJ$2,0),0),""))</f>
        <v>14:30-22:00</v>
      </c>
      <c r="I91" s="2" t="str">
        <f>IF(IFERROR(VLOOKUP($B91,Morning_Shift!$B$4:$BJ$61,MATCH(Both_Shift_Roster!I$2,Morning_Shift!$B$2:$BJ$2,0),0),"")="",IFERROR(VLOOKUP($B91,Evening_Shift!$B$4:$BJ$62,MATCH(Both_Shift_Roster!I$2,Evening_Shift!$B$2:$BJ$2,0),0),""),IFERROR(VLOOKUP($B91,Morning_Shift!$B$4:$BJ$61,MATCH(Both_Shift_Roster!I$2,Morning_Shift!$B$2:$BJ$2,0),0),""))</f>
        <v>14:30-22:00</v>
      </c>
      <c r="J91" s="2" t="str">
        <f>IF(IFERROR(VLOOKUP($B91,Morning_Shift!$B$4:$BJ$61,MATCH(Both_Shift_Roster!J$2,Morning_Shift!$B$2:$BJ$2,0),0),"")="",IFERROR(VLOOKUP($B91,Evening_Shift!$B$4:$BJ$62,MATCH(Both_Shift_Roster!J$2,Evening_Shift!$B$2:$BJ$2,0),0),""),IFERROR(VLOOKUP($B91,Morning_Shift!$B$4:$BJ$61,MATCH(Both_Shift_Roster!J$2,Morning_Shift!$B$2:$BJ$2,0),0),""))</f>
        <v>14:30-22:00</v>
      </c>
      <c r="K91" s="2" t="str">
        <f>IF(IFERROR(VLOOKUP($B91,Morning_Shift!$B$4:$BJ$61,MATCH(Both_Shift_Roster!K$2,Morning_Shift!$B$2:$BJ$2,0),0),"")="",IFERROR(VLOOKUP($B91,Evening_Shift!$B$4:$BJ$62,MATCH(Both_Shift_Roster!K$2,Evening_Shift!$B$2:$BJ$2,0),0),""),IFERROR(VLOOKUP($B91,Morning_Shift!$B$4:$BJ$61,MATCH(Both_Shift_Roster!K$2,Morning_Shift!$B$2:$BJ$2,0),0),""))</f>
        <v>14:30-22:00</v>
      </c>
      <c r="L91" s="2" t="str">
        <f>IF(IFERROR(VLOOKUP($B91,Morning_Shift!$B$4:$BJ$61,MATCH(Both_Shift_Roster!L$2,Morning_Shift!$B$2:$BJ$2,0),0),"")="",IFERROR(VLOOKUP($B91,Evening_Shift!$B$4:$BJ$62,MATCH(Both_Shift_Roster!L$2,Evening_Shift!$B$2:$BJ$2,0),0),""),IFERROR(VLOOKUP($B91,Morning_Shift!$B$4:$BJ$61,MATCH(Both_Shift_Roster!L$2,Morning_Shift!$B$2:$BJ$2,0),0),""))</f>
        <v>14:30-22:00</v>
      </c>
      <c r="M91" s="2" t="str">
        <f>IF(IFERROR(VLOOKUP($B91,Morning_Shift!$B$4:$BJ$61,MATCH(Both_Shift_Roster!M$2,Morning_Shift!$B$2:$BJ$2,0),0),"")="",IFERROR(VLOOKUP($B91,Evening_Shift!$B$4:$BJ$62,MATCH(Both_Shift_Roster!M$2,Evening_Shift!$B$2:$BJ$2,0),0),""),IFERROR(VLOOKUP($B91,Morning_Shift!$B$4:$BJ$61,MATCH(Both_Shift_Roster!M$2,Morning_Shift!$B$2:$BJ$2,0),0),""))</f>
        <v>Agent Choice WO</v>
      </c>
      <c r="N91" s="2">
        <f t="shared" si="41"/>
        <v>1</v>
      </c>
      <c r="O91" s="2">
        <f t="shared" si="42"/>
        <v>0</v>
      </c>
      <c r="P91" s="2">
        <f t="shared" si="43"/>
        <v>0</v>
      </c>
      <c r="Q91" s="2">
        <f t="shared" si="44"/>
        <v>0</v>
      </c>
      <c r="R91" s="2">
        <f t="shared" si="45"/>
        <v>0</v>
      </c>
      <c r="S91" s="2" t="str">
        <f>IF(IFERROR(VLOOKUP($B91,Morning_Shift!$B$4:$BJ$61,MATCH(Both_Shift_Roster!S$2,Morning_Shift!$B$2:$BJ$2,0),0),"")="",IFERROR(VLOOKUP($B91,Evening_Shift!$B$4:$BJ$62,MATCH(Both_Shift_Roster!S$2,Evening_Shift!$B$2:$BJ$2,0),0),""),IFERROR(VLOOKUP($B91,Morning_Shift!$B$4:$BJ$61,MATCH(Both_Shift_Roster!S$2,Morning_Shift!$B$2:$BJ$2,0),0),""))</f>
        <v>Agent Choice WO</v>
      </c>
      <c r="T91" s="2" t="str">
        <f>IF(IFERROR(VLOOKUP($B91,Morning_Shift!$B$4:$BJ$61,MATCH(Both_Shift_Roster!T$2,Morning_Shift!$B$2:$BJ$2,0),0),"")="",IFERROR(VLOOKUP($B91,Evening_Shift!$B$4:$BJ$62,MATCH(Both_Shift_Roster!T$2,Evening_Shift!$B$2:$BJ$2,0),0),""),IFERROR(VLOOKUP($B91,Morning_Shift!$B$4:$BJ$61,MATCH(Both_Shift_Roster!T$2,Morning_Shift!$B$2:$BJ$2,0),0),""))</f>
        <v>14:30-22:00</v>
      </c>
      <c r="U91" s="2" t="str">
        <f>IF(IFERROR(VLOOKUP($B91,Morning_Shift!$B$4:$BJ$61,MATCH(Both_Shift_Roster!U$2,Morning_Shift!$B$2:$BJ$2,0),0),"")="",IFERROR(VLOOKUP($B91,Evening_Shift!$B$4:$BJ$62,MATCH(Both_Shift_Roster!U$2,Evening_Shift!$B$2:$BJ$2,0),0),""),IFERROR(VLOOKUP($B91,Morning_Shift!$B$4:$BJ$61,MATCH(Both_Shift_Roster!U$2,Morning_Shift!$B$2:$BJ$2,0),0),""))</f>
        <v>14:30-22:00</v>
      </c>
      <c r="V91" s="2" t="str">
        <f>IF(IFERROR(VLOOKUP($B91,Morning_Shift!$B$4:$BJ$61,MATCH(Both_Shift_Roster!V$2,Morning_Shift!$B$2:$BJ$2,0),0),"")="",IFERROR(VLOOKUP($B91,Evening_Shift!$B$4:$BJ$62,MATCH(Both_Shift_Roster!V$2,Evening_Shift!$B$2:$BJ$2,0),0),""),IFERROR(VLOOKUP($B91,Morning_Shift!$B$4:$BJ$61,MATCH(Both_Shift_Roster!V$2,Morning_Shift!$B$2:$BJ$2,0),0),""))</f>
        <v>14:30-22:00</v>
      </c>
      <c r="W91" s="2" t="str">
        <f>IF(IFERROR(VLOOKUP($B91,Morning_Shift!$B$4:$BJ$61,MATCH(Both_Shift_Roster!W$2,Morning_Shift!$B$2:$BJ$2,0),0),"")="",IFERROR(VLOOKUP($B91,Evening_Shift!$B$4:$BJ$62,MATCH(Both_Shift_Roster!W$2,Evening_Shift!$B$2:$BJ$2,0),0),""),IFERROR(VLOOKUP($B91,Morning_Shift!$B$4:$BJ$61,MATCH(Both_Shift_Roster!W$2,Morning_Shift!$B$2:$BJ$2,0),0),""))</f>
        <v>14:30-22:00</v>
      </c>
      <c r="X91" s="2" t="str">
        <f>IF(IFERROR(VLOOKUP($B91,Morning_Shift!$B$4:$BJ$61,MATCH(Both_Shift_Roster!X$2,Morning_Shift!$B$2:$BJ$2,0),0),"")="",IFERROR(VLOOKUP($B91,Evening_Shift!$B$4:$BJ$62,MATCH(Both_Shift_Roster!X$2,Evening_Shift!$B$2:$BJ$2,0),0),""),IFERROR(VLOOKUP($B91,Morning_Shift!$B$4:$BJ$61,MATCH(Both_Shift_Roster!X$2,Morning_Shift!$B$2:$BJ$2,0),0),""))</f>
        <v>14:30-22:00</v>
      </c>
      <c r="Y91" s="2" t="str">
        <f>IF(IFERROR(VLOOKUP($B91,Morning_Shift!$B$4:$BJ$61,MATCH(Both_Shift_Roster!Y$2,Morning_Shift!$B$2:$BJ$2,0),0),"")="",IFERROR(VLOOKUP($B91,Evening_Shift!$B$4:$BJ$62,MATCH(Both_Shift_Roster!Y$2,Evening_Shift!$B$2:$BJ$2,0),0),""),IFERROR(VLOOKUP($B91,Morning_Shift!$B$4:$BJ$61,MATCH(Both_Shift_Roster!Y$2,Morning_Shift!$B$2:$BJ$2,0),0),""))</f>
        <v>14:30-22:00</v>
      </c>
      <c r="Z91" s="2">
        <f t="shared" si="46"/>
        <v>1</v>
      </c>
      <c r="AA91" s="2">
        <f t="shared" si="47"/>
        <v>0</v>
      </c>
      <c r="AB91" s="2">
        <f t="shared" si="48"/>
        <v>0</v>
      </c>
      <c r="AC91" s="2">
        <f t="shared" si="49"/>
        <v>0</v>
      </c>
      <c r="AD91" s="2">
        <f t="shared" si="50"/>
        <v>0</v>
      </c>
      <c r="AE91" s="2" t="str">
        <f>IF(IFERROR(VLOOKUP($B91,Morning_Shift!$B$4:$BJ$61,MATCH(Both_Shift_Roster!AE$2,Morning_Shift!$B$2:$BJ$2,0),0),"")="",IFERROR(VLOOKUP($B91,Evening_Shift!$B$4:$BJ$62,MATCH(Both_Shift_Roster!AE$2,Evening_Shift!$B$2:$BJ$2,0),0),""),IFERROR(VLOOKUP($B91,Morning_Shift!$B$4:$BJ$61,MATCH(Both_Shift_Roster!AE$2,Morning_Shift!$B$2:$BJ$2,0),0),""))</f>
        <v>14:30-22:00</v>
      </c>
      <c r="AF91" s="2" t="str">
        <f>IF(IFERROR(VLOOKUP($B91,Morning_Shift!$B$4:$BJ$61,MATCH(Both_Shift_Roster!AF$2,Morning_Shift!$B$2:$BJ$2,0),0),"")="",IFERROR(VLOOKUP($B91,Evening_Shift!$B$4:$BJ$62,MATCH(Both_Shift_Roster!AF$2,Evening_Shift!$B$2:$BJ$2,0),0),""),IFERROR(VLOOKUP($B91,Morning_Shift!$B$4:$BJ$61,MATCH(Both_Shift_Roster!AF$2,Morning_Shift!$B$2:$BJ$2,0),0),""))</f>
        <v>14:30-22:00</v>
      </c>
      <c r="AG91" s="2" t="str">
        <f>IF(IFERROR(VLOOKUP($B91,Morning_Shift!$B$4:$BJ$61,MATCH(Both_Shift_Roster!AG$2,Morning_Shift!$B$2:$BJ$2,0),0),"")="",IFERROR(VLOOKUP($B91,Evening_Shift!$B$4:$BJ$62,MATCH(Both_Shift_Roster!AG$2,Evening_Shift!$B$2:$BJ$2,0),0),""),IFERROR(VLOOKUP($B91,Morning_Shift!$B$4:$BJ$61,MATCH(Both_Shift_Roster!AG$2,Morning_Shift!$B$2:$BJ$2,0),0),""))</f>
        <v>14:30-22:00</v>
      </c>
      <c r="AH91" s="2" t="str">
        <f>IF(IFERROR(VLOOKUP($B91,Morning_Shift!$B$4:$BJ$61,MATCH(Both_Shift_Roster!AH$2,Morning_Shift!$B$2:$BJ$2,0),0),"")="",IFERROR(VLOOKUP($B91,Evening_Shift!$B$4:$BJ$62,MATCH(Both_Shift_Roster!AH$2,Evening_Shift!$B$2:$BJ$2,0),0),""),IFERROR(VLOOKUP($B91,Morning_Shift!$B$4:$BJ$61,MATCH(Both_Shift_Roster!AH$2,Morning_Shift!$B$2:$BJ$2,0),0),""))</f>
        <v>14:30-22:00</v>
      </c>
      <c r="AI91" s="2" t="str">
        <f>IF(IFERROR(VLOOKUP($B91,Morning_Shift!$B$4:$BJ$61,MATCH(Both_Shift_Roster!AI$2,Morning_Shift!$B$2:$BJ$2,0),0),"")="",IFERROR(VLOOKUP($B91,Evening_Shift!$B$4:$BJ$62,MATCH(Both_Shift_Roster!AI$2,Evening_Shift!$B$2:$BJ$2,0),0),""),IFERROR(VLOOKUP($B91,Morning_Shift!$B$4:$BJ$61,MATCH(Both_Shift_Roster!AI$2,Morning_Shift!$B$2:$BJ$2,0),0),""))</f>
        <v>14:30-22:00</v>
      </c>
      <c r="AJ91" s="2" t="str">
        <f>IF(IFERROR(VLOOKUP($B91,Morning_Shift!$B$4:$BJ$61,MATCH(Both_Shift_Roster!AJ$2,Morning_Shift!$B$2:$BJ$2,0),0),"")="",IFERROR(VLOOKUP($B91,Evening_Shift!$B$4:$BJ$62,MATCH(Both_Shift_Roster!AJ$2,Evening_Shift!$B$2:$BJ$2,0),0),""),IFERROR(VLOOKUP($B91,Morning_Shift!$B$4:$BJ$61,MATCH(Both_Shift_Roster!AJ$2,Morning_Shift!$B$2:$BJ$2,0),0),""))</f>
        <v>14:30-22:00</v>
      </c>
      <c r="AK91" s="2" t="str">
        <f>IF(IFERROR(VLOOKUP($B91,Morning_Shift!$B$4:$BJ$61,MATCH(Both_Shift_Roster!AK$2,Morning_Shift!$B$2:$BJ$2,0),0),"")="",IFERROR(VLOOKUP($B91,Evening_Shift!$B$4:$BJ$62,MATCH(Both_Shift_Roster!AK$2,Evening_Shift!$B$2:$BJ$2,0),0),""),IFERROR(VLOOKUP($B91,Morning_Shift!$B$4:$BJ$61,MATCH(Both_Shift_Roster!AK$2,Morning_Shift!$B$2:$BJ$2,0),0),""))</f>
        <v>14:30-22:00</v>
      </c>
      <c r="AL91" s="2">
        <f t="shared" si="51"/>
        <v>0</v>
      </c>
      <c r="AM91" s="2">
        <f t="shared" si="52"/>
        <v>0</v>
      </c>
      <c r="AN91" s="2">
        <f t="shared" si="53"/>
        <v>0</v>
      </c>
      <c r="AO91" s="2">
        <f t="shared" si="54"/>
        <v>0</v>
      </c>
      <c r="AP91" s="2">
        <f t="shared" si="55"/>
        <v>0</v>
      </c>
      <c r="AQ91" s="2" t="str">
        <f>IF(IFERROR(VLOOKUP($B91,Morning_Shift!$B$4:$BJ$61,MATCH(Both_Shift_Roster!AQ$2,Morning_Shift!$B$2:$BJ$2,0),0),"")="",IFERROR(VLOOKUP($B91,Evening_Shift!$B$4:$BJ$62,MATCH(Both_Shift_Roster!AQ$2,Evening_Shift!$B$2:$BJ$2,0),0),""),IFERROR(VLOOKUP($B91,Morning_Shift!$B$4:$BJ$61,MATCH(Both_Shift_Roster!AQ$2,Morning_Shift!$B$2:$BJ$2,0),0),""))</f>
        <v>14:30-22:00</v>
      </c>
      <c r="AR91" s="2" t="str">
        <f>IF(IFERROR(VLOOKUP($B91,Morning_Shift!$B$4:$BJ$61,MATCH(Both_Shift_Roster!AR$2,Morning_Shift!$B$2:$BJ$2,0),0),"")="",IFERROR(VLOOKUP($B91,Evening_Shift!$B$4:$BJ$62,MATCH(Both_Shift_Roster!AR$2,Evening_Shift!$B$2:$BJ$2,0),0),""),IFERROR(VLOOKUP($B91,Morning_Shift!$B$4:$BJ$61,MATCH(Both_Shift_Roster!AR$2,Morning_Shift!$B$2:$BJ$2,0),0),""))</f>
        <v>14:30-22:00</v>
      </c>
      <c r="AS91" s="2" t="str">
        <f>IF(IFERROR(VLOOKUP($B91,Morning_Shift!$B$4:$BJ$61,MATCH(Both_Shift_Roster!AS$2,Morning_Shift!$B$2:$BJ$2,0),0),"")="",IFERROR(VLOOKUP($B91,Evening_Shift!$B$4:$BJ$62,MATCH(Both_Shift_Roster!AS$2,Evening_Shift!$B$2:$BJ$2,0),0),""),IFERROR(VLOOKUP($B91,Morning_Shift!$B$4:$BJ$61,MATCH(Both_Shift_Roster!AS$2,Morning_Shift!$B$2:$BJ$2,0),0),""))</f>
        <v>14:30-22:00</v>
      </c>
      <c r="AT91" s="2" t="str">
        <f>IF(IFERROR(VLOOKUP($B91,Morning_Shift!$B$4:$BJ$61,MATCH(Both_Shift_Roster!AT$2,Morning_Shift!$B$2:$BJ$2,0),0),"")="",IFERROR(VLOOKUP($B91,Evening_Shift!$B$4:$BJ$62,MATCH(Both_Shift_Roster!AT$2,Evening_Shift!$B$2:$BJ$2,0),0),""),IFERROR(VLOOKUP($B91,Morning_Shift!$B$4:$BJ$61,MATCH(Both_Shift_Roster!AT$2,Morning_Shift!$B$2:$BJ$2,0),0),""))</f>
        <v>14:30-22:00</v>
      </c>
      <c r="AU91" s="2" t="str">
        <f>IF(IFERROR(VLOOKUP($B91,Morning_Shift!$B$4:$BJ$61,MATCH(Both_Shift_Roster!AU$2,Morning_Shift!$B$2:$BJ$2,0),0),"")="",IFERROR(VLOOKUP($B91,Evening_Shift!$B$4:$BJ$62,MATCH(Both_Shift_Roster!AU$2,Evening_Shift!$B$2:$BJ$2,0),0),""),IFERROR(VLOOKUP($B91,Morning_Shift!$B$4:$BJ$61,MATCH(Both_Shift_Roster!AU$2,Morning_Shift!$B$2:$BJ$2,0),0),""))</f>
        <v>14:30-22:00</v>
      </c>
      <c r="AV91" s="2" t="str">
        <f>IF(IFERROR(VLOOKUP($B91,Morning_Shift!$B$4:$BJ$61,MATCH(Both_Shift_Roster!AV$2,Morning_Shift!$B$2:$BJ$2,0),0),"")="",IFERROR(VLOOKUP($B91,Evening_Shift!$B$4:$BJ$62,MATCH(Both_Shift_Roster!AV$2,Evening_Shift!$B$2:$BJ$2,0),0),""),IFERROR(VLOOKUP($B91,Morning_Shift!$B$4:$BJ$61,MATCH(Both_Shift_Roster!AV$2,Morning_Shift!$B$2:$BJ$2,0),0),""))</f>
        <v>14:30-22:00</v>
      </c>
      <c r="AW91" s="2" t="str">
        <f>IF(IFERROR(VLOOKUP($B91,Morning_Shift!$B$4:$BJ$61,MATCH(Both_Shift_Roster!AW$2,Morning_Shift!$B$2:$BJ$2,0),0),"")="",IFERROR(VLOOKUP($B91,Evening_Shift!$B$4:$BJ$62,MATCH(Both_Shift_Roster!AW$2,Evening_Shift!$B$2:$BJ$2,0),0),""),IFERROR(VLOOKUP($B91,Morning_Shift!$B$4:$BJ$61,MATCH(Both_Shift_Roster!AW$2,Morning_Shift!$B$2:$BJ$2,0),0),""))</f>
        <v>14:30-22:00</v>
      </c>
      <c r="AX91" s="2">
        <f t="shared" si="56"/>
        <v>0</v>
      </c>
      <c r="AY91" s="2">
        <f t="shared" si="57"/>
        <v>0</v>
      </c>
      <c r="AZ91" s="2">
        <f t="shared" si="58"/>
        <v>0</v>
      </c>
      <c r="BA91" s="2">
        <f t="shared" si="59"/>
        <v>0</v>
      </c>
      <c r="BB91" s="2">
        <f t="shared" si="60"/>
        <v>0</v>
      </c>
      <c r="BC91" s="2" t="str">
        <f>IF(IFERROR(VLOOKUP($B91,Morning_Shift!$B$4:$BJ$61,MATCH(Both_Shift_Roster!BC$2,Morning_Shift!$B$2:$BJ$2,0),0),"")="",IFERROR(VLOOKUP($B91,Evening_Shift!$B$4:$BJ$62,MATCH(Both_Shift_Roster!BC$2,Evening_Shift!$B$2:$BJ$2,0),0),""),IFERROR(VLOOKUP($B91,Morning_Shift!$B$4:$BJ$61,MATCH(Both_Shift_Roster!BC$2,Morning_Shift!$B$2:$BJ$2,0),0),""))</f>
        <v>Agent Choice WO</v>
      </c>
      <c r="BD91" s="2" t="str">
        <f>IF(IFERROR(VLOOKUP($B91,Morning_Shift!$B$4:$BJ$61,MATCH(Both_Shift_Roster!BD$2,Morning_Shift!$B$2:$BJ$2,0),0),"")="",IFERROR(VLOOKUP($B91,Evening_Shift!$B$4:$BJ$62,MATCH(Both_Shift_Roster!BD$2,Evening_Shift!$B$2:$BJ$2,0),0),""),IFERROR(VLOOKUP($B91,Morning_Shift!$B$4:$BJ$61,MATCH(Both_Shift_Roster!BD$2,Morning_Shift!$B$2:$BJ$2,0),0),""))</f>
        <v>Agent Choice WO</v>
      </c>
      <c r="BE91" s="2" t="str">
        <f>IF(IFERROR(VLOOKUP($B91,Morning_Shift!$B$4:$BJ$61,MATCH(Both_Shift_Roster!BE$2,Morning_Shift!$B$2:$BJ$2,0),0),"")="",IFERROR(VLOOKUP($B91,Evening_Shift!$B$4:$BJ$59,MATCH(Both_Shift_Roster!BE$2,Evening_Shift!$B$2:$BJ$2,0),0),""),IFERROR(VLOOKUP($B91,Morning_Shift!$B$4:$BJ$61,MATCH(Both_Shift_Roster!BE$2,Morning_Shift!$B$2:$BJ$2,0),0),""))</f>
        <v>14:30-22:00</v>
      </c>
      <c r="BF91" s="2">
        <f t="shared" si="61"/>
        <v>2</v>
      </c>
      <c r="BG91" s="2">
        <f t="shared" si="62"/>
        <v>0</v>
      </c>
      <c r="BH91" s="2">
        <f t="shared" si="63"/>
        <v>0</v>
      </c>
      <c r="BI91" s="2">
        <f t="shared" si="64"/>
        <v>0</v>
      </c>
      <c r="BJ91" s="2">
        <f t="shared" si="65"/>
        <v>0</v>
      </c>
    </row>
    <row r="92" spans="1:62">
      <c r="A92" s="17">
        <f t="shared" si="66"/>
        <v>89</v>
      </c>
      <c r="B92" s="16" t="str">
        <f>Evening_Shift!$B34</f>
        <v>Dritm107</v>
      </c>
      <c r="C92" s="21" t="str">
        <f>IF(IFERROR(VLOOKUP(B92,Morning_Shift!B:C,2,0),"")="",IFERROR(VLOOKUP(B92,Evening_Shift!B:C,2,0),""),IFERROR(VLOOKUP(B92,Morning_Shift!B:C,2,0),""))</f>
        <v xml:space="preserve">Priyanka </v>
      </c>
      <c r="D92" s="15" t="str">
        <f>IF(IFERROR(VLOOKUP(B92,Morning_Shift!B:D,3,0),"")="",IFERROR(VLOOKUP(B92,Evening_Shift!B:D,3,0),""),IFERROR(VLOOKUP(B92,Morning_Shift!B:D,3,0),""))</f>
        <v xml:space="preserve">Sanjesh </v>
      </c>
      <c r="E92" s="4" t="str">
        <f>IF(IFERROR(VLOOKUP(B92,Morning_Shift!B:E,4,0),"")="",IFERROR(VLOOKUP(B92,Evening_Shift!B:E,4,0),""),IFERROR(VLOOKUP(B92,Morning_Shift!B:E,4,0),""))</f>
        <v>F</v>
      </c>
      <c r="F92" s="5" t="str">
        <f>IF(IFERROR(VLOOKUP(B92,Morning_Shift!B:F,5,0),"")="",IFERROR(VLOOKUP(B92,Evening_Shift!B:F,5,0),""),IFERROR(VLOOKUP(B92,Morning_Shift!B:F,5,0),""))</f>
        <v>Inbound</v>
      </c>
      <c r="G92" s="2" t="str">
        <f>IF(IFERROR(VLOOKUP($B92,Morning_Shift!$B$4:$BJ$61,MATCH(Both_Shift_Roster!G$2,Morning_Shift!$B$2:$BJ$2,0),0),"")="",IFERROR(VLOOKUP($B92,Evening_Shift!$B$4:$BJ$62,MATCH(Both_Shift_Roster!G$2,Evening_Shift!$B$2:$BJ$2,0),0),""),IFERROR(VLOOKUP($B92,Morning_Shift!$B$4:$BJ$61,MATCH(Both_Shift_Roster!G$2,Morning_Shift!$B$2:$BJ$2,0),0),""))</f>
        <v>Agent Choice WO</v>
      </c>
      <c r="H92" s="2" t="str">
        <f>IF(IFERROR(VLOOKUP($B92,Morning_Shift!$B$4:$BJ$61,MATCH(Both_Shift_Roster!H$2,Morning_Shift!$B$2:$BJ$2,0),0),"")="",IFERROR(VLOOKUP($B92,Evening_Shift!$B$4:$BJ$62,MATCH(Both_Shift_Roster!H$2,Evening_Shift!$B$2:$BJ$2,0),0),""),IFERROR(VLOOKUP($B92,Morning_Shift!$B$4:$BJ$61,MATCH(Both_Shift_Roster!H$2,Morning_Shift!$B$2:$BJ$2,0),0),""))</f>
        <v>14:30-22:00</v>
      </c>
      <c r="I92" s="2" t="str">
        <f>IF(IFERROR(VLOOKUP($B92,Morning_Shift!$B$4:$BJ$61,MATCH(Both_Shift_Roster!I$2,Morning_Shift!$B$2:$BJ$2,0),0),"")="",IFERROR(VLOOKUP($B92,Evening_Shift!$B$4:$BJ$62,MATCH(Both_Shift_Roster!I$2,Evening_Shift!$B$2:$BJ$2,0),0),""),IFERROR(VLOOKUP($B92,Morning_Shift!$B$4:$BJ$61,MATCH(Both_Shift_Roster!I$2,Morning_Shift!$B$2:$BJ$2,0),0),""))</f>
        <v>14:30-22:00</v>
      </c>
      <c r="J92" s="2" t="str">
        <f>IF(IFERROR(VLOOKUP($B92,Morning_Shift!$B$4:$BJ$61,MATCH(Both_Shift_Roster!J$2,Morning_Shift!$B$2:$BJ$2,0),0),"")="",IFERROR(VLOOKUP($B92,Evening_Shift!$B$4:$BJ$62,MATCH(Both_Shift_Roster!J$2,Evening_Shift!$B$2:$BJ$2,0),0),""),IFERROR(VLOOKUP($B92,Morning_Shift!$B$4:$BJ$61,MATCH(Both_Shift_Roster!J$2,Morning_Shift!$B$2:$BJ$2,0),0),""))</f>
        <v>14:30-22:00</v>
      </c>
      <c r="K92" s="2" t="str">
        <f>IF(IFERROR(VLOOKUP($B92,Morning_Shift!$B$4:$BJ$61,MATCH(Both_Shift_Roster!K$2,Morning_Shift!$B$2:$BJ$2,0),0),"")="",IFERROR(VLOOKUP($B92,Evening_Shift!$B$4:$BJ$62,MATCH(Both_Shift_Roster!K$2,Evening_Shift!$B$2:$BJ$2,0),0),""),IFERROR(VLOOKUP($B92,Morning_Shift!$B$4:$BJ$61,MATCH(Both_Shift_Roster!K$2,Morning_Shift!$B$2:$BJ$2,0),0),""))</f>
        <v>14:30-22:00</v>
      </c>
      <c r="L92" s="2" t="str">
        <f>IF(IFERROR(VLOOKUP($B92,Morning_Shift!$B$4:$BJ$61,MATCH(Both_Shift_Roster!L$2,Morning_Shift!$B$2:$BJ$2,0),0),"")="",IFERROR(VLOOKUP($B92,Evening_Shift!$B$4:$BJ$62,MATCH(Both_Shift_Roster!L$2,Evening_Shift!$B$2:$BJ$2,0),0),""),IFERROR(VLOOKUP($B92,Morning_Shift!$B$4:$BJ$61,MATCH(Both_Shift_Roster!L$2,Morning_Shift!$B$2:$BJ$2,0),0),""))</f>
        <v>14:30-22:00</v>
      </c>
      <c r="M92" s="2" t="str">
        <f>IF(IFERROR(VLOOKUP($B92,Morning_Shift!$B$4:$BJ$61,MATCH(Both_Shift_Roster!M$2,Morning_Shift!$B$2:$BJ$2,0),0),"")="",IFERROR(VLOOKUP($B92,Evening_Shift!$B$4:$BJ$62,MATCH(Both_Shift_Roster!M$2,Evening_Shift!$B$2:$BJ$2,0),0),""),IFERROR(VLOOKUP($B92,Morning_Shift!$B$4:$BJ$61,MATCH(Both_Shift_Roster!M$2,Morning_Shift!$B$2:$BJ$2,0),0),""))</f>
        <v>14:30-22:00</v>
      </c>
      <c r="N92" s="2">
        <f t="shared" si="41"/>
        <v>1</v>
      </c>
      <c r="O92" s="2">
        <f t="shared" si="42"/>
        <v>0</v>
      </c>
      <c r="P92" s="2">
        <f t="shared" si="43"/>
        <v>0</v>
      </c>
      <c r="Q92" s="2">
        <f t="shared" si="44"/>
        <v>0</v>
      </c>
      <c r="R92" s="2">
        <f t="shared" si="45"/>
        <v>0</v>
      </c>
      <c r="S92" s="2" t="str">
        <f>IF(IFERROR(VLOOKUP($B92,Morning_Shift!$B$4:$BJ$61,MATCH(Both_Shift_Roster!S$2,Morning_Shift!$B$2:$BJ$2,0),0),"")="",IFERROR(VLOOKUP($B92,Evening_Shift!$B$4:$BJ$62,MATCH(Both_Shift_Roster!S$2,Evening_Shift!$B$2:$BJ$2,0),0),""),IFERROR(VLOOKUP($B92,Morning_Shift!$B$4:$BJ$61,MATCH(Both_Shift_Roster!S$2,Morning_Shift!$B$2:$BJ$2,0),0),""))</f>
        <v>14:30-22:00</v>
      </c>
      <c r="T92" s="2" t="str">
        <f>IF(IFERROR(VLOOKUP($B92,Morning_Shift!$B$4:$BJ$61,MATCH(Both_Shift_Roster!T$2,Morning_Shift!$B$2:$BJ$2,0),0),"")="",IFERROR(VLOOKUP($B92,Evening_Shift!$B$4:$BJ$62,MATCH(Both_Shift_Roster!T$2,Evening_Shift!$B$2:$BJ$2,0),0),""),IFERROR(VLOOKUP($B92,Morning_Shift!$B$4:$BJ$61,MATCH(Both_Shift_Roster!T$2,Morning_Shift!$B$2:$BJ$2,0),0),""))</f>
        <v>14:30-22:00</v>
      </c>
      <c r="U92" s="2" t="str">
        <f>IF(IFERROR(VLOOKUP($B92,Morning_Shift!$B$4:$BJ$61,MATCH(Both_Shift_Roster!U$2,Morning_Shift!$B$2:$BJ$2,0),0),"")="",IFERROR(VLOOKUP($B92,Evening_Shift!$B$4:$BJ$62,MATCH(Both_Shift_Roster!U$2,Evening_Shift!$B$2:$BJ$2,0),0),""),IFERROR(VLOOKUP($B92,Morning_Shift!$B$4:$BJ$61,MATCH(Both_Shift_Roster!U$2,Morning_Shift!$B$2:$BJ$2,0),0),""))</f>
        <v>14:30-22:00</v>
      </c>
      <c r="V92" s="2" t="str">
        <f>IF(IFERROR(VLOOKUP($B92,Morning_Shift!$B$4:$BJ$61,MATCH(Both_Shift_Roster!V$2,Morning_Shift!$B$2:$BJ$2,0),0),"")="",IFERROR(VLOOKUP($B92,Evening_Shift!$B$4:$BJ$62,MATCH(Both_Shift_Roster!V$2,Evening_Shift!$B$2:$BJ$2,0),0),""),IFERROR(VLOOKUP($B92,Morning_Shift!$B$4:$BJ$61,MATCH(Both_Shift_Roster!V$2,Morning_Shift!$B$2:$BJ$2,0),0),""))</f>
        <v>14:30-22:00</v>
      </c>
      <c r="W92" s="2" t="str">
        <f>IF(IFERROR(VLOOKUP($B92,Morning_Shift!$B$4:$BJ$61,MATCH(Both_Shift_Roster!W$2,Morning_Shift!$B$2:$BJ$2,0),0),"")="",IFERROR(VLOOKUP($B92,Evening_Shift!$B$4:$BJ$62,MATCH(Both_Shift_Roster!W$2,Evening_Shift!$B$2:$BJ$2,0),0),""),IFERROR(VLOOKUP($B92,Morning_Shift!$B$4:$BJ$61,MATCH(Both_Shift_Roster!W$2,Morning_Shift!$B$2:$BJ$2,0),0),""))</f>
        <v>14:30-22:00</v>
      </c>
      <c r="X92" s="2" t="str">
        <f>IF(IFERROR(VLOOKUP($B92,Morning_Shift!$B$4:$BJ$61,MATCH(Both_Shift_Roster!X$2,Morning_Shift!$B$2:$BJ$2,0),0),"")="",IFERROR(VLOOKUP($B92,Evening_Shift!$B$4:$BJ$62,MATCH(Both_Shift_Roster!X$2,Evening_Shift!$B$2:$BJ$2,0),0),""),IFERROR(VLOOKUP($B92,Morning_Shift!$B$4:$BJ$61,MATCH(Both_Shift_Roster!X$2,Morning_Shift!$B$2:$BJ$2,0),0),""))</f>
        <v>Agent Choice WO</v>
      </c>
      <c r="Y92" s="2" t="str">
        <f>IF(IFERROR(VLOOKUP($B92,Morning_Shift!$B$4:$BJ$61,MATCH(Both_Shift_Roster!Y$2,Morning_Shift!$B$2:$BJ$2,0),0),"")="",IFERROR(VLOOKUP($B92,Evening_Shift!$B$4:$BJ$62,MATCH(Both_Shift_Roster!Y$2,Evening_Shift!$B$2:$BJ$2,0),0),""),IFERROR(VLOOKUP($B92,Morning_Shift!$B$4:$BJ$61,MATCH(Both_Shift_Roster!Y$2,Morning_Shift!$B$2:$BJ$2,0),0),""))</f>
        <v>14:30-22:00</v>
      </c>
      <c r="Z92" s="2">
        <f t="shared" si="46"/>
        <v>1</v>
      </c>
      <c r="AA92" s="2">
        <f t="shared" si="47"/>
        <v>0</v>
      </c>
      <c r="AB92" s="2">
        <f t="shared" si="48"/>
        <v>0</v>
      </c>
      <c r="AC92" s="2">
        <f t="shared" si="49"/>
        <v>0</v>
      </c>
      <c r="AD92" s="2">
        <f t="shared" si="50"/>
        <v>0</v>
      </c>
      <c r="AE92" s="2" t="str">
        <f>IF(IFERROR(VLOOKUP($B92,Morning_Shift!$B$4:$BJ$61,MATCH(Both_Shift_Roster!AE$2,Morning_Shift!$B$2:$BJ$2,0),0),"")="",IFERROR(VLOOKUP($B92,Evening_Shift!$B$4:$BJ$62,MATCH(Both_Shift_Roster!AE$2,Evening_Shift!$B$2:$BJ$2,0),0),""),IFERROR(VLOOKUP($B92,Morning_Shift!$B$4:$BJ$61,MATCH(Both_Shift_Roster!AE$2,Morning_Shift!$B$2:$BJ$2,0),0),""))</f>
        <v>14:30-22:00</v>
      </c>
      <c r="AF92" s="2" t="str">
        <f>IF(IFERROR(VLOOKUP($B92,Morning_Shift!$B$4:$BJ$61,MATCH(Both_Shift_Roster!AF$2,Morning_Shift!$B$2:$BJ$2,0),0),"")="",IFERROR(VLOOKUP($B92,Evening_Shift!$B$4:$BJ$62,MATCH(Both_Shift_Roster!AF$2,Evening_Shift!$B$2:$BJ$2,0),0),""),IFERROR(VLOOKUP($B92,Morning_Shift!$B$4:$BJ$61,MATCH(Both_Shift_Roster!AF$2,Morning_Shift!$B$2:$BJ$2,0),0),""))</f>
        <v>14:30-22:00</v>
      </c>
      <c r="AG92" s="2" t="str">
        <f>IF(IFERROR(VLOOKUP($B92,Morning_Shift!$B$4:$BJ$61,MATCH(Both_Shift_Roster!AG$2,Morning_Shift!$B$2:$BJ$2,0),0),"")="",IFERROR(VLOOKUP($B92,Evening_Shift!$B$4:$BJ$62,MATCH(Both_Shift_Roster!AG$2,Evening_Shift!$B$2:$BJ$2,0),0),""),IFERROR(VLOOKUP($B92,Morning_Shift!$B$4:$BJ$61,MATCH(Both_Shift_Roster!AG$2,Morning_Shift!$B$2:$BJ$2,0),0),""))</f>
        <v>14:30-22:00</v>
      </c>
      <c r="AH92" s="2" t="str">
        <f>IF(IFERROR(VLOOKUP($B92,Morning_Shift!$B$4:$BJ$61,MATCH(Both_Shift_Roster!AH$2,Morning_Shift!$B$2:$BJ$2,0),0),"")="",IFERROR(VLOOKUP($B92,Evening_Shift!$B$4:$BJ$62,MATCH(Both_Shift_Roster!AH$2,Evening_Shift!$B$2:$BJ$2,0),0),""),IFERROR(VLOOKUP($B92,Morning_Shift!$B$4:$BJ$61,MATCH(Both_Shift_Roster!AH$2,Morning_Shift!$B$2:$BJ$2,0),0),""))</f>
        <v>14:30-22:00</v>
      </c>
      <c r="AI92" s="2" t="str">
        <f>IF(IFERROR(VLOOKUP($B92,Morning_Shift!$B$4:$BJ$61,MATCH(Both_Shift_Roster!AI$2,Morning_Shift!$B$2:$BJ$2,0),0),"")="",IFERROR(VLOOKUP($B92,Evening_Shift!$B$4:$BJ$62,MATCH(Both_Shift_Roster!AI$2,Evening_Shift!$B$2:$BJ$2,0),0),""),IFERROR(VLOOKUP($B92,Morning_Shift!$B$4:$BJ$61,MATCH(Both_Shift_Roster!AI$2,Morning_Shift!$B$2:$BJ$2,0),0),""))</f>
        <v>14:30-22:00</v>
      </c>
      <c r="AJ92" s="2" t="str">
        <f>IF(IFERROR(VLOOKUP($B92,Morning_Shift!$B$4:$BJ$61,MATCH(Both_Shift_Roster!AJ$2,Morning_Shift!$B$2:$BJ$2,0),0),"")="",IFERROR(VLOOKUP($B92,Evening_Shift!$B$4:$BJ$62,MATCH(Both_Shift_Roster!AJ$2,Evening_Shift!$B$2:$BJ$2,0),0),""),IFERROR(VLOOKUP($B92,Morning_Shift!$B$4:$BJ$61,MATCH(Both_Shift_Roster!AJ$2,Morning_Shift!$B$2:$BJ$2,0),0),""))</f>
        <v>14:30-22:00</v>
      </c>
      <c r="AK92" s="2" t="str">
        <f>IF(IFERROR(VLOOKUP($B92,Morning_Shift!$B$4:$BJ$61,MATCH(Both_Shift_Roster!AK$2,Morning_Shift!$B$2:$BJ$2,0),0),"")="",IFERROR(VLOOKUP($B92,Evening_Shift!$B$4:$BJ$62,MATCH(Both_Shift_Roster!AK$2,Evening_Shift!$B$2:$BJ$2,0),0),""),IFERROR(VLOOKUP($B92,Morning_Shift!$B$4:$BJ$61,MATCH(Both_Shift_Roster!AK$2,Morning_Shift!$B$2:$BJ$2,0),0),""))</f>
        <v>14:30-22:00</v>
      </c>
      <c r="AL92" s="2">
        <f t="shared" si="51"/>
        <v>0</v>
      </c>
      <c r="AM92" s="2">
        <f t="shared" si="52"/>
        <v>0</v>
      </c>
      <c r="AN92" s="2">
        <f t="shared" si="53"/>
        <v>0</v>
      </c>
      <c r="AO92" s="2">
        <f t="shared" si="54"/>
        <v>0</v>
      </c>
      <c r="AP92" s="2">
        <f t="shared" si="55"/>
        <v>0</v>
      </c>
      <c r="AQ92" s="2" t="str">
        <f>IF(IFERROR(VLOOKUP($B92,Morning_Shift!$B$4:$BJ$61,MATCH(Both_Shift_Roster!AQ$2,Morning_Shift!$B$2:$BJ$2,0),0),"")="",IFERROR(VLOOKUP($B92,Evening_Shift!$B$4:$BJ$62,MATCH(Both_Shift_Roster!AQ$2,Evening_Shift!$B$2:$BJ$2,0),0),""),IFERROR(VLOOKUP($B92,Morning_Shift!$B$4:$BJ$61,MATCH(Both_Shift_Roster!AQ$2,Morning_Shift!$B$2:$BJ$2,0),0),""))</f>
        <v>14:30-22:00</v>
      </c>
      <c r="AR92" s="2" t="str">
        <f>IF(IFERROR(VLOOKUP($B92,Morning_Shift!$B$4:$BJ$61,MATCH(Both_Shift_Roster!AR$2,Morning_Shift!$B$2:$BJ$2,0),0),"")="",IFERROR(VLOOKUP($B92,Evening_Shift!$B$4:$BJ$62,MATCH(Both_Shift_Roster!AR$2,Evening_Shift!$B$2:$BJ$2,0),0),""),IFERROR(VLOOKUP($B92,Morning_Shift!$B$4:$BJ$61,MATCH(Both_Shift_Roster!AR$2,Morning_Shift!$B$2:$BJ$2,0),0),""))</f>
        <v>14:30-22:00</v>
      </c>
      <c r="AS92" s="2" t="str">
        <f>IF(IFERROR(VLOOKUP($B92,Morning_Shift!$B$4:$BJ$61,MATCH(Both_Shift_Roster!AS$2,Morning_Shift!$B$2:$BJ$2,0),0),"")="",IFERROR(VLOOKUP($B92,Evening_Shift!$B$4:$BJ$62,MATCH(Both_Shift_Roster!AS$2,Evening_Shift!$B$2:$BJ$2,0),0),""),IFERROR(VLOOKUP($B92,Morning_Shift!$B$4:$BJ$61,MATCH(Both_Shift_Roster!AS$2,Morning_Shift!$B$2:$BJ$2,0),0),""))</f>
        <v>14:30-22:00</v>
      </c>
      <c r="AT92" s="2" t="str">
        <f>IF(IFERROR(VLOOKUP($B92,Morning_Shift!$B$4:$BJ$61,MATCH(Both_Shift_Roster!AT$2,Morning_Shift!$B$2:$BJ$2,0),0),"")="",IFERROR(VLOOKUP($B92,Evening_Shift!$B$4:$BJ$62,MATCH(Both_Shift_Roster!AT$2,Evening_Shift!$B$2:$BJ$2,0),0),""),IFERROR(VLOOKUP($B92,Morning_Shift!$B$4:$BJ$61,MATCH(Both_Shift_Roster!AT$2,Morning_Shift!$B$2:$BJ$2,0),0),""))</f>
        <v>14:30-22:00</v>
      </c>
      <c r="AU92" s="2" t="str">
        <f>IF(IFERROR(VLOOKUP($B92,Morning_Shift!$B$4:$BJ$61,MATCH(Both_Shift_Roster!AU$2,Morning_Shift!$B$2:$BJ$2,0),0),"")="",IFERROR(VLOOKUP($B92,Evening_Shift!$B$4:$BJ$62,MATCH(Both_Shift_Roster!AU$2,Evening_Shift!$B$2:$BJ$2,0),0),""),IFERROR(VLOOKUP($B92,Morning_Shift!$B$4:$BJ$61,MATCH(Both_Shift_Roster!AU$2,Morning_Shift!$B$2:$BJ$2,0),0),""))</f>
        <v>TL Choice WO</v>
      </c>
      <c r="AV92" s="2" t="str">
        <f>IF(IFERROR(VLOOKUP($B92,Morning_Shift!$B$4:$BJ$61,MATCH(Both_Shift_Roster!AV$2,Morning_Shift!$B$2:$BJ$2,0),0),"")="",IFERROR(VLOOKUP($B92,Evening_Shift!$B$4:$BJ$62,MATCH(Both_Shift_Roster!AV$2,Evening_Shift!$B$2:$BJ$2,0),0),""),IFERROR(VLOOKUP($B92,Morning_Shift!$B$4:$BJ$61,MATCH(Both_Shift_Roster!AV$2,Morning_Shift!$B$2:$BJ$2,0),0),""))</f>
        <v>TL Choice WO</v>
      </c>
      <c r="AW92" s="2" t="str">
        <f>IF(IFERROR(VLOOKUP($B92,Morning_Shift!$B$4:$BJ$61,MATCH(Both_Shift_Roster!AW$2,Morning_Shift!$B$2:$BJ$2,0),0),"")="",IFERROR(VLOOKUP($B92,Evening_Shift!$B$4:$BJ$62,MATCH(Both_Shift_Roster!AW$2,Evening_Shift!$B$2:$BJ$2,0),0),""),IFERROR(VLOOKUP($B92,Morning_Shift!$B$4:$BJ$61,MATCH(Both_Shift_Roster!AW$2,Morning_Shift!$B$2:$BJ$2,0),0),""))</f>
        <v>14:30-22:00</v>
      </c>
      <c r="AX92" s="2">
        <f t="shared" si="56"/>
        <v>0</v>
      </c>
      <c r="AY92" s="2">
        <f t="shared" si="57"/>
        <v>2</v>
      </c>
      <c r="AZ92" s="2">
        <f t="shared" si="58"/>
        <v>0</v>
      </c>
      <c r="BA92" s="2">
        <f t="shared" si="59"/>
        <v>0</v>
      </c>
      <c r="BB92" s="2">
        <f t="shared" si="60"/>
        <v>0</v>
      </c>
      <c r="BC92" s="2" t="str">
        <f>IF(IFERROR(VLOOKUP($B92,Morning_Shift!$B$4:$BJ$61,MATCH(Both_Shift_Roster!BC$2,Morning_Shift!$B$2:$BJ$2,0),0),"")="",IFERROR(VLOOKUP($B92,Evening_Shift!$B$4:$BJ$62,MATCH(Both_Shift_Roster!BC$2,Evening_Shift!$B$2:$BJ$2,0),0),""),IFERROR(VLOOKUP($B92,Morning_Shift!$B$4:$BJ$61,MATCH(Both_Shift_Roster!BC$2,Morning_Shift!$B$2:$BJ$2,0),0),""))</f>
        <v>14:30-22:00</v>
      </c>
      <c r="BD92" s="2" t="str">
        <f>IF(IFERROR(VLOOKUP($B92,Morning_Shift!$B$4:$BJ$61,MATCH(Both_Shift_Roster!BD$2,Morning_Shift!$B$2:$BJ$2,0),0),"")="",IFERROR(VLOOKUP($B92,Evening_Shift!$B$4:$BJ$62,MATCH(Both_Shift_Roster!BD$2,Evening_Shift!$B$2:$BJ$2,0),0),""),IFERROR(VLOOKUP($B92,Morning_Shift!$B$4:$BJ$61,MATCH(Both_Shift_Roster!BD$2,Morning_Shift!$B$2:$BJ$2,0),0),""))</f>
        <v>14:30-22:00</v>
      </c>
      <c r="BE92" s="2" t="str">
        <f>IF(IFERROR(VLOOKUP($B92,Morning_Shift!$B$4:$BJ$61,MATCH(Both_Shift_Roster!BE$2,Morning_Shift!$B$2:$BJ$2,0),0),"")="",IFERROR(VLOOKUP($B92,Evening_Shift!$B$4:$BJ$59,MATCH(Both_Shift_Roster!BE$2,Evening_Shift!$B$2:$BJ$2,0),0),""),IFERROR(VLOOKUP($B92,Morning_Shift!$B$4:$BJ$61,MATCH(Both_Shift_Roster!BE$2,Morning_Shift!$B$2:$BJ$2,0),0),""))</f>
        <v>14:30-22:00</v>
      </c>
      <c r="BF92" s="2">
        <f t="shared" si="61"/>
        <v>0</v>
      </c>
      <c r="BG92" s="2">
        <f t="shared" si="62"/>
        <v>0</v>
      </c>
      <c r="BH92" s="2">
        <f t="shared" si="63"/>
        <v>0</v>
      </c>
      <c r="BI92" s="2">
        <f t="shared" si="64"/>
        <v>0</v>
      </c>
      <c r="BJ92" s="2">
        <f t="shared" si="65"/>
        <v>0</v>
      </c>
    </row>
    <row r="93" spans="1:62">
      <c r="A93" s="17">
        <f t="shared" si="66"/>
        <v>90</v>
      </c>
      <c r="B93" s="16" t="str">
        <f>Evening_Shift!$B35</f>
        <v>Dritm109</v>
      </c>
      <c r="C93" s="21" t="str">
        <f>IF(IFERROR(VLOOKUP(B93,Morning_Shift!B:C,2,0),"")="",IFERROR(VLOOKUP(B93,Evening_Shift!B:C,2,0),""),IFERROR(VLOOKUP(B93,Morning_Shift!B:C,2,0),""))</f>
        <v>Himani Sharma</v>
      </c>
      <c r="D93" s="15" t="str">
        <f>IF(IFERROR(VLOOKUP(B93,Morning_Shift!B:D,3,0),"")="",IFERROR(VLOOKUP(B93,Evening_Shift!B:D,3,0),""),IFERROR(VLOOKUP(B93,Morning_Shift!B:D,3,0),""))</f>
        <v xml:space="preserve">Sanjesh </v>
      </c>
      <c r="E93" s="4" t="str">
        <f>IF(IFERROR(VLOOKUP(B93,Morning_Shift!B:E,4,0),"")="",IFERROR(VLOOKUP(B93,Evening_Shift!B:E,4,0),""),IFERROR(VLOOKUP(B93,Morning_Shift!B:E,4,0),""))</f>
        <v>F</v>
      </c>
      <c r="F93" s="5" t="str">
        <f>IF(IFERROR(VLOOKUP(B93,Morning_Shift!B:F,5,0),"")="",IFERROR(VLOOKUP(B93,Evening_Shift!B:F,5,0),""),IFERROR(VLOOKUP(B93,Morning_Shift!B:F,5,0),""))</f>
        <v>HRTC</v>
      </c>
      <c r="G93" s="2" t="str">
        <f>IF(IFERROR(VLOOKUP($B93,Morning_Shift!$B$4:$BJ$61,MATCH(Both_Shift_Roster!G$2,Morning_Shift!$B$2:$BJ$2,0),0),"")="",IFERROR(VLOOKUP($B93,Evening_Shift!$B$4:$BJ$62,MATCH(Both_Shift_Roster!G$2,Evening_Shift!$B$2:$BJ$2,0),0),""),IFERROR(VLOOKUP($B93,Morning_Shift!$B$4:$BJ$61,MATCH(Both_Shift_Roster!G$2,Morning_Shift!$B$2:$BJ$2,0),0),""))</f>
        <v>14:30-22:00</v>
      </c>
      <c r="H93" s="2" t="str">
        <f>IF(IFERROR(VLOOKUP($B93,Morning_Shift!$B$4:$BJ$61,MATCH(Both_Shift_Roster!H$2,Morning_Shift!$B$2:$BJ$2,0),0),"")="",IFERROR(VLOOKUP($B93,Evening_Shift!$B$4:$BJ$62,MATCH(Both_Shift_Roster!H$2,Evening_Shift!$B$2:$BJ$2,0),0),""),IFERROR(VLOOKUP($B93,Morning_Shift!$B$4:$BJ$61,MATCH(Both_Shift_Roster!H$2,Morning_Shift!$B$2:$BJ$2,0),0),""))</f>
        <v>14:30-22:00</v>
      </c>
      <c r="I93" s="2" t="str">
        <f>IF(IFERROR(VLOOKUP($B93,Morning_Shift!$B$4:$BJ$61,MATCH(Both_Shift_Roster!I$2,Morning_Shift!$B$2:$BJ$2,0),0),"")="",IFERROR(VLOOKUP($B93,Evening_Shift!$B$4:$BJ$62,MATCH(Both_Shift_Roster!I$2,Evening_Shift!$B$2:$BJ$2,0),0),""),IFERROR(VLOOKUP($B93,Morning_Shift!$B$4:$BJ$61,MATCH(Both_Shift_Roster!I$2,Morning_Shift!$B$2:$BJ$2,0),0),""))</f>
        <v>14:30-22:00</v>
      </c>
      <c r="J93" s="2" t="str">
        <f>IF(IFERROR(VLOOKUP($B93,Morning_Shift!$B$4:$BJ$61,MATCH(Both_Shift_Roster!J$2,Morning_Shift!$B$2:$BJ$2,0),0),"")="",IFERROR(VLOOKUP($B93,Evening_Shift!$B$4:$BJ$62,MATCH(Both_Shift_Roster!J$2,Evening_Shift!$B$2:$BJ$2,0),0),""),IFERROR(VLOOKUP($B93,Morning_Shift!$B$4:$BJ$61,MATCH(Both_Shift_Roster!J$2,Morning_Shift!$B$2:$BJ$2,0),0),""))</f>
        <v>14:30-22:00</v>
      </c>
      <c r="K93" s="2" t="str">
        <f>IF(IFERROR(VLOOKUP($B93,Morning_Shift!$B$4:$BJ$61,MATCH(Both_Shift_Roster!K$2,Morning_Shift!$B$2:$BJ$2,0),0),"")="",IFERROR(VLOOKUP($B93,Evening_Shift!$B$4:$BJ$62,MATCH(Both_Shift_Roster!K$2,Evening_Shift!$B$2:$BJ$2,0),0),""),IFERROR(VLOOKUP($B93,Morning_Shift!$B$4:$BJ$61,MATCH(Both_Shift_Roster!K$2,Morning_Shift!$B$2:$BJ$2,0),0),""))</f>
        <v>14:30-22:00</v>
      </c>
      <c r="L93" s="2" t="str">
        <f>IF(IFERROR(VLOOKUP($B93,Morning_Shift!$B$4:$BJ$61,MATCH(Both_Shift_Roster!L$2,Morning_Shift!$B$2:$BJ$2,0),0),"")="",IFERROR(VLOOKUP($B93,Evening_Shift!$B$4:$BJ$62,MATCH(Both_Shift_Roster!L$2,Evening_Shift!$B$2:$BJ$2,0),0),""),IFERROR(VLOOKUP($B93,Morning_Shift!$B$4:$BJ$61,MATCH(Both_Shift_Roster!L$2,Morning_Shift!$B$2:$BJ$2,0),0),""))</f>
        <v>Agent Choice WO</v>
      </c>
      <c r="M93" s="2" t="str">
        <f>IF(IFERROR(VLOOKUP($B93,Morning_Shift!$B$4:$BJ$61,MATCH(Both_Shift_Roster!M$2,Morning_Shift!$B$2:$BJ$2,0),0),"")="",IFERROR(VLOOKUP($B93,Evening_Shift!$B$4:$BJ$62,MATCH(Both_Shift_Roster!M$2,Evening_Shift!$B$2:$BJ$2,0),0),""),IFERROR(VLOOKUP($B93,Morning_Shift!$B$4:$BJ$61,MATCH(Both_Shift_Roster!M$2,Morning_Shift!$B$2:$BJ$2,0),0),""))</f>
        <v>14:30-22:00</v>
      </c>
      <c r="N93" s="2">
        <f t="shared" si="41"/>
        <v>1</v>
      </c>
      <c r="O93" s="2">
        <f t="shared" si="42"/>
        <v>0</v>
      </c>
      <c r="P93" s="2">
        <f t="shared" si="43"/>
        <v>0</v>
      </c>
      <c r="Q93" s="2">
        <f t="shared" si="44"/>
        <v>0</v>
      </c>
      <c r="R93" s="2">
        <f t="shared" si="45"/>
        <v>0</v>
      </c>
      <c r="S93" s="2" t="str">
        <f>IF(IFERROR(VLOOKUP($B93,Morning_Shift!$B$4:$BJ$61,MATCH(Both_Shift_Roster!S$2,Morning_Shift!$B$2:$BJ$2,0),0),"")="",IFERROR(VLOOKUP($B93,Evening_Shift!$B$4:$BJ$62,MATCH(Both_Shift_Roster!S$2,Evening_Shift!$B$2:$BJ$2,0),0),""),IFERROR(VLOOKUP($B93,Morning_Shift!$B$4:$BJ$61,MATCH(Both_Shift_Roster!S$2,Morning_Shift!$B$2:$BJ$2,0),0),""))</f>
        <v>14:30-22:00</v>
      </c>
      <c r="T93" s="2" t="str">
        <f>IF(IFERROR(VLOOKUP($B93,Morning_Shift!$B$4:$BJ$61,MATCH(Both_Shift_Roster!T$2,Morning_Shift!$B$2:$BJ$2,0),0),"")="",IFERROR(VLOOKUP($B93,Evening_Shift!$B$4:$BJ$62,MATCH(Both_Shift_Roster!T$2,Evening_Shift!$B$2:$BJ$2,0),0),""),IFERROR(VLOOKUP($B93,Morning_Shift!$B$4:$BJ$61,MATCH(Both_Shift_Roster!T$2,Morning_Shift!$B$2:$BJ$2,0),0),""))</f>
        <v>14:30-22:00</v>
      </c>
      <c r="U93" s="2" t="str">
        <f>IF(IFERROR(VLOOKUP($B93,Morning_Shift!$B$4:$BJ$61,MATCH(Both_Shift_Roster!U$2,Morning_Shift!$B$2:$BJ$2,0),0),"")="",IFERROR(VLOOKUP($B93,Evening_Shift!$B$4:$BJ$62,MATCH(Both_Shift_Roster!U$2,Evening_Shift!$B$2:$BJ$2,0),0),""),IFERROR(VLOOKUP($B93,Morning_Shift!$B$4:$BJ$61,MATCH(Both_Shift_Roster!U$2,Morning_Shift!$B$2:$BJ$2,0),0),""))</f>
        <v>14:30-22:00</v>
      </c>
      <c r="V93" s="2" t="str">
        <f>IF(IFERROR(VLOOKUP($B93,Morning_Shift!$B$4:$BJ$61,MATCH(Both_Shift_Roster!V$2,Morning_Shift!$B$2:$BJ$2,0),0),"")="",IFERROR(VLOOKUP($B93,Evening_Shift!$B$4:$BJ$62,MATCH(Both_Shift_Roster!V$2,Evening_Shift!$B$2:$BJ$2,0),0),""),IFERROR(VLOOKUP($B93,Morning_Shift!$B$4:$BJ$61,MATCH(Both_Shift_Roster!V$2,Morning_Shift!$B$2:$BJ$2,0),0),""))</f>
        <v>14:30-22:00</v>
      </c>
      <c r="W93" s="2" t="str">
        <f>IF(IFERROR(VLOOKUP($B93,Morning_Shift!$B$4:$BJ$61,MATCH(Both_Shift_Roster!W$2,Morning_Shift!$B$2:$BJ$2,0),0),"")="",IFERROR(VLOOKUP($B93,Evening_Shift!$B$4:$BJ$62,MATCH(Both_Shift_Roster!W$2,Evening_Shift!$B$2:$BJ$2,0),0),""),IFERROR(VLOOKUP($B93,Morning_Shift!$B$4:$BJ$61,MATCH(Both_Shift_Roster!W$2,Morning_Shift!$B$2:$BJ$2,0),0),""))</f>
        <v>14:30-22:00</v>
      </c>
      <c r="X93" s="2" t="str">
        <f>IF(IFERROR(VLOOKUP($B93,Morning_Shift!$B$4:$BJ$61,MATCH(Both_Shift_Roster!X$2,Morning_Shift!$B$2:$BJ$2,0),0),"")="",IFERROR(VLOOKUP($B93,Evening_Shift!$B$4:$BJ$62,MATCH(Both_Shift_Roster!X$2,Evening_Shift!$B$2:$BJ$2,0),0),""),IFERROR(VLOOKUP($B93,Morning_Shift!$B$4:$BJ$61,MATCH(Both_Shift_Roster!X$2,Morning_Shift!$B$2:$BJ$2,0),0),""))</f>
        <v>14:30-22:00</v>
      </c>
      <c r="Y93" s="2" t="str">
        <f>IF(IFERROR(VLOOKUP($B93,Morning_Shift!$B$4:$BJ$61,MATCH(Both_Shift_Roster!Y$2,Morning_Shift!$B$2:$BJ$2,0),0),"")="",IFERROR(VLOOKUP($B93,Evening_Shift!$B$4:$BJ$62,MATCH(Both_Shift_Roster!Y$2,Evening_Shift!$B$2:$BJ$2,0),0),""),IFERROR(VLOOKUP($B93,Morning_Shift!$B$4:$BJ$61,MATCH(Both_Shift_Roster!Y$2,Morning_Shift!$B$2:$BJ$2,0),0),""))</f>
        <v>14:30-22:00</v>
      </c>
      <c r="Z93" s="2">
        <f t="shared" si="46"/>
        <v>0</v>
      </c>
      <c r="AA93" s="2">
        <f t="shared" si="47"/>
        <v>0</v>
      </c>
      <c r="AB93" s="2">
        <f t="shared" si="48"/>
        <v>0</v>
      </c>
      <c r="AC93" s="2">
        <f t="shared" si="49"/>
        <v>0</v>
      </c>
      <c r="AD93" s="2">
        <f t="shared" si="50"/>
        <v>0</v>
      </c>
      <c r="AE93" s="2" t="str">
        <f>IF(IFERROR(VLOOKUP($B93,Morning_Shift!$B$4:$BJ$61,MATCH(Both_Shift_Roster!AE$2,Morning_Shift!$B$2:$BJ$2,0),0),"")="",IFERROR(VLOOKUP($B93,Evening_Shift!$B$4:$BJ$62,MATCH(Both_Shift_Roster!AE$2,Evening_Shift!$B$2:$BJ$2,0),0),""),IFERROR(VLOOKUP($B93,Morning_Shift!$B$4:$BJ$61,MATCH(Both_Shift_Roster!AE$2,Morning_Shift!$B$2:$BJ$2,0),0),""))</f>
        <v>14:30-22:00</v>
      </c>
      <c r="AF93" s="2" t="str">
        <f>IF(IFERROR(VLOOKUP($B93,Morning_Shift!$B$4:$BJ$61,MATCH(Both_Shift_Roster!AF$2,Morning_Shift!$B$2:$BJ$2,0),0),"")="",IFERROR(VLOOKUP($B93,Evening_Shift!$B$4:$BJ$62,MATCH(Both_Shift_Roster!AF$2,Evening_Shift!$B$2:$BJ$2,0),0),""),IFERROR(VLOOKUP($B93,Morning_Shift!$B$4:$BJ$61,MATCH(Both_Shift_Roster!AF$2,Morning_Shift!$B$2:$BJ$2,0),0),""))</f>
        <v>14:30-22:00</v>
      </c>
      <c r="AG93" s="2" t="str">
        <f>IF(IFERROR(VLOOKUP($B93,Morning_Shift!$B$4:$BJ$61,MATCH(Both_Shift_Roster!AG$2,Morning_Shift!$B$2:$BJ$2,0),0),"")="",IFERROR(VLOOKUP($B93,Evening_Shift!$B$4:$BJ$62,MATCH(Both_Shift_Roster!AG$2,Evening_Shift!$B$2:$BJ$2,0),0),""),IFERROR(VLOOKUP($B93,Morning_Shift!$B$4:$BJ$61,MATCH(Both_Shift_Roster!AG$2,Morning_Shift!$B$2:$BJ$2,0),0),""))</f>
        <v>14:30-22:00</v>
      </c>
      <c r="AH93" s="2" t="str">
        <f>IF(IFERROR(VLOOKUP($B93,Morning_Shift!$B$4:$BJ$61,MATCH(Both_Shift_Roster!AH$2,Morning_Shift!$B$2:$BJ$2,0),0),"")="",IFERROR(VLOOKUP($B93,Evening_Shift!$B$4:$BJ$62,MATCH(Both_Shift_Roster!AH$2,Evening_Shift!$B$2:$BJ$2,0),0),""),IFERROR(VLOOKUP($B93,Morning_Shift!$B$4:$BJ$61,MATCH(Both_Shift_Roster!AH$2,Morning_Shift!$B$2:$BJ$2,0),0),""))</f>
        <v>14:30-22:00</v>
      </c>
      <c r="AI93" s="2" t="str">
        <f>IF(IFERROR(VLOOKUP($B93,Morning_Shift!$B$4:$BJ$61,MATCH(Both_Shift_Roster!AI$2,Morning_Shift!$B$2:$BJ$2,0),0),"")="",IFERROR(VLOOKUP($B93,Evening_Shift!$B$4:$BJ$62,MATCH(Both_Shift_Roster!AI$2,Evening_Shift!$B$2:$BJ$2,0),0),""),IFERROR(VLOOKUP($B93,Morning_Shift!$B$4:$BJ$61,MATCH(Both_Shift_Roster!AI$2,Morning_Shift!$B$2:$BJ$2,0),0),""))</f>
        <v>Agent Choice WO</v>
      </c>
      <c r="AJ93" s="2" t="str">
        <f>IF(IFERROR(VLOOKUP($B93,Morning_Shift!$B$4:$BJ$61,MATCH(Both_Shift_Roster!AJ$2,Morning_Shift!$B$2:$BJ$2,0),0),"")="",IFERROR(VLOOKUP($B93,Evening_Shift!$B$4:$BJ$62,MATCH(Both_Shift_Roster!AJ$2,Evening_Shift!$B$2:$BJ$2,0),0),""),IFERROR(VLOOKUP($B93,Morning_Shift!$B$4:$BJ$61,MATCH(Both_Shift_Roster!AJ$2,Morning_Shift!$B$2:$BJ$2,0),0),""))</f>
        <v>14:30-22:00</v>
      </c>
      <c r="AK93" s="2" t="str">
        <f>IF(IFERROR(VLOOKUP($B93,Morning_Shift!$B$4:$BJ$61,MATCH(Both_Shift_Roster!AK$2,Morning_Shift!$B$2:$BJ$2,0),0),"")="",IFERROR(VLOOKUP($B93,Evening_Shift!$B$4:$BJ$62,MATCH(Both_Shift_Roster!AK$2,Evening_Shift!$B$2:$BJ$2,0),0),""),IFERROR(VLOOKUP($B93,Morning_Shift!$B$4:$BJ$61,MATCH(Both_Shift_Roster!AK$2,Morning_Shift!$B$2:$BJ$2,0),0),""))</f>
        <v>14:30-22:00</v>
      </c>
      <c r="AL93" s="2">
        <f t="shared" si="51"/>
        <v>1</v>
      </c>
      <c r="AM93" s="2">
        <f t="shared" si="52"/>
        <v>0</v>
      </c>
      <c r="AN93" s="2">
        <f t="shared" si="53"/>
        <v>0</v>
      </c>
      <c r="AO93" s="2">
        <f t="shared" si="54"/>
        <v>0</v>
      </c>
      <c r="AP93" s="2">
        <f t="shared" si="55"/>
        <v>0</v>
      </c>
      <c r="AQ93" s="2" t="str">
        <f>IF(IFERROR(VLOOKUP($B93,Morning_Shift!$B$4:$BJ$61,MATCH(Both_Shift_Roster!AQ$2,Morning_Shift!$B$2:$BJ$2,0),0),"")="",IFERROR(VLOOKUP($B93,Evening_Shift!$B$4:$BJ$62,MATCH(Both_Shift_Roster!AQ$2,Evening_Shift!$B$2:$BJ$2,0),0),""),IFERROR(VLOOKUP($B93,Morning_Shift!$B$4:$BJ$61,MATCH(Both_Shift_Roster!AQ$2,Morning_Shift!$B$2:$BJ$2,0),0),""))</f>
        <v>14:30-22:00</v>
      </c>
      <c r="AR93" s="2" t="str">
        <f>IF(IFERROR(VLOOKUP($B93,Morning_Shift!$B$4:$BJ$61,MATCH(Both_Shift_Roster!AR$2,Morning_Shift!$B$2:$BJ$2,0),0),"")="",IFERROR(VLOOKUP($B93,Evening_Shift!$B$4:$BJ$62,MATCH(Both_Shift_Roster!AR$2,Evening_Shift!$B$2:$BJ$2,0),0),""),IFERROR(VLOOKUP($B93,Morning_Shift!$B$4:$BJ$61,MATCH(Both_Shift_Roster!AR$2,Morning_Shift!$B$2:$BJ$2,0),0),""))</f>
        <v>14:30-22:00</v>
      </c>
      <c r="AS93" s="2" t="str">
        <f>IF(IFERROR(VLOOKUP($B93,Morning_Shift!$B$4:$BJ$61,MATCH(Both_Shift_Roster!AS$2,Morning_Shift!$B$2:$BJ$2,0),0),"")="",IFERROR(VLOOKUP($B93,Evening_Shift!$B$4:$BJ$62,MATCH(Both_Shift_Roster!AS$2,Evening_Shift!$B$2:$BJ$2,0),0),""),IFERROR(VLOOKUP($B93,Morning_Shift!$B$4:$BJ$61,MATCH(Both_Shift_Roster!AS$2,Morning_Shift!$B$2:$BJ$2,0),0),""))</f>
        <v>14:30-22:00</v>
      </c>
      <c r="AT93" s="2" t="str">
        <f>IF(IFERROR(VLOOKUP($B93,Morning_Shift!$B$4:$BJ$61,MATCH(Both_Shift_Roster!AT$2,Morning_Shift!$B$2:$BJ$2,0),0),"")="",IFERROR(VLOOKUP($B93,Evening_Shift!$B$4:$BJ$62,MATCH(Both_Shift_Roster!AT$2,Evening_Shift!$B$2:$BJ$2,0),0),""),IFERROR(VLOOKUP($B93,Morning_Shift!$B$4:$BJ$61,MATCH(Both_Shift_Roster!AT$2,Morning_Shift!$B$2:$BJ$2,0),0),""))</f>
        <v>14:30-22:00</v>
      </c>
      <c r="AU93" s="2" t="str">
        <f>IF(IFERROR(VLOOKUP($B93,Morning_Shift!$B$4:$BJ$61,MATCH(Both_Shift_Roster!AU$2,Morning_Shift!$B$2:$BJ$2,0),0),"")="",IFERROR(VLOOKUP($B93,Evening_Shift!$B$4:$BJ$62,MATCH(Both_Shift_Roster!AU$2,Evening_Shift!$B$2:$BJ$2,0),0),""),IFERROR(VLOOKUP($B93,Morning_Shift!$B$4:$BJ$61,MATCH(Both_Shift_Roster!AU$2,Morning_Shift!$B$2:$BJ$2,0),0),""))</f>
        <v>14:30-22:00</v>
      </c>
      <c r="AV93" s="2" t="str">
        <f>IF(IFERROR(VLOOKUP($B93,Morning_Shift!$B$4:$BJ$61,MATCH(Both_Shift_Roster!AV$2,Morning_Shift!$B$2:$BJ$2,0),0),"")="",IFERROR(VLOOKUP($B93,Evening_Shift!$B$4:$BJ$62,MATCH(Both_Shift_Roster!AV$2,Evening_Shift!$B$2:$BJ$2,0),0),""),IFERROR(VLOOKUP($B93,Morning_Shift!$B$4:$BJ$61,MATCH(Both_Shift_Roster!AV$2,Morning_Shift!$B$2:$BJ$2,0),0),""))</f>
        <v>Agent Choice WO</v>
      </c>
      <c r="AW93" s="2" t="str">
        <f>IF(IFERROR(VLOOKUP($B93,Morning_Shift!$B$4:$BJ$61,MATCH(Both_Shift_Roster!AW$2,Morning_Shift!$B$2:$BJ$2,0),0),"")="",IFERROR(VLOOKUP($B93,Evening_Shift!$B$4:$BJ$62,MATCH(Both_Shift_Roster!AW$2,Evening_Shift!$B$2:$BJ$2,0),0),""),IFERROR(VLOOKUP($B93,Morning_Shift!$B$4:$BJ$61,MATCH(Both_Shift_Roster!AW$2,Morning_Shift!$B$2:$BJ$2,0),0),""))</f>
        <v>14:30-22:00</v>
      </c>
      <c r="AX93" s="2">
        <f t="shared" si="56"/>
        <v>1</v>
      </c>
      <c r="AY93" s="2">
        <f t="shared" si="57"/>
        <v>0</v>
      </c>
      <c r="AZ93" s="2">
        <f t="shared" si="58"/>
        <v>0</v>
      </c>
      <c r="BA93" s="2">
        <f t="shared" si="59"/>
        <v>0</v>
      </c>
      <c r="BB93" s="2">
        <f t="shared" si="60"/>
        <v>0</v>
      </c>
      <c r="BC93" s="2" t="str">
        <f>IF(IFERROR(VLOOKUP($B93,Morning_Shift!$B$4:$BJ$61,MATCH(Both_Shift_Roster!BC$2,Morning_Shift!$B$2:$BJ$2,0),0),"")="",IFERROR(VLOOKUP($B93,Evening_Shift!$B$4:$BJ$62,MATCH(Both_Shift_Roster!BC$2,Evening_Shift!$B$2:$BJ$2,0),0),""),IFERROR(VLOOKUP($B93,Morning_Shift!$B$4:$BJ$61,MATCH(Both_Shift_Roster!BC$2,Morning_Shift!$B$2:$BJ$2,0),0),""))</f>
        <v>14:30-22:00</v>
      </c>
      <c r="BD93" s="2" t="str">
        <f>IF(IFERROR(VLOOKUP($B93,Morning_Shift!$B$4:$BJ$61,MATCH(Both_Shift_Roster!BD$2,Morning_Shift!$B$2:$BJ$2,0),0),"")="",IFERROR(VLOOKUP($B93,Evening_Shift!$B$4:$BJ$62,MATCH(Both_Shift_Roster!BD$2,Evening_Shift!$B$2:$BJ$2,0),0),""),IFERROR(VLOOKUP($B93,Morning_Shift!$B$4:$BJ$61,MATCH(Both_Shift_Roster!BD$2,Morning_Shift!$B$2:$BJ$2,0),0),""))</f>
        <v>14:30-22:00</v>
      </c>
      <c r="BE93" s="2" t="str">
        <f>IF(IFERROR(VLOOKUP($B93,Morning_Shift!$B$4:$BJ$61,MATCH(Both_Shift_Roster!BE$2,Morning_Shift!$B$2:$BJ$2,0),0),"")="",IFERROR(VLOOKUP($B93,Evening_Shift!$B$4:$BJ$59,MATCH(Both_Shift_Roster!BE$2,Evening_Shift!$B$2:$BJ$2,0),0),""),IFERROR(VLOOKUP($B93,Morning_Shift!$B$4:$BJ$61,MATCH(Both_Shift_Roster!BE$2,Morning_Shift!$B$2:$BJ$2,0),0),""))</f>
        <v>14:30-22:00</v>
      </c>
      <c r="BF93" s="2">
        <f t="shared" si="61"/>
        <v>0</v>
      </c>
      <c r="BG93" s="2">
        <f t="shared" si="62"/>
        <v>0</v>
      </c>
      <c r="BH93" s="2">
        <f t="shared" si="63"/>
        <v>0</v>
      </c>
      <c r="BI93" s="2">
        <f t="shared" si="64"/>
        <v>0</v>
      </c>
      <c r="BJ93" s="2">
        <f t="shared" si="65"/>
        <v>0</v>
      </c>
    </row>
    <row r="94" spans="1:62">
      <c r="A94" s="17">
        <f t="shared" si="66"/>
        <v>91</v>
      </c>
      <c r="B94" s="16" t="str">
        <f>Evening_Shift!$B36</f>
        <v>Dritm112</v>
      </c>
      <c r="C94" s="21" t="str">
        <f>IF(IFERROR(VLOOKUP(B94,Morning_Shift!B:C,2,0),"")="",IFERROR(VLOOKUP(B94,Evening_Shift!B:C,2,0),""),IFERROR(VLOOKUP(B94,Morning_Shift!B:C,2,0),""))</f>
        <v>Diksha Sharma</v>
      </c>
      <c r="D94" s="15" t="str">
        <f>IF(IFERROR(VLOOKUP(B94,Morning_Shift!B:D,3,0),"")="",IFERROR(VLOOKUP(B94,Evening_Shift!B:D,3,0),""),IFERROR(VLOOKUP(B94,Morning_Shift!B:D,3,0),""))</f>
        <v xml:space="preserve">Sanjesh </v>
      </c>
      <c r="E94" s="4" t="str">
        <f>IF(IFERROR(VLOOKUP(B94,Morning_Shift!B:E,4,0),"")="",IFERROR(VLOOKUP(B94,Evening_Shift!B:E,4,0),""),IFERROR(VLOOKUP(B94,Morning_Shift!B:E,4,0),""))</f>
        <v>F</v>
      </c>
      <c r="F94" s="5" t="str">
        <f>IF(IFERROR(VLOOKUP(B94,Morning_Shift!B:F,5,0),"")="",IFERROR(VLOOKUP(B94,Evening_Shift!B:F,5,0),""),IFERROR(VLOOKUP(B94,Morning_Shift!B:F,5,0),""))</f>
        <v>Inbound</v>
      </c>
      <c r="G94" s="2" t="str">
        <f>IF(IFERROR(VLOOKUP($B94,Morning_Shift!$B$4:$BJ$61,MATCH(Both_Shift_Roster!G$2,Morning_Shift!$B$2:$BJ$2,0),0),"")="",IFERROR(VLOOKUP($B94,Evening_Shift!$B$4:$BJ$62,MATCH(Both_Shift_Roster!G$2,Evening_Shift!$B$2:$BJ$2,0),0),""),IFERROR(VLOOKUP($B94,Morning_Shift!$B$4:$BJ$61,MATCH(Both_Shift_Roster!G$2,Morning_Shift!$B$2:$BJ$2,0),0),""))</f>
        <v>14:30-22:00</v>
      </c>
      <c r="H94" s="2" t="str">
        <f>IF(IFERROR(VLOOKUP($B94,Morning_Shift!$B$4:$BJ$61,MATCH(Both_Shift_Roster!H$2,Morning_Shift!$B$2:$BJ$2,0),0),"")="",IFERROR(VLOOKUP($B94,Evening_Shift!$B$4:$BJ$62,MATCH(Both_Shift_Roster!H$2,Evening_Shift!$B$2:$BJ$2,0),0),""),IFERROR(VLOOKUP($B94,Morning_Shift!$B$4:$BJ$61,MATCH(Both_Shift_Roster!H$2,Morning_Shift!$B$2:$BJ$2,0),0),""))</f>
        <v>14:30-22:00</v>
      </c>
      <c r="I94" s="2" t="str">
        <f>IF(IFERROR(VLOOKUP($B94,Morning_Shift!$B$4:$BJ$61,MATCH(Both_Shift_Roster!I$2,Morning_Shift!$B$2:$BJ$2,0),0),"")="",IFERROR(VLOOKUP($B94,Evening_Shift!$B$4:$BJ$62,MATCH(Both_Shift_Roster!I$2,Evening_Shift!$B$2:$BJ$2,0),0),""),IFERROR(VLOOKUP($B94,Morning_Shift!$B$4:$BJ$61,MATCH(Both_Shift_Roster!I$2,Morning_Shift!$B$2:$BJ$2,0),0),""))</f>
        <v>14:30-22:00</v>
      </c>
      <c r="J94" s="2" t="str">
        <f>IF(IFERROR(VLOOKUP($B94,Morning_Shift!$B$4:$BJ$61,MATCH(Both_Shift_Roster!J$2,Morning_Shift!$B$2:$BJ$2,0),0),"")="",IFERROR(VLOOKUP($B94,Evening_Shift!$B$4:$BJ$62,MATCH(Both_Shift_Roster!J$2,Evening_Shift!$B$2:$BJ$2,0),0),""),IFERROR(VLOOKUP($B94,Morning_Shift!$B$4:$BJ$61,MATCH(Both_Shift_Roster!J$2,Morning_Shift!$B$2:$BJ$2,0),0),""))</f>
        <v>14:30-22:00</v>
      </c>
      <c r="K94" s="2" t="str">
        <f>IF(IFERROR(VLOOKUP($B94,Morning_Shift!$B$4:$BJ$61,MATCH(Both_Shift_Roster!K$2,Morning_Shift!$B$2:$BJ$2,0),0),"")="",IFERROR(VLOOKUP($B94,Evening_Shift!$B$4:$BJ$62,MATCH(Both_Shift_Roster!K$2,Evening_Shift!$B$2:$BJ$2,0),0),""),IFERROR(VLOOKUP($B94,Morning_Shift!$B$4:$BJ$61,MATCH(Both_Shift_Roster!K$2,Morning_Shift!$B$2:$BJ$2,0),0),""))</f>
        <v>14:30-22:00</v>
      </c>
      <c r="L94" s="2" t="str">
        <f>IF(IFERROR(VLOOKUP($B94,Morning_Shift!$B$4:$BJ$61,MATCH(Both_Shift_Roster!L$2,Morning_Shift!$B$2:$BJ$2,0),0),"")="",IFERROR(VLOOKUP($B94,Evening_Shift!$B$4:$BJ$62,MATCH(Both_Shift_Roster!L$2,Evening_Shift!$B$2:$BJ$2,0),0),""),IFERROR(VLOOKUP($B94,Morning_Shift!$B$4:$BJ$61,MATCH(Both_Shift_Roster!L$2,Morning_Shift!$B$2:$BJ$2,0),0),""))</f>
        <v>Agent Choice WO</v>
      </c>
      <c r="M94" s="2" t="str">
        <f>IF(IFERROR(VLOOKUP($B94,Morning_Shift!$B$4:$BJ$61,MATCH(Both_Shift_Roster!M$2,Morning_Shift!$B$2:$BJ$2,0),0),"")="",IFERROR(VLOOKUP($B94,Evening_Shift!$B$4:$BJ$62,MATCH(Both_Shift_Roster!M$2,Evening_Shift!$B$2:$BJ$2,0),0),""),IFERROR(VLOOKUP($B94,Morning_Shift!$B$4:$BJ$61,MATCH(Both_Shift_Roster!M$2,Morning_Shift!$B$2:$BJ$2,0),0),""))</f>
        <v>Agent Choice WO</v>
      </c>
      <c r="N94" s="2">
        <f t="shared" si="41"/>
        <v>2</v>
      </c>
      <c r="O94" s="2">
        <f t="shared" si="42"/>
        <v>0</v>
      </c>
      <c r="P94" s="2">
        <f t="shared" si="43"/>
        <v>0</v>
      </c>
      <c r="Q94" s="2">
        <f t="shared" si="44"/>
        <v>0</v>
      </c>
      <c r="R94" s="2">
        <f t="shared" si="45"/>
        <v>0</v>
      </c>
      <c r="S94" s="2" t="str">
        <f>IF(IFERROR(VLOOKUP($B94,Morning_Shift!$B$4:$BJ$61,MATCH(Both_Shift_Roster!S$2,Morning_Shift!$B$2:$BJ$2,0),0),"")="",IFERROR(VLOOKUP($B94,Evening_Shift!$B$4:$BJ$62,MATCH(Both_Shift_Roster!S$2,Evening_Shift!$B$2:$BJ$2,0),0),""),IFERROR(VLOOKUP($B94,Morning_Shift!$B$4:$BJ$61,MATCH(Both_Shift_Roster!S$2,Morning_Shift!$B$2:$BJ$2,0),0),""))</f>
        <v>14:30-22:00</v>
      </c>
      <c r="T94" s="2" t="str">
        <f>IF(IFERROR(VLOOKUP($B94,Morning_Shift!$B$4:$BJ$61,MATCH(Both_Shift_Roster!T$2,Morning_Shift!$B$2:$BJ$2,0),0),"")="",IFERROR(VLOOKUP($B94,Evening_Shift!$B$4:$BJ$62,MATCH(Both_Shift_Roster!T$2,Evening_Shift!$B$2:$BJ$2,0),0),""),IFERROR(VLOOKUP($B94,Morning_Shift!$B$4:$BJ$61,MATCH(Both_Shift_Roster!T$2,Morning_Shift!$B$2:$BJ$2,0),0),""))</f>
        <v>Agent Choice WO</v>
      </c>
      <c r="U94" s="2" t="str">
        <f>IF(IFERROR(VLOOKUP($B94,Morning_Shift!$B$4:$BJ$61,MATCH(Both_Shift_Roster!U$2,Morning_Shift!$B$2:$BJ$2,0),0),"")="",IFERROR(VLOOKUP($B94,Evening_Shift!$B$4:$BJ$62,MATCH(Both_Shift_Roster!U$2,Evening_Shift!$B$2:$BJ$2,0),0),""),IFERROR(VLOOKUP($B94,Morning_Shift!$B$4:$BJ$61,MATCH(Both_Shift_Roster!U$2,Morning_Shift!$B$2:$BJ$2,0),0),""))</f>
        <v>Agent Choice WO</v>
      </c>
      <c r="V94" s="2" t="str">
        <f>IF(IFERROR(VLOOKUP($B94,Morning_Shift!$B$4:$BJ$61,MATCH(Both_Shift_Roster!V$2,Morning_Shift!$B$2:$BJ$2,0),0),"")="",IFERROR(VLOOKUP($B94,Evening_Shift!$B$4:$BJ$62,MATCH(Both_Shift_Roster!V$2,Evening_Shift!$B$2:$BJ$2,0),0),""),IFERROR(VLOOKUP($B94,Morning_Shift!$B$4:$BJ$61,MATCH(Both_Shift_Roster!V$2,Morning_Shift!$B$2:$BJ$2,0),0),""))</f>
        <v>14:30-22:00</v>
      </c>
      <c r="W94" s="2" t="str">
        <f>IF(IFERROR(VLOOKUP($B94,Morning_Shift!$B$4:$BJ$61,MATCH(Both_Shift_Roster!W$2,Morning_Shift!$B$2:$BJ$2,0),0),"")="",IFERROR(VLOOKUP($B94,Evening_Shift!$B$4:$BJ$62,MATCH(Both_Shift_Roster!W$2,Evening_Shift!$B$2:$BJ$2,0),0),""),IFERROR(VLOOKUP($B94,Morning_Shift!$B$4:$BJ$61,MATCH(Both_Shift_Roster!W$2,Morning_Shift!$B$2:$BJ$2,0),0),""))</f>
        <v>14:30-22:00</v>
      </c>
      <c r="X94" s="2" t="str">
        <f>IF(IFERROR(VLOOKUP($B94,Morning_Shift!$B$4:$BJ$61,MATCH(Both_Shift_Roster!X$2,Morning_Shift!$B$2:$BJ$2,0),0),"")="",IFERROR(VLOOKUP($B94,Evening_Shift!$B$4:$BJ$62,MATCH(Both_Shift_Roster!X$2,Evening_Shift!$B$2:$BJ$2,0),0),""),IFERROR(VLOOKUP($B94,Morning_Shift!$B$4:$BJ$61,MATCH(Both_Shift_Roster!X$2,Morning_Shift!$B$2:$BJ$2,0),0),""))</f>
        <v>14:30-22:00</v>
      </c>
      <c r="Y94" s="2" t="str">
        <f>IF(IFERROR(VLOOKUP($B94,Morning_Shift!$B$4:$BJ$61,MATCH(Both_Shift_Roster!Y$2,Morning_Shift!$B$2:$BJ$2,0),0),"")="",IFERROR(VLOOKUP($B94,Evening_Shift!$B$4:$BJ$62,MATCH(Both_Shift_Roster!Y$2,Evening_Shift!$B$2:$BJ$2,0),0),""),IFERROR(VLOOKUP($B94,Morning_Shift!$B$4:$BJ$61,MATCH(Both_Shift_Roster!Y$2,Morning_Shift!$B$2:$BJ$2,0),0),""))</f>
        <v>14:30-22:00</v>
      </c>
      <c r="Z94" s="2">
        <f t="shared" si="46"/>
        <v>2</v>
      </c>
      <c r="AA94" s="2">
        <f t="shared" si="47"/>
        <v>0</v>
      </c>
      <c r="AB94" s="2">
        <f t="shared" si="48"/>
        <v>0</v>
      </c>
      <c r="AC94" s="2">
        <f t="shared" si="49"/>
        <v>0</v>
      </c>
      <c r="AD94" s="2">
        <f t="shared" si="50"/>
        <v>0</v>
      </c>
      <c r="AE94" s="2" t="str">
        <f>IF(IFERROR(VLOOKUP($B94,Morning_Shift!$B$4:$BJ$61,MATCH(Both_Shift_Roster!AE$2,Morning_Shift!$B$2:$BJ$2,0),0),"")="",IFERROR(VLOOKUP($B94,Evening_Shift!$B$4:$BJ$62,MATCH(Both_Shift_Roster!AE$2,Evening_Shift!$B$2:$BJ$2,0),0),""),IFERROR(VLOOKUP($B94,Morning_Shift!$B$4:$BJ$61,MATCH(Both_Shift_Roster!AE$2,Morning_Shift!$B$2:$BJ$2,0),0),""))</f>
        <v>14:30-22:00</v>
      </c>
      <c r="AF94" s="2" t="str">
        <f>IF(IFERROR(VLOOKUP($B94,Morning_Shift!$B$4:$BJ$61,MATCH(Both_Shift_Roster!AF$2,Morning_Shift!$B$2:$BJ$2,0),0),"")="",IFERROR(VLOOKUP($B94,Evening_Shift!$B$4:$BJ$62,MATCH(Both_Shift_Roster!AF$2,Evening_Shift!$B$2:$BJ$2,0),0),""),IFERROR(VLOOKUP($B94,Morning_Shift!$B$4:$BJ$61,MATCH(Both_Shift_Roster!AF$2,Morning_Shift!$B$2:$BJ$2,0),0),""))</f>
        <v>14:30-22:00</v>
      </c>
      <c r="AG94" s="2" t="str">
        <f>IF(IFERROR(VLOOKUP($B94,Morning_Shift!$B$4:$BJ$61,MATCH(Both_Shift_Roster!AG$2,Morning_Shift!$B$2:$BJ$2,0),0),"")="",IFERROR(VLOOKUP($B94,Evening_Shift!$B$4:$BJ$62,MATCH(Both_Shift_Roster!AG$2,Evening_Shift!$B$2:$BJ$2,0),0),""),IFERROR(VLOOKUP($B94,Morning_Shift!$B$4:$BJ$61,MATCH(Both_Shift_Roster!AG$2,Morning_Shift!$B$2:$BJ$2,0),0),""))</f>
        <v>14:30-22:00</v>
      </c>
      <c r="AH94" s="2" t="str">
        <f>IF(IFERROR(VLOOKUP($B94,Morning_Shift!$B$4:$BJ$61,MATCH(Both_Shift_Roster!AH$2,Morning_Shift!$B$2:$BJ$2,0),0),"")="",IFERROR(VLOOKUP($B94,Evening_Shift!$B$4:$BJ$62,MATCH(Both_Shift_Roster!AH$2,Evening_Shift!$B$2:$BJ$2,0),0),""),IFERROR(VLOOKUP($B94,Morning_Shift!$B$4:$BJ$61,MATCH(Both_Shift_Roster!AH$2,Morning_Shift!$B$2:$BJ$2,0),0),""))</f>
        <v>14:30-22:00</v>
      </c>
      <c r="AI94" s="2" t="str">
        <f>IF(IFERROR(VLOOKUP($B94,Morning_Shift!$B$4:$BJ$61,MATCH(Both_Shift_Roster!AI$2,Morning_Shift!$B$2:$BJ$2,0),0),"")="",IFERROR(VLOOKUP($B94,Evening_Shift!$B$4:$BJ$62,MATCH(Both_Shift_Roster!AI$2,Evening_Shift!$B$2:$BJ$2,0),0),""),IFERROR(VLOOKUP($B94,Morning_Shift!$B$4:$BJ$61,MATCH(Both_Shift_Roster!AI$2,Morning_Shift!$B$2:$BJ$2,0),0),""))</f>
        <v>14:30-22:00</v>
      </c>
      <c r="AJ94" s="2" t="str">
        <f>IF(IFERROR(VLOOKUP($B94,Morning_Shift!$B$4:$BJ$61,MATCH(Both_Shift_Roster!AJ$2,Morning_Shift!$B$2:$BJ$2,0),0),"")="",IFERROR(VLOOKUP($B94,Evening_Shift!$B$4:$BJ$62,MATCH(Both_Shift_Roster!AJ$2,Evening_Shift!$B$2:$BJ$2,0),0),""),IFERROR(VLOOKUP($B94,Morning_Shift!$B$4:$BJ$61,MATCH(Both_Shift_Roster!AJ$2,Morning_Shift!$B$2:$BJ$2,0),0),""))</f>
        <v>14:30-22:00</v>
      </c>
      <c r="AK94" s="2" t="str">
        <f>IF(IFERROR(VLOOKUP($B94,Morning_Shift!$B$4:$BJ$61,MATCH(Both_Shift_Roster!AK$2,Morning_Shift!$B$2:$BJ$2,0),0),"")="",IFERROR(VLOOKUP($B94,Evening_Shift!$B$4:$BJ$62,MATCH(Both_Shift_Roster!AK$2,Evening_Shift!$B$2:$BJ$2,0),0),""),IFERROR(VLOOKUP($B94,Morning_Shift!$B$4:$BJ$61,MATCH(Both_Shift_Roster!AK$2,Morning_Shift!$B$2:$BJ$2,0),0),""))</f>
        <v>14:30-22:00</v>
      </c>
      <c r="AL94" s="2">
        <f t="shared" si="51"/>
        <v>0</v>
      </c>
      <c r="AM94" s="2">
        <f t="shared" si="52"/>
        <v>0</v>
      </c>
      <c r="AN94" s="2">
        <f t="shared" si="53"/>
        <v>0</v>
      </c>
      <c r="AO94" s="2">
        <f t="shared" si="54"/>
        <v>0</v>
      </c>
      <c r="AP94" s="2">
        <f t="shared" si="55"/>
        <v>0</v>
      </c>
      <c r="AQ94" s="2" t="str">
        <f>IF(IFERROR(VLOOKUP($B94,Morning_Shift!$B$4:$BJ$61,MATCH(Both_Shift_Roster!AQ$2,Morning_Shift!$B$2:$BJ$2,0),0),"")="",IFERROR(VLOOKUP($B94,Evening_Shift!$B$4:$BJ$62,MATCH(Both_Shift_Roster!AQ$2,Evening_Shift!$B$2:$BJ$2,0),0),""),IFERROR(VLOOKUP($B94,Morning_Shift!$B$4:$BJ$61,MATCH(Both_Shift_Roster!AQ$2,Morning_Shift!$B$2:$BJ$2,0),0),""))</f>
        <v>14:30-22:00</v>
      </c>
      <c r="AR94" s="2" t="str">
        <f>IF(IFERROR(VLOOKUP($B94,Morning_Shift!$B$4:$BJ$61,MATCH(Both_Shift_Roster!AR$2,Morning_Shift!$B$2:$BJ$2,0),0),"")="",IFERROR(VLOOKUP($B94,Evening_Shift!$B$4:$BJ$62,MATCH(Both_Shift_Roster!AR$2,Evening_Shift!$B$2:$BJ$2,0),0),""),IFERROR(VLOOKUP($B94,Morning_Shift!$B$4:$BJ$61,MATCH(Both_Shift_Roster!AR$2,Morning_Shift!$B$2:$BJ$2,0),0),""))</f>
        <v>14:30-22:00</v>
      </c>
      <c r="AS94" s="2" t="str">
        <f>IF(IFERROR(VLOOKUP($B94,Morning_Shift!$B$4:$BJ$61,MATCH(Both_Shift_Roster!AS$2,Morning_Shift!$B$2:$BJ$2,0),0),"")="",IFERROR(VLOOKUP($B94,Evening_Shift!$B$4:$BJ$62,MATCH(Both_Shift_Roster!AS$2,Evening_Shift!$B$2:$BJ$2,0),0),""),IFERROR(VLOOKUP($B94,Morning_Shift!$B$4:$BJ$61,MATCH(Both_Shift_Roster!AS$2,Morning_Shift!$B$2:$BJ$2,0),0),""))</f>
        <v>14:30-22:00</v>
      </c>
      <c r="AT94" s="2" t="str">
        <f>IF(IFERROR(VLOOKUP($B94,Morning_Shift!$B$4:$BJ$61,MATCH(Both_Shift_Roster!AT$2,Morning_Shift!$B$2:$BJ$2,0),0),"")="",IFERROR(VLOOKUP($B94,Evening_Shift!$B$4:$BJ$62,MATCH(Both_Shift_Roster!AT$2,Evening_Shift!$B$2:$BJ$2,0),0),""),IFERROR(VLOOKUP($B94,Morning_Shift!$B$4:$BJ$61,MATCH(Both_Shift_Roster!AT$2,Morning_Shift!$B$2:$BJ$2,0),0),""))</f>
        <v>14:30-22:00</v>
      </c>
      <c r="AU94" s="2" t="str">
        <f>IF(IFERROR(VLOOKUP($B94,Morning_Shift!$B$4:$BJ$61,MATCH(Both_Shift_Roster!AU$2,Morning_Shift!$B$2:$BJ$2,0),0),"")="",IFERROR(VLOOKUP($B94,Evening_Shift!$B$4:$BJ$62,MATCH(Both_Shift_Roster!AU$2,Evening_Shift!$B$2:$BJ$2,0),0),""),IFERROR(VLOOKUP($B94,Morning_Shift!$B$4:$BJ$61,MATCH(Both_Shift_Roster!AU$2,Morning_Shift!$B$2:$BJ$2,0),0),""))</f>
        <v>14:30-22:00</v>
      </c>
      <c r="AV94" s="2" t="str">
        <f>IF(IFERROR(VLOOKUP($B94,Morning_Shift!$B$4:$BJ$61,MATCH(Both_Shift_Roster!AV$2,Morning_Shift!$B$2:$BJ$2,0),0),"")="",IFERROR(VLOOKUP($B94,Evening_Shift!$B$4:$BJ$62,MATCH(Both_Shift_Roster!AV$2,Evening_Shift!$B$2:$BJ$2,0),0),""),IFERROR(VLOOKUP($B94,Morning_Shift!$B$4:$BJ$61,MATCH(Both_Shift_Roster!AV$2,Morning_Shift!$B$2:$BJ$2,0),0),""))</f>
        <v>14:30-22:00</v>
      </c>
      <c r="AW94" s="2" t="str">
        <f>IF(IFERROR(VLOOKUP($B94,Morning_Shift!$B$4:$BJ$61,MATCH(Both_Shift_Roster!AW$2,Morning_Shift!$B$2:$BJ$2,0),0),"")="",IFERROR(VLOOKUP($B94,Evening_Shift!$B$4:$BJ$62,MATCH(Both_Shift_Roster!AW$2,Evening_Shift!$B$2:$BJ$2,0),0),""),IFERROR(VLOOKUP($B94,Morning_Shift!$B$4:$BJ$61,MATCH(Both_Shift_Roster!AW$2,Morning_Shift!$B$2:$BJ$2,0),0),""))</f>
        <v>14:30-22:00</v>
      </c>
      <c r="AX94" s="2">
        <f t="shared" si="56"/>
        <v>0</v>
      </c>
      <c r="AY94" s="2">
        <f t="shared" si="57"/>
        <v>0</v>
      </c>
      <c r="AZ94" s="2">
        <f t="shared" si="58"/>
        <v>0</v>
      </c>
      <c r="BA94" s="2">
        <f t="shared" si="59"/>
        <v>0</v>
      </c>
      <c r="BB94" s="2">
        <f t="shared" si="60"/>
        <v>0</v>
      </c>
      <c r="BC94" s="2" t="str">
        <f>IF(IFERROR(VLOOKUP($B94,Morning_Shift!$B$4:$BJ$61,MATCH(Both_Shift_Roster!BC$2,Morning_Shift!$B$2:$BJ$2,0),0),"")="",IFERROR(VLOOKUP($B94,Evening_Shift!$B$4:$BJ$62,MATCH(Both_Shift_Roster!BC$2,Evening_Shift!$B$2:$BJ$2,0),0),""),IFERROR(VLOOKUP($B94,Morning_Shift!$B$4:$BJ$61,MATCH(Both_Shift_Roster!BC$2,Morning_Shift!$B$2:$BJ$2,0),0),""))</f>
        <v>14:30-22:00</v>
      </c>
      <c r="BD94" s="2" t="str">
        <f>IF(IFERROR(VLOOKUP($B94,Morning_Shift!$B$4:$BJ$61,MATCH(Both_Shift_Roster!BD$2,Morning_Shift!$B$2:$BJ$2,0),0),"")="",IFERROR(VLOOKUP($B94,Evening_Shift!$B$4:$BJ$62,MATCH(Both_Shift_Roster!BD$2,Evening_Shift!$B$2:$BJ$2,0),0),""),IFERROR(VLOOKUP($B94,Morning_Shift!$B$4:$BJ$61,MATCH(Both_Shift_Roster!BD$2,Morning_Shift!$B$2:$BJ$2,0),0),""))</f>
        <v>14:30-22:00</v>
      </c>
      <c r="BE94" s="2" t="str">
        <f>IF(IFERROR(VLOOKUP($B94,Morning_Shift!$B$4:$BJ$61,MATCH(Both_Shift_Roster!BE$2,Morning_Shift!$B$2:$BJ$2,0),0),"")="",IFERROR(VLOOKUP($B94,Evening_Shift!$B$4:$BJ$59,MATCH(Both_Shift_Roster!BE$2,Evening_Shift!$B$2:$BJ$2,0),0),""),IFERROR(VLOOKUP($B94,Morning_Shift!$B$4:$BJ$61,MATCH(Both_Shift_Roster!BE$2,Morning_Shift!$B$2:$BJ$2,0),0),""))</f>
        <v>Agent Choice WO</v>
      </c>
      <c r="BF94" s="2">
        <f t="shared" si="61"/>
        <v>1</v>
      </c>
      <c r="BG94" s="2">
        <f t="shared" si="62"/>
        <v>0</v>
      </c>
      <c r="BH94" s="2">
        <f t="shared" si="63"/>
        <v>0</v>
      </c>
      <c r="BI94" s="2">
        <f t="shared" si="64"/>
        <v>0</v>
      </c>
      <c r="BJ94" s="2">
        <f t="shared" si="65"/>
        <v>0</v>
      </c>
    </row>
    <row r="95" spans="1:62">
      <c r="A95" s="17">
        <f t="shared" si="66"/>
        <v>92</v>
      </c>
      <c r="B95" s="16" t="str">
        <f>Evening_Shift!$B37</f>
        <v>Dritm126</v>
      </c>
      <c r="C95" s="21" t="str">
        <f>IF(IFERROR(VLOOKUP(B95,Morning_Shift!B:C,2,0),"")="",IFERROR(VLOOKUP(B95,Evening_Shift!B:C,2,0),""),IFERROR(VLOOKUP(B95,Morning_Shift!B:C,2,0),""))</f>
        <v>Duni Chand</v>
      </c>
      <c r="D95" s="15" t="str">
        <f>IF(IFERROR(VLOOKUP(B95,Morning_Shift!B:D,3,0),"")="",IFERROR(VLOOKUP(B95,Evening_Shift!B:D,3,0),""),IFERROR(VLOOKUP(B95,Morning_Shift!B:D,3,0),""))</f>
        <v xml:space="preserve">Sanjesh </v>
      </c>
      <c r="E95" s="4" t="str">
        <f>IF(IFERROR(VLOOKUP(B95,Morning_Shift!B:E,4,0),"")="",IFERROR(VLOOKUP(B95,Evening_Shift!B:E,4,0),""),IFERROR(VLOOKUP(B95,Morning_Shift!B:E,4,0),""))</f>
        <v>M</v>
      </c>
      <c r="F95" s="5" t="str">
        <f>IF(IFERROR(VLOOKUP(B95,Morning_Shift!B:F,5,0),"")="",IFERROR(VLOOKUP(B95,Evening_Shift!B:F,5,0),""),IFERROR(VLOOKUP(B95,Morning_Shift!B:F,5,0),""))</f>
        <v>Inbound</v>
      </c>
      <c r="G95" s="2" t="str">
        <f>IF(IFERROR(VLOOKUP($B95,Morning_Shift!$B$4:$BJ$61,MATCH(Both_Shift_Roster!G$2,Morning_Shift!$B$2:$BJ$2,0),0),"")="",IFERROR(VLOOKUP($B95,Evening_Shift!$B$4:$BJ$62,MATCH(Both_Shift_Roster!G$2,Evening_Shift!$B$2:$BJ$2,0),0),""),IFERROR(VLOOKUP($B95,Morning_Shift!$B$4:$BJ$61,MATCH(Both_Shift_Roster!G$2,Morning_Shift!$B$2:$BJ$2,0),0),""))</f>
        <v>Agent Choice WO</v>
      </c>
      <c r="H95" s="2" t="str">
        <f>IF(IFERROR(VLOOKUP($B95,Morning_Shift!$B$4:$BJ$61,MATCH(Both_Shift_Roster!H$2,Morning_Shift!$B$2:$BJ$2,0),0),"")="",IFERROR(VLOOKUP($B95,Evening_Shift!$B$4:$BJ$62,MATCH(Both_Shift_Roster!H$2,Evening_Shift!$B$2:$BJ$2,0),0),""),IFERROR(VLOOKUP($B95,Morning_Shift!$B$4:$BJ$61,MATCH(Both_Shift_Roster!H$2,Morning_Shift!$B$2:$BJ$2,0),0),""))</f>
        <v>Agent Choice WO</v>
      </c>
      <c r="I95" s="2" t="str">
        <f>IF(IFERROR(VLOOKUP($B95,Morning_Shift!$B$4:$BJ$61,MATCH(Both_Shift_Roster!I$2,Morning_Shift!$B$2:$BJ$2,0),0),"")="",IFERROR(VLOOKUP($B95,Evening_Shift!$B$4:$BJ$62,MATCH(Both_Shift_Roster!I$2,Evening_Shift!$B$2:$BJ$2,0),0),""),IFERROR(VLOOKUP($B95,Morning_Shift!$B$4:$BJ$61,MATCH(Both_Shift_Roster!I$2,Morning_Shift!$B$2:$BJ$2,0),0),""))</f>
        <v>Agent Choice WO</v>
      </c>
      <c r="J95" s="2" t="str">
        <f>IF(IFERROR(VLOOKUP($B95,Morning_Shift!$B$4:$BJ$61,MATCH(Both_Shift_Roster!J$2,Morning_Shift!$B$2:$BJ$2,0),0),"")="",IFERROR(VLOOKUP($B95,Evening_Shift!$B$4:$BJ$62,MATCH(Both_Shift_Roster!J$2,Evening_Shift!$B$2:$BJ$2,0),0),""),IFERROR(VLOOKUP($B95,Morning_Shift!$B$4:$BJ$61,MATCH(Both_Shift_Roster!J$2,Morning_Shift!$B$2:$BJ$2,0),0),""))</f>
        <v>Agent Choice WO</v>
      </c>
      <c r="K95" s="2" t="str">
        <f>IF(IFERROR(VLOOKUP($B95,Morning_Shift!$B$4:$BJ$61,MATCH(Both_Shift_Roster!K$2,Morning_Shift!$B$2:$BJ$2,0),0),"")="",IFERROR(VLOOKUP($B95,Evening_Shift!$B$4:$BJ$62,MATCH(Both_Shift_Roster!K$2,Evening_Shift!$B$2:$BJ$2,0),0),""),IFERROR(VLOOKUP($B95,Morning_Shift!$B$4:$BJ$61,MATCH(Both_Shift_Roster!K$2,Morning_Shift!$B$2:$BJ$2,0),0),""))</f>
        <v>14:30-22:00</v>
      </c>
      <c r="L95" s="2" t="str">
        <f>IF(IFERROR(VLOOKUP($B95,Morning_Shift!$B$4:$BJ$61,MATCH(Both_Shift_Roster!L$2,Morning_Shift!$B$2:$BJ$2,0),0),"")="",IFERROR(VLOOKUP($B95,Evening_Shift!$B$4:$BJ$62,MATCH(Both_Shift_Roster!L$2,Evening_Shift!$B$2:$BJ$2,0),0),""),IFERROR(VLOOKUP($B95,Morning_Shift!$B$4:$BJ$61,MATCH(Both_Shift_Roster!L$2,Morning_Shift!$B$2:$BJ$2,0),0),""))</f>
        <v>14:30-22:00</v>
      </c>
      <c r="M95" s="2" t="str">
        <f>IF(IFERROR(VLOOKUP($B95,Morning_Shift!$B$4:$BJ$61,MATCH(Both_Shift_Roster!M$2,Morning_Shift!$B$2:$BJ$2,0),0),"")="",IFERROR(VLOOKUP($B95,Evening_Shift!$B$4:$BJ$62,MATCH(Both_Shift_Roster!M$2,Evening_Shift!$B$2:$BJ$2,0),0),""),IFERROR(VLOOKUP($B95,Morning_Shift!$B$4:$BJ$61,MATCH(Both_Shift_Roster!M$2,Morning_Shift!$B$2:$BJ$2,0),0),""))</f>
        <v>14:30-22:00</v>
      </c>
      <c r="N95" s="2">
        <f t="shared" si="41"/>
        <v>4</v>
      </c>
      <c r="O95" s="2">
        <f t="shared" si="42"/>
        <v>0</v>
      </c>
      <c r="P95" s="2">
        <f t="shared" si="43"/>
        <v>0</v>
      </c>
      <c r="Q95" s="2">
        <f t="shared" si="44"/>
        <v>0</v>
      </c>
      <c r="R95" s="2">
        <f t="shared" si="45"/>
        <v>0</v>
      </c>
      <c r="S95" s="2" t="str">
        <f>IF(IFERROR(VLOOKUP($B95,Morning_Shift!$B$4:$BJ$61,MATCH(Both_Shift_Roster!S$2,Morning_Shift!$B$2:$BJ$2,0),0),"")="",IFERROR(VLOOKUP($B95,Evening_Shift!$B$4:$BJ$62,MATCH(Both_Shift_Roster!S$2,Evening_Shift!$B$2:$BJ$2,0),0),""),IFERROR(VLOOKUP($B95,Morning_Shift!$B$4:$BJ$61,MATCH(Both_Shift_Roster!S$2,Morning_Shift!$B$2:$BJ$2,0),0),""))</f>
        <v>14:30-22:00</v>
      </c>
      <c r="T95" s="2" t="str">
        <f>IF(IFERROR(VLOOKUP($B95,Morning_Shift!$B$4:$BJ$61,MATCH(Both_Shift_Roster!T$2,Morning_Shift!$B$2:$BJ$2,0),0),"")="",IFERROR(VLOOKUP($B95,Evening_Shift!$B$4:$BJ$62,MATCH(Both_Shift_Roster!T$2,Evening_Shift!$B$2:$BJ$2,0),0),""),IFERROR(VLOOKUP($B95,Morning_Shift!$B$4:$BJ$61,MATCH(Both_Shift_Roster!T$2,Morning_Shift!$B$2:$BJ$2,0),0),""))</f>
        <v>14:30-22:00</v>
      </c>
      <c r="U95" s="2" t="str">
        <f>IF(IFERROR(VLOOKUP($B95,Morning_Shift!$B$4:$BJ$61,MATCH(Both_Shift_Roster!U$2,Morning_Shift!$B$2:$BJ$2,0),0),"")="",IFERROR(VLOOKUP($B95,Evening_Shift!$B$4:$BJ$62,MATCH(Both_Shift_Roster!U$2,Evening_Shift!$B$2:$BJ$2,0),0),""),IFERROR(VLOOKUP($B95,Morning_Shift!$B$4:$BJ$61,MATCH(Both_Shift_Roster!U$2,Morning_Shift!$B$2:$BJ$2,0),0),""))</f>
        <v>14:30-22:00</v>
      </c>
      <c r="V95" s="2" t="str">
        <f>IF(IFERROR(VLOOKUP($B95,Morning_Shift!$B$4:$BJ$61,MATCH(Both_Shift_Roster!V$2,Morning_Shift!$B$2:$BJ$2,0),0),"")="",IFERROR(VLOOKUP($B95,Evening_Shift!$B$4:$BJ$62,MATCH(Both_Shift_Roster!V$2,Evening_Shift!$B$2:$BJ$2,0),0),""),IFERROR(VLOOKUP($B95,Morning_Shift!$B$4:$BJ$61,MATCH(Both_Shift_Roster!V$2,Morning_Shift!$B$2:$BJ$2,0),0),""))</f>
        <v>14:30-22:00</v>
      </c>
      <c r="W95" s="2" t="str">
        <f>IF(IFERROR(VLOOKUP($B95,Morning_Shift!$B$4:$BJ$61,MATCH(Both_Shift_Roster!W$2,Morning_Shift!$B$2:$BJ$2,0),0),"")="",IFERROR(VLOOKUP($B95,Evening_Shift!$B$4:$BJ$62,MATCH(Both_Shift_Roster!W$2,Evening_Shift!$B$2:$BJ$2,0),0),""),IFERROR(VLOOKUP($B95,Morning_Shift!$B$4:$BJ$61,MATCH(Both_Shift_Roster!W$2,Morning_Shift!$B$2:$BJ$2,0),0),""))</f>
        <v>14:30-22:00</v>
      </c>
      <c r="X95" s="2" t="str">
        <f>IF(IFERROR(VLOOKUP($B95,Morning_Shift!$B$4:$BJ$61,MATCH(Both_Shift_Roster!X$2,Morning_Shift!$B$2:$BJ$2,0),0),"")="",IFERROR(VLOOKUP($B95,Evening_Shift!$B$4:$BJ$62,MATCH(Both_Shift_Roster!X$2,Evening_Shift!$B$2:$BJ$2,0),0),""),IFERROR(VLOOKUP($B95,Morning_Shift!$B$4:$BJ$61,MATCH(Both_Shift_Roster!X$2,Morning_Shift!$B$2:$BJ$2,0),0),""))</f>
        <v>14:30-22:00</v>
      </c>
      <c r="Y95" s="2" t="str">
        <f>IF(IFERROR(VLOOKUP($B95,Morning_Shift!$B$4:$BJ$61,MATCH(Both_Shift_Roster!Y$2,Morning_Shift!$B$2:$BJ$2,0),0),"")="",IFERROR(VLOOKUP($B95,Evening_Shift!$B$4:$BJ$62,MATCH(Both_Shift_Roster!Y$2,Evening_Shift!$B$2:$BJ$2,0),0),""),IFERROR(VLOOKUP($B95,Morning_Shift!$B$4:$BJ$61,MATCH(Both_Shift_Roster!Y$2,Morning_Shift!$B$2:$BJ$2,0),0),""))</f>
        <v>14:30-22:00</v>
      </c>
      <c r="Z95" s="2">
        <f t="shared" si="46"/>
        <v>0</v>
      </c>
      <c r="AA95" s="2">
        <f t="shared" si="47"/>
        <v>0</v>
      </c>
      <c r="AB95" s="2">
        <f t="shared" si="48"/>
        <v>0</v>
      </c>
      <c r="AC95" s="2">
        <f t="shared" si="49"/>
        <v>0</v>
      </c>
      <c r="AD95" s="2">
        <f t="shared" si="50"/>
        <v>0</v>
      </c>
      <c r="AE95" s="2" t="str">
        <f>IF(IFERROR(VLOOKUP($B95,Morning_Shift!$B$4:$BJ$61,MATCH(Both_Shift_Roster!AE$2,Morning_Shift!$B$2:$BJ$2,0),0),"")="",IFERROR(VLOOKUP($B95,Evening_Shift!$B$4:$BJ$62,MATCH(Both_Shift_Roster!AE$2,Evening_Shift!$B$2:$BJ$2,0),0),""),IFERROR(VLOOKUP($B95,Morning_Shift!$B$4:$BJ$61,MATCH(Both_Shift_Roster!AE$2,Morning_Shift!$B$2:$BJ$2,0),0),""))</f>
        <v>14:30-22:00</v>
      </c>
      <c r="AF95" s="2" t="str">
        <f>IF(IFERROR(VLOOKUP($B95,Morning_Shift!$B$4:$BJ$61,MATCH(Both_Shift_Roster!AF$2,Morning_Shift!$B$2:$BJ$2,0),0),"")="",IFERROR(VLOOKUP($B95,Evening_Shift!$B$4:$BJ$62,MATCH(Both_Shift_Roster!AF$2,Evening_Shift!$B$2:$BJ$2,0),0),""),IFERROR(VLOOKUP($B95,Morning_Shift!$B$4:$BJ$61,MATCH(Both_Shift_Roster!AF$2,Morning_Shift!$B$2:$BJ$2,0),0),""))</f>
        <v>14:30-22:00</v>
      </c>
      <c r="AG95" s="2" t="str">
        <f>IF(IFERROR(VLOOKUP($B95,Morning_Shift!$B$4:$BJ$61,MATCH(Both_Shift_Roster!AG$2,Morning_Shift!$B$2:$BJ$2,0),0),"")="",IFERROR(VLOOKUP($B95,Evening_Shift!$B$4:$BJ$62,MATCH(Both_Shift_Roster!AG$2,Evening_Shift!$B$2:$BJ$2,0),0),""),IFERROR(VLOOKUP($B95,Morning_Shift!$B$4:$BJ$61,MATCH(Both_Shift_Roster!AG$2,Morning_Shift!$B$2:$BJ$2,0),0),""))</f>
        <v>14:30-22:00</v>
      </c>
      <c r="AH95" s="2" t="str">
        <f>IF(IFERROR(VLOOKUP($B95,Morning_Shift!$B$4:$BJ$61,MATCH(Both_Shift_Roster!AH$2,Morning_Shift!$B$2:$BJ$2,0),0),"")="",IFERROR(VLOOKUP($B95,Evening_Shift!$B$4:$BJ$62,MATCH(Both_Shift_Roster!AH$2,Evening_Shift!$B$2:$BJ$2,0),0),""),IFERROR(VLOOKUP($B95,Morning_Shift!$B$4:$BJ$61,MATCH(Both_Shift_Roster!AH$2,Morning_Shift!$B$2:$BJ$2,0),0),""))</f>
        <v>14:30-22:00</v>
      </c>
      <c r="AI95" s="2" t="str">
        <f>IF(IFERROR(VLOOKUP($B95,Morning_Shift!$B$4:$BJ$61,MATCH(Both_Shift_Roster!AI$2,Morning_Shift!$B$2:$BJ$2,0),0),"")="",IFERROR(VLOOKUP($B95,Evening_Shift!$B$4:$BJ$62,MATCH(Both_Shift_Roster!AI$2,Evening_Shift!$B$2:$BJ$2,0),0),""),IFERROR(VLOOKUP($B95,Morning_Shift!$B$4:$BJ$61,MATCH(Both_Shift_Roster!AI$2,Morning_Shift!$B$2:$BJ$2,0),0),""))</f>
        <v>14:30-22:00</v>
      </c>
      <c r="AJ95" s="2" t="str">
        <f>IF(IFERROR(VLOOKUP($B95,Morning_Shift!$B$4:$BJ$61,MATCH(Both_Shift_Roster!AJ$2,Morning_Shift!$B$2:$BJ$2,0),0),"")="",IFERROR(VLOOKUP($B95,Evening_Shift!$B$4:$BJ$62,MATCH(Both_Shift_Roster!AJ$2,Evening_Shift!$B$2:$BJ$2,0),0),""),IFERROR(VLOOKUP($B95,Morning_Shift!$B$4:$BJ$61,MATCH(Both_Shift_Roster!AJ$2,Morning_Shift!$B$2:$BJ$2,0),0),""))</f>
        <v>CL</v>
      </c>
      <c r="AK95" s="2" t="str">
        <f>IF(IFERROR(VLOOKUP($B95,Morning_Shift!$B$4:$BJ$61,MATCH(Both_Shift_Roster!AK$2,Morning_Shift!$B$2:$BJ$2,0),0),"")="",IFERROR(VLOOKUP($B95,Evening_Shift!$B$4:$BJ$62,MATCH(Both_Shift_Roster!AK$2,Evening_Shift!$B$2:$BJ$2,0),0),""),IFERROR(VLOOKUP($B95,Morning_Shift!$B$4:$BJ$61,MATCH(Both_Shift_Roster!AK$2,Morning_Shift!$B$2:$BJ$2,0),0),""))</f>
        <v>14:30-22:00</v>
      </c>
      <c r="AL95" s="2">
        <f t="shared" si="51"/>
        <v>0</v>
      </c>
      <c r="AM95" s="2">
        <f t="shared" si="52"/>
        <v>0</v>
      </c>
      <c r="AN95" s="2">
        <f t="shared" si="53"/>
        <v>1</v>
      </c>
      <c r="AO95" s="2">
        <f t="shared" si="54"/>
        <v>0</v>
      </c>
      <c r="AP95" s="2">
        <f t="shared" si="55"/>
        <v>0</v>
      </c>
      <c r="AQ95" s="2" t="str">
        <f>IF(IFERROR(VLOOKUP($B95,Morning_Shift!$B$4:$BJ$61,MATCH(Both_Shift_Roster!AQ$2,Morning_Shift!$B$2:$BJ$2,0),0),"")="",IFERROR(VLOOKUP($B95,Evening_Shift!$B$4:$BJ$62,MATCH(Both_Shift_Roster!AQ$2,Evening_Shift!$B$2:$BJ$2,0),0),""),IFERROR(VLOOKUP($B95,Morning_Shift!$B$4:$BJ$61,MATCH(Both_Shift_Roster!AQ$2,Morning_Shift!$B$2:$BJ$2,0),0),""))</f>
        <v>14:30-22:00</v>
      </c>
      <c r="AR95" s="2" t="str">
        <f>IF(IFERROR(VLOOKUP($B95,Morning_Shift!$B$4:$BJ$61,MATCH(Both_Shift_Roster!AR$2,Morning_Shift!$B$2:$BJ$2,0),0),"")="",IFERROR(VLOOKUP($B95,Evening_Shift!$B$4:$BJ$62,MATCH(Both_Shift_Roster!AR$2,Evening_Shift!$B$2:$BJ$2,0),0),""),IFERROR(VLOOKUP($B95,Morning_Shift!$B$4:$BJ$61,MATCH(Both_Shift_Roster!AR$2,Morning_Shift!$B$2:$BJ$2,0),0),""))</f>
        <v>14:30-22:00</v>
      </c>
      <c r="AS95" s="2" t="str">
        <f>IF(IFERROR(VLOOKUP($B95,Morning_Shift!$B$4:$BJ$61,MATCH(Both_Shift_Roster!AS$2,Morning_Shift!$B$2:$BJ$2,0),0),"")="",IFERROR(VLOOKUP($B95,Evening_Shift!$B$4:$BJ$62,MATCH(Both_Shift_Roster!AS$2,Evening_Shift!$B$2:$BJ$2,0),0),""),IFERROR(VLOOKUP($B95,Morning_Shift!$B$4:$BJ$61,MATCH(Both_Shift_Roster!AS$2,Morning_Shift!$B$2:$BJ$2,0),0),""))</f>
        <v>14:30-22:00</v>
      </c>
      <c r="AT95" s="2" t="str">
        <f>IF(IFERROR(VLOOKUP($B95,Morning_Shift!$B$4:$BJ$61,MATCH(Both_Shift_Roster!AT$2,Morning_Shift!$B$2:$BJ$2,0),0),"")="",IFERROR(VLOOKUP($B95,Evening_Shift!$B$4:$BJ$62,MATCH(Both_Shift_Roster!AT$2,Evening_Shift!$B$2:$BJ$2,0),0),""),IFERROR(VLOOKUP($B95,Morning_Shift!$B$4:$BJ$61,MATCH(Both_Shift_Roster!AT$2,Morning_Shift!$B$2:$BJ$2,0),0),""))</f>
        <v>14:30-22:00</v>
      </c>
      <c r="AU95" s="2" t="str">
        <f>IF(IFERROR(VLOOKUP($B95,Morning_Shift!$B$4:$BJ$61,MATCH(Both_Shift_Roster!AU$2,Morning_Shift!$B$2:$BJ$2,0),0),"")="",IFERROR(VLOOKUP($B95,Evening_Shift!$B$4:$BJ$62,MATCH(Both_Shift_Roster!AU$2,Evening_Shift!$B$2:$BJ$2,0),0),""),IFERROR(VLOOKUP($B95,Morning_Shift!$B$4:$BJ$61,MATCH(Both_Shift_Roster!AU$2,Morning_Shift!$B$2:$BJ$2,0),0),""))</f>
        <v>14:30-22:00</v>
      </c>
      <c r="AV95" s="2" t="str">
        <f>IF(IFERROR(VLOOKUP($B95,Morning_Shift!$B$4:$BJ$61,MATCH(Both_Shift_Roster!AV$2,Morning_Shift!$B$2:$BJ$2,0),0),"")="",IFERROR(VLOOKUP($B95,Evening_Shift!$B$4:$BJ$62,MATCH(Both_Shift_Roster!AV$2,Evening_Shift!$B$2:$BJ$2,0),0),""),IFERROR(VLOOKUP($B95,Morning_Shift!$B$4:$BJ$61,MATCH(Both_Shift_Roster!AV$2,Morning_Shift!$B$2:$BJ$2,0),0),""))</f>
        <v>14:30-22:00</v>
      </c>
      <c r="AW95" s="2" t="str">
        <f>IF(IFERROR(VLOOKUP($B95,Morning_Shift!$B$4:$BJ$61,MATCH(Both_Shift_Roster!AW$2,Morning_Shift!$B$2:$BJ$2,0),0),"")="",IFERROR(VLOOKUP($B95,Evening_Shift!$B$4:$BJ$62,MATCH(Both_Shift_Roster!AW$2,Evening_Shift!$B$2:$BJ$2,0),0),""),IFERROR(VLOOKUP($B95,Morning_Shift!$B$4:$BJ$61,MATCH(Both_Shift_Roster!AW$2,Morning_Shift!$B$2:$BJ$2,0),0),""))</f>
        <v>14:30-22:00</v>
      </c>
      <c r="AX95" s="2">
        <f t="shared" si="56"/>
        <v>0</v>
      </c>
      <c r="AY95" s="2">
        <f t="shared" si="57"/>
        <v>0</v>
      </c>
      <c r="AZ95" s="2">
        <f t="shared" si="58"/>
        <v>0</v>
      </c>
      <c r="BA95" s="2">
        <f t="shared" si="59"/>
        <v>0</v>
      </c>
      <c r="BB95" s="2">
        <f t="shared" si="60"/>
        <v>0</v>
      </c>
      <c r="BC95" s="2" t="str">
        <f>IF(IFERROR(VLOOKUP($B95,Morning_Shift!$B$4:$BJ$61,MATCH(Both_Shift_Roster!BC$2,Morning_Shift!$B$2:$BJ$2,0),0),"")="",IFERROR(VLOOKUP($B95,Evening_Shift!$B$4:$BJ$62,MATCH(Both_Shift_Roster!BC$2,Evening_Shift!$B$2:$BJ$2,0),0),""),IFERROR(VLOOKUP($B95,Morning_Shift!$B$4:$BJ$61,MATCH(Both_Shift_Roster!BC$2,Morning_Shift!$B$2:$BJ$2,0),0),""))</f>
        <v>14:30-22:00</v>
      </c>
      <c r="BD95" s="2" t="str">
        <f>IF(IFERROR(VLOOKUP($B95,Morning_Shift!$B$4:$BJ$61,MATCH(Both_Shift_Roster!BD$2,Morning_Shift!$B$2:$BJ$2,0),0),"")="",IFERROR(VLOOKUP($B95,Evening_Shift!$B$4:$BJ$62,MATCH(Both_Shift_Roster!BD$2,Evening_Shift!$B$2:$BJ$2,0),0),""),IFERROR(VLOOKUP($B95,Morning_Shift!$B$4:$BJ$61,MATCH(Both_Shift_Roster!BD$2,Morning_Shift!$B$2:$BJ$2,0),0),""))</f>
        <v>14:30-22:00</v>
      </c>
      <c r="BE95" s="2" t="str">
        <f>IF(IFERROR(VLOOKUP($B95,Morning_Shift!$B$4:$BJ$61,MATCH(Both_Shift_Roster!BE$2,Morning_Shift!$B$2:$BJ$2,0),0),"")="",IFERROR(VLOOKUP($B95,Evening_Shift!$B$4:$BJ$59,MATCH(Both_Shift_Roster!BE$2,Evening_Shift!$B$2:$BJ$2,0),0),""),IFERROR(VLOOKUP($B95,Morning_Shift!$B$4:$BJ$61,MATCH(Both_Shift_Roster!BE$2,Morning_Shift!$B$2:$BJ$2,0),0),""))</f>
        <v>14:30-22:00</v>
      </c>
      <c r="BF95" s="2">
        <f t="shared" si="61"/>
        <v>0</v>
      </c>
      <c r="BG95" s="2">
        <f t="shared" si="62"/>
        <v>0</v>
      </c>
      <c r="BH95" s="2">
        <f t="shared" si="63"/>
        <v>0</v>
      </c>
      <c r="BI95" s="2">
        <f t="shared" si="64"/>
        <v>0</v>
      </c>
      <c r="BJ95" s="2">
        <f t="shared" si="65"/>
        <v>0</v>
      </c>
    </row>
    <row r="96" spans="1:62">
      <c r="A96" s="17">
        <f t="shared" si="66"/>
        <v>93</v>
      </c>
      <c r="B96" s="16" t="str">
        <f>Evening_Shift!$B38</f>
        <v>Dritm129</v>
      </c>
      <c r="C96" s="21" t="str">
        <f>IF(IFERROR(VLOOKUP(B96,Morning_Shift!B:C,2,0),"")="",IFERROR(VLOOKUP(B96,Evening_Shift!B:C,2,0),""),IFERROR(VLOOKUP(B96,Morning_Shift!B:C,2,0),""))</f>
        <v>Prerna kaliya</v>
      </c>
      <c r="D96" s="15" t="str">
        <f>IF(IFERROR(VLOOKUP(B96,Morning_Shift!B:D,3,0),"")="",IFERROR(VLOOKUP(B96,Evening_Shift!B:D,3,0),""),IFERROR(VLOOKUP(B96,Morning_Shift!B:D,3,0),""))</f>
        <v xml:space="preserve">Sanjesh </v>
      </c>
      <c r="E96" s="4" t="str">
        <f>IF(IFERROR(VLOOKUP(B96,Morning_Shift!B:E,4,0),"")="",IFERROR(VLOOKUP(B96,Evening_Shift!B:E,4,0),""),IFERROR(VLOOKUP(B96,Morning_Shift!B:E,4,0),""))</f>
        <v>F</v>
      </c>
      <c r="F96" s="5" t="str">
        <f>IF(IFERROR(VLOOKUP(B96,Morning_Shift!B:F,5,0),"")="",IFERROR(VLOOKUP(B96,Evening_Shift!B:F,5,0),""),IFERROR(VLOOKUP(B96,Morning_Shift!B:F,5,0),""))</f>
        <v>Inbound</v>
      </c>
      <c r="G96" s="2" t="str">
        <f>IF(IFERROR(VLOOKUP($B96,Morning_Shift!$B$4:$BJ$61,MATCH(Both_Shift_Roster!G$2,Morning_Shift!$B$2:$BJ$2,0),0),"")="",IFERROR(VLOOKUP($B96,Evening_Shift!$B$4:$BJ$62,MATCH(Both_Shift_Roster!G$2,Evening_Shift!$B$2:$BJ$2,0),0),""),IFERROR(VLOOKUP($B96,Morning_Shift!$B$4:$BJ$61,MATCH(Both_Shift_Roster!G$2,Morning_Shift!$B$2:$BJ$2,0),0),""))</f>
        <v>Agent Choice WO</v>
      </c>
      <c r="H96" s="2" t="str">
        <f>IF(IFERROR(VLOOKUP($B96,Morning_Shift!$B$4:$BJ$61,MATCH(Both_Shift_Roster!H$2,Morning_Shift!$B$2:$BJ$2,0),0),"")="",IFERROR(VLOOKUP($B96,Evening_Shift!$B$4:$BJ$62,MATCH(Both_Shift_Roster!H$2,Evening_Shift!$B$2:$BJ$2,0),0),""),IFERROR(VLOOKUP($B96,Morning_Shift!$B$4:$BJ$61,MATCH(Both_Shift_Roster!H$2,Morning_Shift!$B$2:$BJ$2,0),0),""))</f>
        <v>14:30-22:00</v>
      </c>
      <c r="I96" s="2" t="str">
        <f>IF(IFERROR(VLOOKUP($B96,Morning_Shift!$B$4:$BJ$61,MATCH(Both_Shift_Roster!I$2,Morning_Shift!$B$2:$BJ$2,0),0),"")="",IFERROR(VLOOKUP($B96,Evening_Shift!$B$4:$BJ$62,MATCH(Both_Shift_Roster!I$2,Evening_Shift!$B$2:$BJ$2,0),0),""),IFERROR(VLOOKUP($B96,Morning_Shift!$B$4:$BJ$61,MATCH(Both_Shift_Roster!I$2,Morning_Shift!$B$2:$BJ$2,0),0),""))</f>
        <v>14:30-22:00</v>
      </c>
      <c r="J96" s="2" t="str">
        <f>IF(IFERROR(VLOOKUP($B96,Morning_Shift!$B$4:$BJ$61,MATCH(Both_Shift_Roster!J$2,Morning_Shift!$B$2:$BJ$2,0),0),"")="",IFERROR(VLOOKUP($B96,Evening_Shift!$B$4:$BJ$62,MATCH(Both_Shift_Roster!J$2,Evening_Shift!$B$2:$BJ$2,0),0),""),IFERROR(VLOOKUP($B96,Morning_Shift!$B$4:$BJ$61,MATCH(Both_Shift_Roster!J$2,Morning_Shift!$B$2:$BJ$2,0),0),""))</f>
        <v>14:30-22:00</v>
      </c>
      <c r="K96" s="2" t="str">
        <f>IF(IFERROR(VLOOKUP($B96,Morning_Shift!$B$4:$BJ$61,MATCH(Both_Shift_Roster!K$2,Morning_Shift!$B$2:$BJ$2,0),0),"")="",IFERROR(VLOOKUP($B96,Evening_Shift!$B$4:$BJ$62,MATCH(Both_Shift_Roster!K$2,Evening_Shift!$B$2:$BJ$2,0),0),""),IFERROR(VLOOKUP($B96,Morning_Shift!$B$4:$BJ$61,MATCH(Both_Shift_Roster!K$2,Morning_Shift!$B$2:$BJ$2,0),0),""))</f>
        <v>14:30-22:00</v>
      </c>
      <c r="L96" s="2" t="str">
        <f>IF(IFERROR(VLOOKUP($B96,Morning_Shift!$B$4:$BJ$61,MATCH(Both_Shift_Roster!L$2,Morning_Shift!$B$2:$BJ$2,0),0),"")="",IFERROR(VLOOKUP($B96,Evening_Shift!$B$4:$BJ$62,MATCH(Both_Shift_Roster!L$2,Evening_Shift!$B$2:$BJ$2,0),0),""),IFERROR(VLOOKUP($B96,Morning_Shift!$B$4:$BJ$61,MATCH(Both_Shift_Roster!L$2,Morning_Shift!$B$2:$BJ$2,0),0),""))</f>
        <v>14:30-22:00</v>
      </c>
      <c r="M96" s="2" t="str">
        <f>IF(IFERROR(VLOOKUP($B96,Morning_Shift!$B$4:$BJ$61,MATCH(Both_Shift_Roster!M$2,Morning_Shift!$B$2:$BJ$2,0),0),"")="",IFERROR(VLOOKUP($B96,Evening_Shift!$B$4:$BJ$62,MATCH(Both_Shift_Roster!M$2,Evening_Shift!$B$2:$BJ$2,0),0),""),IFERROR(VLOOKUP($B96,Morning_Shift!$B$4:$BJ$61,MATCH(Both_Shift_Roster!M$2,Morning_Shift!$B$2:$BJ$2,0),0),""))</f>
        <v>14:30-22:00</v>
      </c>
      <c r="N96" s="2">
        <f t="shared" si="41"/>
        <v>1</v>
      </c>
      <c r="O96" s="2">
        <f t="shared" si="42"/>
        <v>0</v>
      </c>
      <c r="P96" s="2">
        <f t="shared" si="43"/>
        <v>0</v>
      </c>
      <c r="Q96" s="2">
        <f t="shared" si="44"/>
        <v>0</v>
      </c>
      <c r="R96" s="2">
        <f t="shared" si="45"/>
        <v>0</v>
      </c>
      <c r="S96" s="2" t="str">
        <f>IF(IFERROR(VLOOKUP($B96,Morning_Shift!$B$4:$BJ$61,MATCH(Both_Shift_Roster!S$2,Morning_Shift!$B$2:$BJ$2,0),0),"")="",IFERROR(VLOOKUP($B96,Evening_Shift!$B$4:$BJ$62,MATCH(Both_Shift_Roster!S$2,Evening_Shift!$B$2:$BJ$2,0),0),""),IFERROR(VLOOKUP($B96,Morning_Shift!$B$4:$BJ$61,MATCH(Both_Shift_Roster!S$2,Morning_Shift!$B$2:$BJ$2,0),0),""))</f>
        <v>TL Choice WO</v>
      </c>
      <c r="T96" s="2" t="str">
        <f>IF(IFERROR(VLOOKUP($B96,Morning_Shift!$B$4:$BJ$61,MATCH(Both_Shift_Roster!T$2,Morning_Shift!$B$2:$BJ$2,0),0),"")="",IFERROR(VLOOKUP($B96,Evening_Shift!$B$4:$BJ$62,MATCH(Both_Shift_Roster!T$2,Evening_Shift!$B$2:$BJ$2,0),0),""),IFERROR(VLOOKUP($B96,Morning_Shift!$B$4:$BJ$61,MATCH(Both_Shift_Roster!T$2,Morning_Shift!$B$2:$BJ$2,0),0),""))</f>
        <v>14:30-22:00</v>
      </c>
      <c r="U96" s="2" t="str">
        <f>IF(IFERROR(VLOOKUP($B96,Morning_Shift!$B$4:$BJ$61,MATCH(Both_Shift_Roster!U$2,Morning_Shift!$B$2:$BJ$2,0),0),"")="",IFERROR(VLOOKUP($B96,Evening_Shift!$B$4:$BJ$62,MATCH(Both_Shift_Roster!U$2,Evening_Shift!$B$2:$BJ$2,0),0),""),IFERROR(VLOOKUP($B96,Morning_Shift!$B$4:$BJ$61,MATCH(Both_Shift_Roster!U$2,Morning_Shift!$B$2:$BJ$2,0),0),""))</f>
        <v>14:30-22:00</v>
      </c>
      <c r="V96" s="2" t="str">
        <f>IF(IFERROR(VLOOKUP($B96,Morning_Shift!$B$4:$BJ$61,MATCH(Both_Shift_Roster!V$2,Morning_Shift!$B$2:$BJ$2,0),0),"")="",IFERROR(VLOOKUP($B96,Evening_Shift!$B$4:$BJ$62,MATCH(Both_Shift_Roster!V$2,Evening_Shift!$B$2:$BJ$2,0),0),""),IFERROR(VLOOKUP($B96,Morning_Shift!$B$4:$BJ$61,MATCH(Both_Shift_Roster!V$2,Morning_Shift!$B$2:$BJ$2,0),0),""))</f>
        <v>14:30-22:00</v>
      </c>
      <c r="W96" s="2" t="str">
        <f>IF(IFERROR(VLOOKUP($B96,Morning_Shift!$B$4:$BJ$61,MATCH(Both_Shift_Roster!W$2,Morning_Shift!$B$2:$BJ$2,0),0),"")="",IFERROR(VLOOKUP($B96,Evening_Shift!$B$4:$BJ$62,MATCH(Both_Shift_Roster!W$2,Evening_Shift!$B$2:$BJ$2,0),0),""),IFERROR(VLOOKUP($B96,Morning_Shift!$B$4:$BJ$61,MATCH(Both_Shift_Roster!W$2,Morning_Shift!$B$2:$BJ$2,0),0),""))</f>
        <v>14:30-22:00</v>
      </c>
      <c r="X96" s="2" t="str">
        <f>IF(IFERROR(VLOOKUP($B96,Morning_Shift!$B$4:$BJ$61,MATCH(Both_Shift_Roster!X$2,Morning_Shift!$B$2:$BJ$2,0),0),"")="",IFERROR(VLOOKUP($B96,Evening_Shift!$B$4:$BJ$62,MATCH(Both_Shift_Roster!X$2,Evening_Shift!$B$2:$BJ$2,0),0),""),IFERROR(VLOOKUP($B96,Morning_Shift!$B$4:$BJ$61,MATCH(Both_Shift_Roster!X$2,Morning_Shift!$B$2:$BJ$2,0),0),""))</f>
        <v>14:30-22:00</v>
      </c>
      <c r="Y96" s="2" t="str">
        <f>IF(IFERROR(VLOOKUP($B96,Morning_Shift!$B$4:$BJ$61,MATCH(Both_Shift_Roster!Y$2,Morning_Shift!$B$2:$BJ$2,0),0),"")="",IFERROR(VLOOKUP($B96,Evening_Shift!$B$4:$BJ$62,MATCH(Both_Shift_Roster!Y$2,Evening_Shift!$B$2:$BJ$2,0),0),""),IFERROR(VLOOKUP($B96,Morning_Shift!$B$4:$BJ$61,MATCH(Both_Shift_Roster!Y$2,Morning_Shift!$B$2:$BJ$2,0),0),""))</f>
        <v>14:30-22:00</v>
      </c>
      <c r="Z96" s="2">
        <f t="shared" si="46"/>
        <v>0</v>
      </c>
      <c r="AA96" s="2">
        <f t="shared" si="47"/>
        <v>1</v>
      </c>
      <c r="AB96" s="2">
        <f t="shared" si="48"/>
        <v>0</v>
      </c>
      <c r="AC96" s="2">
        <f t="shared" si="49"/>
        <v>0</v>
      </c>
      <c r="AD96" s="2">
        <f t="shared" si="50"/>
        <v>0</v>
      </c>
      <c r="AE96" s="2" t="str">
        <f>IF(IFERROR(VLOOKUP($B96,Morning_Shift!$B$4:$BJ$61,MATCH(Both_Shift_Roster!AE$2,Morning_Shift!$B$2:$BJ$2,0),0),"")="",IFERROR(VLOOKUP($B96,Evening_Shift!$B$4:$BJ$62,MATCH(Both_Shift_Roster!AE$2,Evening_Shift!$B$2:$BJ$2,0),0),""),IFERROR(VLOOKUP($B96,Morning_Shift!$B$4:$BJ$61,MATCH(Both_Shift_Roster!AE$2,Morning_Shift!$B$2:$BJ$2,0),0),""))</f>
        <v>14:30-22:00</v>
      </c>
      <c r="AF96" s="2" t="str">
        <f>IF(IFERROR(VLOOKUP($B96,Morning_Shift!$B$4:$BJ$61,MATCH(Both_Shift_Roster!AF$2,Morning_Shift!$B$2:$BJ$2,0),0),"")="",IFERROR(VLOOKUP($B96,Evening_Shift!$B$4:$BJ$62,MATCH(Both_Shift_Roster!AF$2,Evening_Shift!$B$2:$BJ$2,0),0),""),IFERROR(VLOOKUP($B96,Morning_Shift!$B$4:$BJ$61,MATCH(Both_Shift_Roster!AF$2,Morning_Shift!$B$2:$BJ$2,0),0),""))</f>
        <v>14:30-22:00</v>
      </c>
      <c r="AG96" s="2" t="str">
        <f>IF(IFERROR(VLOOKUP($B96,Morning_Shift!$B$4:$BJ$61,MATCH(Both_Shift_Roster!AG$2,Morning_Shift!$B$2:$BJ$2,0),0),"")="",IFERROR(VLOOKUP($B96,Evening_Shift!$B$4:$BJ$62,MATCH(Both_Shift_Roster!AG$2,Evening_Shift!$B$2:$BJ$2,0),0),""),IFERROR(VLOOKUP($B96,Morning_Shift!$B$4:$BJ$61,MATCH(Both_Shift_Roster!AG$2,Morning_Shift!$B$2:$BJ$2,0),0),""))</f>
        <v>Agent Choice WO</v>
      </c>
      <c r="AH96" s="2" t="str">
        <f>IF(IFERROR(VLOOKUP($B96,Morning_Shift!$B$4:$BJ$61,MATCH(Both_Shift_Roster!AH$2,Morning_Shift!$B$2:$BJ$2,0),0),"")="",IFERROR(VLOOKUP($B96,Evening_Shift!$B$4:$BJ$62,MATCH(Both_Shift_Roster!AH$2,Evening_Shift!$B$2:$BJ$2,0),0),""),IFERROR(VLOOKUP($B96,Morning_Shift!$B$4:$BJ$61,MATCH(Both_Shift_Roster!AH$2,Morning_Shift!$B$2:$BJ$2,0),0),""))</f>
        <v>Agent Choice WO</v>
      </c>
      <c r="AI96" s="2" t="str">
        <f>IF(IFERROR(VLOOKUP($B96,Morning_Shift!$B$4:$BJ$61,MATCH(Both_Shift_Roster!AI$2,Morning_Shift!$B$2:$BJ$2,0),0),"")="",IFERROR(VLOOKUP($B96,Evening_Shift!$B$4:$BJ$62,MATCH(Both_Shift_Roster!AI$2,Evening_Shift!$B$2:$BJ$2,0),0),""),IFERROR(VLOOKUP($B96,Morning_Shift!$B$4:$BJ$61,MATCH(Both_Shift_Roster!AI$2,Morning_Shift!$B$2:$BJ$2,0),0),""))</f>
        <v>14:30-22:00</v>
      </c>
      <c r="AJ96" s="2" t="str">
        <f>IF(IFERROR(VLOOKUP($B96,Morning_Shift!$B$4:$BJ$61,MATCH(Both_Shift_Roster!AJ$2,Morning_Shift!$B$2:$BJ$2,0),0),"")="",IFERROR(VLOOKUP($B96,Evening_Shift!$B$4:$BJ$62,MATCH(Both_Shift_Roster!AJ$2,Evening_Shift!$B$2:$BJ$2,0),0),""),IFERROR(VLOOKUP($B96,Morning_Shift!$B$4:$BJ$61,MATCH(Both_Shift_Roster!AJ$2,Morning_Shift!$B$2:$BJ$2,0),0),""))</f>
        <v>14:30-22:00</v>
      </c>
      <c r="AK96" s="2" t="str">
        <f>IF(IFERROR(VLOOKUP($B96,Morning_Shift!$B$4:$BJ$61,MATCH(Both_Shift_Roster!AK$2,Morning_Shift!$B$2:$BJ$2,0),0),"")="",IFERROR(VLOOKUP($B96,Evening_Shift!$B$4:$BJ$62,MATCH(Both_Shift_Roster!AK$2,Evening_Shift!$B$2:$BJ$2,0),0),""),IFERROR(VLOOKUP($B96,Morning_Shift!$B$4:$BJ$61,MATCH(Both_Shift_Roster!AK$2,Morning_Shift!$B$2:$BJ$2,0),0),""))</f>
        <v>14:30-22:00</v>
      </c>
      <c r="AL96" s="2">
        <f t="shared" si="51"/>
        <v>2</v>
      </c>
      <c r="AM96" s="2">
        <f t="shared" si="52"/>
        <v>0</v>
      </c>
      <c r="AN96" s="2">
        <f t="shared" si="53"/>
        <v>0</v>
      </c>
      <c r="AO96" s="2">
        <f t="shared" si="54"/>
        <v>0</v>
      </c>
      <c r="AP96" s="2">
        <f t="shared" si="55"/>
        <v>0</v>
      </c>
      <c r="AQ96" s="2" t="str">
        <f>IF(IFERROR(VLOOKUP($B96,Morning_Shift!$B$4:$BJ$61,MATCH(Both_Shift_Roster!AQ$2,Morning_Shift!$B$2:$BJ$2,0),0),"")="",IFERROR(VLOOKUP($B96,Evening_Shift!$B$4:$BJ$62,MATCH(Both_Shift_Roster!AQ$2,Evening_Shift!$B$2:$BJ$2,0),0),""),IFERROR(VLOOKUP($B96,Morning_Shift!$B$4:$BJ$61,MATCH(Both_Shift_Roster!AQ$2,Morning_Shift!$B$2:$BJ$2,0),0),""))</f>
        <v>14:30-22:00</v>
      </c>
      <c r="AR96" s="2" t="str">
        <f>IF(IFERROR(VLOOKUP($B96,Morning_Shift!$B$4:$BJ$61,MATCH(Both_Shift_Roster!AR$2,Morning_Shift!$B$2:$BJ$2,0),0),"")="",IFERROR(VLOOKUP($B96,Evening_Shift!$B$4:$BJ$62,MATCH(Both_Shift_Roster!AR$2,Evening_Shift!$B$2:$BJ$2,0),0),""),IFERROR(VLOOKUP($B96,Morning_Shift!$B$4:$BJ$61,MATCH(Both_Shift_Roster!AR$2,Morning_Shift!$B$2:$BJ$2,0),0),""))</f>
        <v>14:30-22:00</v>
      </c>
      <c r="AS96" s="2" t="str">
        <f>IF(IFERROR(VLOOKUP($B96,Morning_Shift!$B$4:$BJ$61,MATCH(Both_Shift_Roster!AS$2,Morning_Shift!$B$2:$BJ$2,0),0),"")="",IFERROR(VLOOKUP($B96,Evening_Shift!$B$4:$BJ$62,MATCH(Both_Shift_Roster!AS$2,Evening_Shift!$B$2:$BJ$2,0),0),""),IFERROR(VLOOKUP($B96,Morning_Shift!$B$4:$BJ$61,MATCH(Both_Shift_Roster!AS$2,Morning_Shift!$B$2:$BJ$2,0),0),""))</f>
        <v>14:30-22:00</v>
      </c>
      <c r="AT96" s="2" t="str">
        <f>IF(IFERROR(VLOOKUP($B96,Morning_Shift!$B$4:$BJ$61,MATCH(Both_Shift_Roster!AT$2,Morning_Shift!$B$2:$BJ$2,0),0),"")="",IFERROR(VLOOKUP($B96,Evening_Shift!$B$4:$BJ$62,MATCH(Both_Shift_Roster!AT$2,Evening_Shift!$B$2:$BJ$2,0),0),""),IFERROR(VLOOKUP($B96,Morning_Shift!$B$4:$BJ$61,MATCH(Both_Shift_Roster!AT$2,Morning_Shift!$B$2:$BJ$2,0),0),""))</f>
        <v>14:30-22:00</v>
      </c>
      <c r="AU96" s="2" t="str">
        <f>IF(IFERROR(VLOOKUP($B96,Morning_Shift!$B$4:$BJ$61,MATCH(Both_Shift_Roster!AU$2,Morning_Shift!$B$2:$BJ$2,0),0),"")="",IFERROR(VLOOKUP($B96,Evening_Shift!$B$4:$BJ$62,MATCH(Both_Shift_Roster!AU$2,Evening_Shift!$B$2:$BJ$2,0),0),""),IFERROR(VLOOKUP($B96,Morning_Shift!$B$4:$BJ$61,MATCH(Both_Shift_Roster!AU$2,Morning_Shift!$B$2:$BJ$2,0),0),""))</f>
        <v>14:30-22:00</v>
      </c>
      <c r="AV96" s="2" t="str">
        <f>IF(IFERROR(VLOOKUP($B96,Morning_Shift!$B$4:$BJ$61,MATCH(Both_Shift_Roster!AV$2,Morning_Shift!$B$2:$BJ$2,0),0),"")="",IFERROR(VLOOKUP($B96,Evening_Shift!$B$4:$BJ$62,MATCH(Both_Shift_Roster!AV$2,Evening_Shift!$B$2:$BJ$2,0),0),""),IFERROR(VLOOKUP($B96,Morning_Shift!$B$4:$BJ$61,MATCH(Both_Shift_Roster!AV$2,Morning_Shift!$B$2:$BJ$2,0),0),""))</f>
        <v>14:30-22:00</v>
      </c>
      <c r="AW96" s="2" t="str">
        <f>IF(IFERROR(VLOOKUP($B96,Morning_Shift!$B$4:$BJ$61,MATCH(Both_Shift_Roster!AW$2,Morning_Shift!$B$2:$BJ$2,0),0),"")="",IFERROR(VLOOKUP($B96,Evening_Shift!$B$4:$BJ$62,MATCH(Both_Shift_Roster!AW$2,Evening_Shift!$B$2:$BJ$2,0),0),""),IFERROR(VLOOKUP($B96,Morning_Shift!$B$4:$BJ$61,MATCH(Both_Shift_Roster!AW$2,Morning_Shift!$B$2:$BJ$2,0),0),""))</f>
        <v>CL</v>
      </c>
      <c r="AX96" s="2">
        <f t="shared" si="56"/>
        <v>0</v>
      </c>
      <c r="AY96" s="2">
        <f t="shared" si="57"/>
        <v>0</v>
      </c>
      <c r="AZ96" s="2">
        <f t="shared" si="58"/>
        <v>1</v>
      </c>
      <c r="BA96" s="2">
        <f t="shared" si="59"/>
        <v>0</v>
      </c>
      <c r="BB96" s="2">
        <f t="shared" si="60"/>
        <v>0</v>
      </c>
      <c r="BC96" s="2" t="str">
        <f>IF(IFERROR(VLOOKUP($B96,Morning_Shift!$B$4:$BJ$61,MATCH(Both_Shift_Roster!BC$2,Morning_Shift!$B$2:$BJ$2,0),0),"")="",IFERROR(VLOOKUP($B96,Evening_Shift!$B$4:$BJ$62,MATCH(Both_Shift_Roster!BC$2,Evening_Shift!$B$2:$BJ$2,0),0),""),IFERROR(VLOOKUP($B96,Morning_Shift!$B$4:$BJ$61,MATCH(Both_Shift_Roster!BC$2,Morning_Shift!$B$2:$BJ$2,0),0),""))</f>
        <v>14:30-22:00</v>
      </c>
      <c r="BD96" s="2" t="str">
        <f>IF(IFERROR(VLOOKUP($B96,Morning_Shift!$B$4:$BJ$61,MATCH(Both_Shift_Roster!BD$2,Morning_Shift!$B$2:$BJ$2,0),0),"")="",IFERROR(VLOOKUP($B96,Evening_Shift!$B$4:$BJ$62,MATCH(Both_Shift_Roster!BD$2,Evening_Shift!$B$2:$BJ$2,0),0),""),IFERROR(VLOOKUP($B96,Morning_Shift!$B$4:$BJ$61,MATCH(Both_Shift_Roster!BD$2,Morning_Shift!$B$2:$BJ$2,0),0),""))</f>
        <v>14:30-22:00</v>
      </c>
      <c r="BE96" s="2" t="str">
        <f>IF(IFERROR(VLOOKUP($B96,Morning_Shift!$B$4:$BJ$61,MATCH(Both_Shift_Roster!BE$2,Morning_Shift!$B$2:$BJ$2,0),0),"")="",IFERROR(VLOOKUP($B96,Evening_Shift!$B$4:$BJ$59,MATCH(Both_Shift_Roster!BE$2,Evening_Shift!$B$2:$BJ$2,0),0),""),IFERROR(VLOOKUP($B96,Morning_Shift!$B$4:$BJ$61,MATCH(Both_Shift_Roster!BE$2,Morning_Shift!$B$2:$BJ$2,0),0),""))</f>
        <v>14:30-22:00</v>
      </c>
      <c r="BF96" s="2">
        <f t="shared" si="61"/>
        <v>0</v>
      </c>
      <c r="BG96" s="2">
        <f t="shared" si="62"/>
        <v>0</v>
      </c>
      <c r="BH96" s="2">
        <f t="shared" si="63"/>
        <v>0</v>
      </c>
      <c r="BI96" s="2">
        <f t="shared" si="64"/>
        <v>0</v>
      </c>
      <c r="BJ96" s="2">
        <f t="shared" si="65"/>
        <v>0</v>
      </c>
    </row>
    <row r="97" spans="1:62">
      <c r="A97" s="17">
        <f t="shared" si="66"/>
        <v>94</v>
      </c>
      <c r="B97" s="16" t="str">
        <f>Evening_Shift!$B39</f>
        <v>Dritm135</v>
      </c>
      <c r="C97" s="21" t="str">
        <f>IF(IFERROR(VLOOKUP(B97,Morning_Shift!B:C,2,0),"")="",IFERROR(VLOOKUP(B97,Evening_Shift!B:C,2,0),""),IFERROR(VLOOKUP(B97,Morning_Shift!B:C,2,0),""))</f>
        <v>Vijay Kapoor</v>
      </c>
      <c r="D97" s="15" t="str">
        <f>IF(IFERROR(VLOOKUP(B97,Morning_Shift!B:D,3,0),"")="",IFERROR(VLOOKUP(B97,Evening_Shift!B:D,3,0),""),IFERROR(VLOOKUP(B97,Morning_Shift!B:D,3,0),""))</f>
        <v xml:space="preserve">Sanjesh </v>
      </c>
      <c r="E97" s="4" t="str">
        <f>IF(IFERROR(VLOOKUP(B97,Morning_Shift!B:E,4,0),"")="",IFERROR(VLOOKUP(B97,Evening_Shift!B:E,4,0),""),IFERROR(VLOOKUP(B97,Morning_Shift!B:E,4,0),""))</f>
        <v>M</v>
      </c>
      <c r="F97" s="5" t="str">
        <f>IF(IFERROR(VLOOKUP(B97,Morning_Shift!B:F,5,0),"")="",IFERROR(VLOOKUP(B97,Evening_Shift!B:F,5,0),""),IFERROR(VLOOKUP(B97,Morning_Shift!B:F,5,0),""))</f>
        <v>Inbound</v>
      </c>
      <c r="G97" s="2" t="str">
        <f>IF(IFERROR(VLOOKUP($B97,Morning_Shift!$B$4:$BJ$61,MATCH(Both_Shift_Roster!G$2,Morning_Shift!$B$2:$BJ$2,0),0),"")="",IFERROR(VLOOKUP($B97,Evening_Shift!$B$4:$BJ$62,MATCH(Both_Shift_Roster!G$2,Evening_Shift!$B$2:$BJ$2,0),0),""),IFERROR(VLOOKUP($B97,Morning_Shift!$B$4:$BJ$61,MATCH(Both_Shift_Roster!G$2,Morning_Shift!$B$2:$BJ$2,0),0),""))</f>
        <v>14:30-22:00</v>
      </c>
      <c r="H97" s="2" t="str">
        <f>IF(IFERROR(VLOOKUP($B97,Morning_Shift!$B$4:$BJ$61,MATCH(Both_Shift_Roster!H$2,Morning_Shift!$B$2:$BJ$2,0),0),"")="",IFERROR(VLOOKUP($B97,Evening_Shift!$B$4:$BJ$62,MATCH(Both_Shift_Roster!H$2,Evening_Shift!$B$2:$BJ$2,0),0),""),IFERROR(VLOOKUP($B97,Morning_Shift!$B$4:$BJ$61,MATCH(Both_Shift_Roster!H$2,Morning_Shift!$B$2:$BJ$2,0),0),""))</f>
        <v>14:30-22:00</v>
      </c>
      <c r="I97" s="2" t="str">
        <f>IF(IFERROR(VLOOKUP($B97,Morning_Shift!$B$4:$BJ$61,MATCH(Both_Shift_Roster!I$2,Morning_Shift!$B$2:$BJ$2,0),0),"")="",IFERROR(VLOOKUP($B97,Evening_Shift!$B$4:$BJ$62,MATCH(Both_Shift_Roster!I$2,Evening_Shift!$B$2:$BJ$2,0),0),""),IFERROR(VLOOKUP($B97,Morning_Shift!$B$4:$BJ$61,MATCH(Both_Shift_Roster!I$2,Morning_Shift!$B$2:$BJ$2,0),0),""))</f>
        <v>14:30-22:00</v>
      </c>
      <c r="J97" s="2" t="str">
        <f>IF(IFERROR(VLOOKUP($B97,Morning_Shift!$B$4:$BJ$61,MATCH(Both_Shift_Roster!J$2,Morning_Shift!$B$2:$BJ$2,0),0),"")="",IFERROR(VLOOKUP($B97,Evening_Shift!$B$4:$BJ$62,MATCH(Both_Shift_Roster!J$2,Evening_Shift!$B$2:$BJ$2,0),0),""),IFERROR(VLOOKUP($B97,Morning_Shift!$B$4:$BJ$61,MATCH(Both_Shift_Roster!J$2,Morning_Shift!$B$2:$BJ$2,0),0),""))</f>
        <v>14:30-22:00</v>
      </c>
      <c r="K97" s="2" t="str">
        <f>IF(IFERROR(VLOOKUP($B97,Morning_Shift!$B$4:$BJ$61,MATCH(Both_Shift_Roster!K$2,Morning_Shift!$B$2:$BJ$2,0),0),"")="",IFERROR(VLOOKUP($B97,Evening_Shift!$B$4:$BJ$62,MATCH(Both_Shift_Roster!K$2,Evening_Shift!$B$2:$BJ$2,0),0),""),IFERROR(VLOOKUP($B97,Morning_Shift!$B$4:$BJ$61,MATCH(Both_Shift_Roster!K$2,Morning_Shift!$B$2:$BJ$2,0),0),""))</f>
        <v>14:30-22:00</v>
      </c>
      <c r="L97" s="2" t="str">
        <f>IF(IFERROR(VLOOKUP($B97,Morning_Shift!$B$4:$BJ$61,MATCH(Both_Shift_Roster!L$2,Morning_Shift!$B$2:$BJ$2,0),0),"")="",IFERROR(VLOOKUP($B97,Evening_Shift!$B$4:$BJ$62,MATCH(Both_Shift_Roster!L$2,Evening_Shift!$B$2:$BJ$2,0),0),""),IFERROR(VLOOKUP($B97,Morning_Shift!$B$4:$BJ$61,MATCH(Both_Shift_Roster!L$2,Morning_Shift!$B$2:$BJ$2,0),0),""))</f>
        <v>14:30-22:00</v>
      </c>
      <c r="M97" s="2" t="str">
        <f>IF(IFERROR(VLOOKUP($B97,Morning_Shift!$B$4:$BJ$61,MATCH(Both_Shift_Roster!M$2,Morning_Shift!$B$2:$BJ$2,0),0),"")="",IFERROR(VLOOKUP($B97,Evening_Shift!$B$4:$BJ$62,MATCH(Both_Shift_Roster!M$2,Evening_Shift!$B$2:$BJ$2,0),0),""),IFERROR(VLOOKUP($B97,Morning_Shift!$B$4:$BJ$61,MATCH(Both_Shift_Roster!M$2,Morning_Shift!$B$2:$BJ$2,0),0),""))</f>
        <v>14:30-22:00</v>
      </c>
      <c r="N97" s="2">
        <f t="shared" si="41"/>
        <v>0</v>
      </c>
      <c r="O97" s="2">
        <f t="shared" si="42"/>
        <v>0</v>
      </c>
      <c r="P97" s="2">
        <f t="shared" si="43"/>
        <v>0</v>
      </c>
      <c r="Q97" s="2">
        <f t="shared" si="44"/>
        <v>0</v>
      </c>
      <c r="R97" s="2">
        <f t="shared" si="45"/>
        <v>0</v>
      </c>
      <c r="S97" s="2" t="str">
        <f>IF(IFERROR(VLOOKUP($B97,Morning_Shift!$B$4:$BJ$61,MATCH(Both_Shift_Roster!S$2,Morning_Shift!$B$2:$BJ$2,0),0),"")="",IFERROR(VLOOKUP($B97,Evening_Shift!$B$4:$BJ$62,MATCH(Both_Shift_Roster!S$2,Evening_Shift!$B$2:$BJ$2,0),0),""),IFERROR(VLOOKUP($B97,Morning_Shift!$B$4:$BJ$61,MATCH(Both_Shift_Roster!S$2,Morning_Shift!$B$2:$BJ$2,0),0),""))</f>
        <v>14:30-22:00</v>
      </c>
      <c r="T97" s="2" t="str">
        <f>IF(IFERROR(VLOOKUP($B97,Morning_Shift!$B$4:$BJ$61,MATCH(Both_Shift_Roster!T$2,Morning_Shift!$B$2:$BJ$2,0),0),"")="",IFERROR(VLOOKUP($B97,Evening_Shift!$B$4:$BJ$62,MATCH(Both_Shift_Roster!T$2,Evening_Shift!$B$2:$BJ$2,0),0),""),IFERROR(VLOOKUP($B97,Morning_Shift!$B$4:$BJ$61,MATCH(Both_Shift_Roster!T$2,Morning_Shift!$B$2:$BJ$2,0),0),""))</f>
        <v>14:30-22:00</v>
      </c>
      <c r="U97" s="2" t="str">
        <f>IF(IFERROR(VLOOKUP($B97,Morning_Shift!$B$4:$BJ$61,MATCH(Both_Shift_Roster!U$2,Morning_Shift!$B$2:$BJ$2,0),0),"")="",IFERROR(VLOOKUP($B97,Evening_Shift!$B$4:$BJ$62,MATCH(Both_Shift_Roster!U$2,Evening_Shift!$B$2:$BJ$2,0),0),""),IFERROR(VLOOKUP($B97,Morning_Shift!$B$4:$BJ$61,MATCH(Both_Shift_Roster!U$2,Morning_Shift!$B$2:$BJ$2,0),0),""))</f>
        <v>Agent Choice WO</v>
      </c>
      <c r="V97" s="2" t="str">
        <f>IF(IFERROR(VLOOKUP($B97,Morning_Shift!$B$4:$BJ$61,MATCH(Both_Shift_Roster!V$2,Morning_Shift!$B$2:$BJ$2,0),0),"")="",IFERROR(VLOOKUP($B97,Evening_Shift!$B$4:$BJ$62,MATCH(Both_Shift_Roster!V$2,Evening_Shift!$B$2:$BJ$2,0),0),""),IFERROR(VLOOKUP($B97,Morning_Shift!$B$4:$BJ$61,MATCH(Both_Shift_Roster!V$2,Morning_Shift!$B$2:$BJ$2,0),0),""))</f>
        <v>14:30-22:00</v>
      </c>
      <c r="W97" s="2" t="str">
        <f>IF(IFERROR(VLOOKUP($B97,Morning_Shift!$B$4:$BJ$61,MATCH(Both_Shift_Roster!W$2,Morning_Shift!$B$2:$BJ$2,0),0),"")="",IFERROR(VLOOKUP($B97,Evening_Shift!$B$4:$BJ$62,MATCH(Both_Shift_Roster!W$2,Evening_Shift!$B$2:$BJ$2,0),0),""),IFERROR(VLOOKUP($B97,Morning_Shift!$B$4:$BJ$61,MATCH(Both_Shift_Roster!W$2,Morning_Shift!$B$2:$BJ$2,0),0),""))</f>
        <v>Agent Choice WO</v>
      </c>
      <c r="X97" s="2" t="str">
        <f>IF(IFERROR(VLOOKUP($B97,Morning_Shift!$B$4:$BJ$61,MATCH(Both_Shift_Roster!X$2,Morning_Shift!$B$2:$BJ$2,0),0),"")="",IFERROR(VLOOKUP($B97,Evening_Shift!$B$4:$BJ$62,MATCH(Both_Shift_Roster!X$2,Evening_Shift!$B$2:$BJ$2,0),0),""),IFERROR(VLOOKUP($B97,Morning_Shift!$B$4:$BJ$61,MATCH(Both_Shift_Roster!X$2,Morning_Shift!$B$2:$BJ$2,0),0),""))</f>
        <v>Agent Choice WO</v>
      </c>
      <c r="Y97" s="2" t="str">
        <f>IF(IFERROR(VLOOKUP($B97,Morning_Shift!$B$4:$BJ$61,MATCH(Both_Shift_Roster!Y$2,Morning_Shift!$B$2:$BJ$2,0),0),"")="",IFERROR(VLOOKUP($B97,Evening_Shift!$B$4:$BJ$62,MATCH(Both_Shift_Roster!Y$2,Evening_Shift!$B$2:$BJ$2,0),0),""),IFERROR(VLOOKUP($B97,Morning_Shift!$B$4:$BJ$61,MATCH(Both_Shift_Roster!Y$2,Morning_Shift!$B$2:$BJ$2,0),0),""))</f>
        <v>14:30-22:00</v>
      </c>
      <c r="Z97" s="2">
        <f t="shared" si="46"/>
        <v>3</v>
      </c>
      <c r="AA97" s="2">
        <f t="shared" si="47"/>
        <v>0</v>
      </c>
      <c r="AB97" s="2">
        <f t="shared" si="48"/>
        <v>0</v>
      </c>
      <c r="AC97" s="2">
        <f t="shared" si="49"/>
        <v>0</v>
      </c>
      <c r="AD97" s="2">
        <f t="shared" si="50"/>
        <v>0</v>
      </c>
      <c r="AE97" s="2" t="str">
        <f>IF(IFERROR(VLOOKUP($B97,Morning_Shift!$B$4:$BJ$61,MATCH(Both_Shift_Roster!AE$2,Morning_Shift!$B$2:$BJ$2,0),0),"")="",IFERROR(VLOOKUP($B97,Evening_Shift!$B$4:$BJ$62,MATCH(Both_Shift_Roster!AE$2,Evening_Shift!$B$2:$BJ$2,0),0),""),IFERROR(VLOOKUP($B97,Morning_Shift!$B$4:$BJ$61,MATCH(Both_Shift_Roster!AE$2,Morning_Shift!$B$2:$BJ$2,0),0),""))</f>
        <v>14:30-22:00</v>
      </c>
      <c r="AF97" s="2" t="str">
        <f>IF(IFERROR(VLOOKUP($B97,Morning_Shift!$B$4:$BJ$61,MATCH(Both_Shift_Roster!AF$2,Morning_Shift!$B$2:$BJ$2,0),0),"")="",IFERROR(VLOOKUP($B97,Evening_Shift!$B$4:$BJ$62,MATCH(Both_Shift_Roster!AF$2,Evening_Shift!$B$2:$BJ$2,0),0),""),IFERROR(VLOOKUP($B97,Morning_Shift!$B$4:$BJ$61,MATCH(Both_Shift_Roster!AF$2,Morning_Shift!$B$2:$BJ$2,0),0),""))</f>
        <v>Agent Choice WO</v>
      </c>
      <c r="AG97" s="2" t="str">
        <f>IF(IFERROR(VLOOKUP($B97,Morning_Shift!$B$4:$BJ$61,MATCH(Both_Shift_Roster!AG$2,Morning_Shift!$B$2:$BJ$2,0),0),"")="",IFERROR(VLOOKUP($B97,Evening_Shift!$B$4:$BJ$62,MATCH(Both_Shift_Roster!AG$2,Evening_Shift!$B$2:$BJ$2,0),0),""),IFERROR(VLOOKUP($B97,Morning_Shift!$B$4:$BJ$61,MATCH(Both_Shift_Roster!AG$2,Morning_Shift!$B$2:$BJ$2,0),0),""))</f>
        <v>14:30-22:00</v>
      </c>
      <c r="AH97" s="2" t="str">
        <f>IF(IFERROR(VLOOKUP($B97,Morning_Shift!$B$4:$BJ$61,MATCH(Both_Shift_Roster!AH$2,Morning_Shift!$B$2:$BJ$2,0),0),"")="",IFERROR(VLOOKUP($B97,Evening_Shift!$B$4:$BJ$62,MATCH(Both_Shift_Roster!AH$2,Evening_Shift!$B$2:$BJ$2,0),0),""),IFERROR(VLOOKUP($B97,Morning_Shift!$B$4:$BJ$61,MATCH(Both_Shift_Roster!AH$2,Morning_Shift!$B$2:$BJ$2,0),0),""))</f>
        <v>14:30-22:00</v>
      </c>
      <c r="AI97" s="2" t="str">
        <f>IF(IFERROR(VLOOKUP($B97,Morning_Shift!$B$4:$BJ$61,MATCH(Both_Shift_Roster!AI$2,Morning_Shift!$B$2:$BJ$2,0),0),"")="",IFERROR(VLOOKUP($B97,Evening_Shift!$B$4:$BJ$62,MATCH(Both_Shift_Roster!AI$2,Evening_Shift!$B$2:$BJ$2,0),0),""),IFERROR(VLOOKUP($B97,Morning_Shift!$B$4:$BJ$61,MATCH(Both_Shift_Roster!AI$2,Morning_Shift!$B$2:$BJ$2,0),0),""))</f>
        <v>14:30-22:00</v>
      </c>
      <c r="AJ97" s="2" t="str">
        <f>IF(IFERROR(VLOOKUP($B97,Morning_Shift!$B$4:$BJ$61,MATCH(Both_Shift_Roster!AJ$2,Morning_Shift!$B$2:$BJ$2,0),0),"")="",IFERROR(VLOOKUP($B97,Evening_Shift!$B$4:$BJ$62,MATCH(Both_Shift_Roster!AJ$2,Evening_Shift!$B$2:$BJ$2,0),0),""),IFERROR(VLOOKUP($B97,Morning_Shift!$B$4:$BJ$61,MATCH(Both_Shift_Roster!AJ$2,Morning_Shift!$B$2:$BJ$2,0),0),""))</f>
        <v>14:30-22:00</v>
      </c>
      <c r="AK97" s="2" t="str">
        <f>IF(IFERROR(VLOOKUP($B97,Morning_Shift!$B$4:$BJ$61,MATCH(Both_Shift_Roster!AK$2,Morning_Shift!$B$2:$BJ$2,0),0),"")="",IFERROR(VLOOKUP($B97,Evening_Shift!$B$4:$BJ$62,MATCH(Both_Shift_Roster!AK$2,Evening_Shift!$B$2:$BJ$2,0),0),""),IFERROR(VLOOKUP($B97,Morning_Shift!$B$4:$BJ$61,MATCH(Both_Shift_Roster!AK$2,Morning_Shift!$B$2:$BJ$2,0),0),""))</f>
        <v>14:30-22:00</v>
      </c>
      <c r="AL97" s="2">
        <f t="shared" si="51"/>
        <v>1</v>
      </c>
      <c r="AM97" s="2">
        <f t="shared" si="52"/>
        <v>0</v>
      </c>
      <c r="AN97" s="2">
        <f t="shared" si="53"/>
        <v>0</v>
      </c>
      <c r="AO97" s="2">
        <f t="shared" si="54"/>
        <v>0</v>
      </c>
      <c r="AP97" s="2">
        <f t="shared" si="55"/>
        <v>0</v>
      </c>
      <c r="AQ97" s="2" t="str">
        <f>IF(IFERROR(VLOOKUP($B97,Morning_Shift!$B$4:$BJ$61,MATCH(Both_Shift_Roster!AQ$2,Morning_Shift!$B$2:$BJ$2,0),0),"")="",IFERROR(VLOOKUP($B97,Evening_Shift!$B$4:$BJ$62,MATCH(Both_Shift_Roster!AQ$2,Evening_Shift!$B$2:$BJ$2,0),0),""),IFERROR(VLOOKUP($B97,Morning_Shift!$B$4:$BJ$61,MATCH(Both_Shift_Roster!AQ$2,Morning_Shift!$B$2:$BJ$2,0),0),""))</f>
        <v>14:30-22:00</v>
      </c>
      <c r="AR97" s="2" t="str">
        <f>IF(IFERROR(VLOOKUP($B97,Morning_Shift!$B$4:$BJ$61,MATCH(Both_Shift_Roster!AR$2,Morning_Shift!$B$2:$BJ$2,0),0),"")="",IFERROR(VLOOKUP($B97,Evening_Shift!$B$4:$BJ$62,MATCH(Both_Shift_Roster!AR$2,Evening_Shift!$B$2:$BJ$2,0),0),""),IFERROR(VLOOKUP($B97,Morning_Shift!$B$4:$BJ$61,MATCH(Both_Shift_Roster!AR$2,Morning_Shift!$B$2:$BJ$2,0),0),""))</f>
        <v>14:30-22:00</v>
      </c>
      <c r="AS97" s="2" t="str">
        <f>IF(IFERROR(VLOOKUP($B97,Morning_Shift!$B$4:$BJ$61,MATCH(Both_Shift_Roster!AS$2,Morning_Shift!$B$2:$BJ$2,0),0),"")="",IFERROR(VLOOKUP($B97,Evening_Shift!$B$4:$BJ$62,MATCH(Both_Shift_Roster!AS$2,Evening_Shift!$B$2:$BJ$2,0),0),""),IFERROR(VLOOKUP($B97,Morning_Shift!$B$4:$BJ$61,MATCH(Both_Shift_Roster!AS$2,Morning_Shift!$B$2:$BJ$2,0),0),""))</f>
        <v>14:30-22:00</v>
      </c>
      <c r="AT97" s="2" t="str">
        <f>IF(IFERROR(VLOOKUP($B97,Morning_Shift!$B$4:$BJ$61,MATCH(Both_Shift_Roster!AT$2,Morning_Shift!$B$2:$BJ$2,0),0),"")="",IFERROR(VLOOKUP($B97,Evening_Shift!$B$4:$BJ$62,MATCH(Both_Shift_Roster!AT$2,Evening_Shift!$B$2:$BJ$2,0),0),""),IFERROR(VLOOKUP($B97,Morning_Shift!$B$4:$BJ$61,MATCH(Both_Shift_Roster!AT$2,Morning_Shift!$B$2:$BJ$2,0),0),""))</f>
        <v>14:30-22:00</v>
      </c>
      <c r="AU97" s="2" t="str">
        <f>IF(IFERROR(VLOOKUP($B97,Morning_Shift!$B$4:$BJ$61,MATCH(Both_Shift_Roster!AU$2,Morning_Shift!$B$2:$BJ$2,0),0),"")="",IFERROR(VLOOKUP($B97,Evening_Shift!$B$4:$BJ$62,MATCH(Both_Shift_Roster!AU$2,Evening_Shift!$B$2:$BJ$2,0),0),""),IFERROR(VLOOKUP($B97,Morning_Shift!$B$4:$BJ$61,MATCH(Both_Shift_Roster!AU$2,Morning_Shift!$B$2:$BJ$2,0),0),""))</f>
        <v>Agent Choice WO</v>
      </c>
      <c r="AV97" s="2" t="str">
        <f>IF(IFERROR(VLOOKUP($B97,Morning_Shift!$B$4:$BJ$61,MATCH(Both_Shift_Roster!AV$2,Morning_Shift!$B$2:$BJ$2,0),0),"")="",IFERROR(VLOOKUP($B97,Evening_Shift!$B$4:$BJ$62,MATCH(Both_Shift_Roster!AV$2,Evening_Shift!$B$2:$BJ$2,0),0),""),IFERROR(VLOOKUP($B97,Morning_Shift!$B$4:$BJ$61,MATCH(Both_Shift_Roster!AV$2,Morning_Shift!$B$2:$BJ$2,0),0),""))</f>
        <v>14:30-22:00</v>
      </c>
      <c r="AW97" s="2" t="str">
        <f>IF(IFERROR(VLOOKUP($B97,Morning_Shift!$B$4:$BJ$61,MATCH(Both_Shift_Roster!AW$2,Morning_Shift!$B$2:$BJ$2,0),0),"")="",IFERROR(VLOOKUP($B97,Evening_Shift!$B$4:$BJ$62,MATCH(Both_Shift_Roster!AW$2,Evening_Shift!$B$2:$BJ$2,0),0),""),IFERROR(VLOOKUP($B97,Morning_Shift!$B$4:$BJ$61,MATCH(Both_Shift_Roster!AW$2,Morning_Shift!$B$2:$BJ$2,0),0),""))</f>
        <v>14:30-22:00</v>
      </c>
      <c r="AX97" s="2">
        <f t="shared" si="56"/>
        <v>1</v>
      </c>
      <c r="AY97" s="2">
        <f t="shared" si="57"/>
        <v>0</v>
      </c>
      <c r="AZ97" s="2">
        <f t="shared" si="58"/>
        <v>0</v>
      </c>
      <c r="BA97" s="2">
        <f t="shared" si="59"/>
        <v>0</v>
      </c>
      <c r="BB97" s="2">
        <f t="shared" si="60"/>
        <v>0</v>
      </c>
      <c r="BC97" s="2" t="str">
        <f>IF(IFERROR(VLOOKUP($B97,Morning_Shift!$B$4:$BJ$61,MATCH(Both_Shift_Roster!BC$2,Morning_Shift!$B$2:$BJ$2,0),0),"")="",IFERROR(VLOOKUP($B97,Evening_Shift!$B$4:$BJ$62,MATCH(Both_Shift_Roster!BC$2,Evening_Shift!$B$2:$BJ$2,0),0),""),IFERROR(VLOOKUP($B97,Morning_Shift!$B$4:$BJ$61,MATCH(Both_Shift_Roster!BC$2,Morning_Shift!$B$2:$BJ$2,0),0),""))</f>
        <v>14:30-22:00</v>
      </c>
      <c r="BD97" s="2" t="str">
        <f>IF(IFERROR(VLOOKUP($B97,Morning_Shift!$B$4:$BJ$61,MATCH(Both_Shift_Roster!BD$2,Morning_Shift!$B$2:$BJ$2,0),0),"")="",IFERROR(VLOOKUP($B97,Evening_Shift!$B$4:$BJ$62,MATCH(Both_Shift_Roster!BD$2,Evening_Shift!$B$2:$BJ$2,0),0),""),IFERROR(VLOOKUP($B97,Morning_Shift!$B$4:$BJ$61,MATCH(Both_Shift_Roster!BD$2,Morning_Shift!$B$2:$BJ$2,0),0),""))</f>
        <v>14:30-22:00</v>
      </c>
      <c r="BE97" s="2" t="str">
        <f>IF(IFERROR(VLOOKUP($B97,Morning_Shift!$B$4:$BJ$61,MATCH(Both_Shift_Roster!BE$2,Morning_Shift!$B$2:$BJ$2,0),0),"")="",IFERROR(VLOOKUP($B97,Evening_Shift!$B$4:$BJ$59,MATCH(Both_Shift_Roster!BE$2,Evening_Shift!$B$2:$BJ$2,0),0),""),IFERROR(VLOOKUP($B97,Morning_Shift!$B$4:$BJ$61,MATCH(Both_Shift_Roster!BE$2,Morning_Shift!$B$2:$BJ$2,0),0),""))</f>
        <v>14:30-22:00</v>
      </c>
      <c r="BF97" s="2">
        <f t="shared" si="61"/>
        <v>0</v>
      </c>
      <c r="BG97" s="2">
        <f t="shared" si="62"/>
        <v>0</v>
      </c>
      <c r="BH97" s="2">
        <f t="shared" si="63"/>
        <v>0</v>
      </c>
      <c r="BI97" s="2">
        <f t="shared" si="64"/>
        <v>0</v>
      </c>
      <c r="BJ97" s="2">
        <f t="shared" si="65"/>
        <v>0</v>
      </c>
    </row>
    <row r="98" spans="1:62">
      <c r="A98" s="17">
        <f t="shared" si="66"/>
        <v>95</v>
      </c>
      <c r="B98" s="16" t="str">
        <f>Evening_Shift!$B40</f>
        <v>Dritm138</v>
      </c>
      <c r="C98" s="21" t="str">
        <f>IF(IFERROR(VLOOKUP(B98,Morning_Shift!B:C,2,0),"")="",IFERROR(VLOOKUP(B98,Evening_Shift!B:C,2,0),""),IFERROR(VLOOKUP(B98,Morning_Shift!B:C,2,0),""))</f>
        <v>Sachin</v>
      </c>
      <c r="D98" s="15" t="str">
        <f>IF(IFERROR(VLOOKUP(B98,Morning_Shift!B:D,3,0),"")="",IFERROR(VLOOKUP(B98,Evening_Shift!B:D,3,0),""),IFERROR(VLOOKUP(B98,Morning_Shift!B:D,3,0),""))</f>
        <v xml:space="preserve">Sanjesh </v>
      </c>
      <c r="E98" s="4" t="str">
        <f>IF(IFERROR(VLOOKUP(B98,Morning_Shift!B:E,4,0),"")="",IFERROR(VLOOKUP(B98,Evening_Shift!B:E,4,0),""),IFERROR(VLOOKUP(B98,Morning_Shift!B:E,4,0),""))</f>
        <v>M</v>
      </c>
      <c r="F98" s="5" t="str">
        <f>IF(IFERROR(VLOOKUP(B98,Morning_Shift!B:F,5,0),"")="",IFERROR(VLOOKUP(B98,Evening_Shift!B:F,5,0),""),IFERROR(VLOOKUP(B98,Morning_Shift!B:F,5,0),""))</f>
        <v>Inbound</v>
      </c>
      <c r="G98" s="2" t="str">
        <f>IF(IFERROR(VLOOKUP($B98,Morning_Shift!$B$4:$BJ$61,MATCH(Both_Shift_Roster!G$2,Morning_Shift!$B$2:$BJ$2,0),0),"")="",IFERROR(VLOOKUP($B98,Evening_Shift!$B$4:$BJ$62,MATCH(Both_Shift_Roster!G$2,Evening_Shift!$B$2:$BJ$2,0),0),""),IFERROR(VLOOKUP($B98,Morning_Shift!$B$4:$BJ$61,MATCH(Both_Shift_Roster!G$2,Morning_Shift!$B$2:$BJ$2,0),0),""))</f>
        <v>14:30-22:00</v>
      </c>
      <c r="H98" s="2" t="str">
        <f>IF(IFERROR(VLOOKUP($B98,Morning_Shift!$B$4:$BJ$61,MATCH(Both_Shift_Roster!H$2,Morning_Shift!$B$2:$BJ$2,0),0),"")="",IFERROR(VLOOKUP($B98,Evening_Shift!$B$4:$BJ$62,MATCH(Both_Shift_Roster!H$2,Evening_Shift!$B$2:$BJ$2,0),0),""),IFERROR(VLOOKUP($B98,Morning_Shift!$B$4:$BJ$61,MATCH(Both_Shift_Roster!H$2,Morning_Shift!$B$2:$BJ$2,0),0),""))</f>
        <v>Agent Choice WO</v>
      </c>
      <c r="I98" s="2" t="str">
        <f>IF(IFERROR(VLOOKUP($B98,Morning_Shift!$B$4:$BJ$61,MATCH(Both_Shift_Roster!I$2,Morning_Shift!$B$2:$BJ$2,0),0),"")="",IFERROR(VLOOKUP($B98,Evening_Shift!$B$4:$BJ$62,MATCH(Both_Shift_Roster!I$2,Evening_Shift!$B$2:$BJ$2,0),0),""),IFERROR(VLOOKUP($B98,Morning_Shift!$B$4:$BJ$61,MATCH(Both_Shift_Roster!I$2,Morning_Shift!$B$2:$BJ$2,0),0),""))</f>
        <v>Agent Choice WO</v>
      </c>
      <c r="J98" s="2" t="str">
        <f>IF(IFERROR(VLOOKUP($B98,Morning_Shift!$B$4:$BJ$61,MATCH(Both_Shift_Roster!J$2,Morning_Shift!$B$2:$BJ$2,0),0),"")="",IFERROR(VLOOKUP($B98,Evening_Shift!$B$4:$BJ$62,MATCH(Both_Shift_Roster!J$2,Evening_Shift!$B$2:$BJ$2,0),0),""),IFERROR(VLOOKUP($B98,Morning_Shift!$B$4:$BJ$61,MATCH(Both_Shift_Roster!J$2,Morning_Shift!$B$2:$BJ$2,0),0),""))</f>
        <v>14:30-22:00</v>
      </c>
      <c r="K98" s="2" t="str">
        <f>IF(IFERROR(VLOOKUP($B98,Morning_Shift!$B$4:$BJ$61,MATCH(Both_Shift_Roster!K$2,Morning_Shift!$B$2:$BJ$2,0),0),"")="",IFERROR(VLOOKUP($B98,Evening_Shift!$B$4:$BJ$62,MATCH(Both_Shift_Roster!K$2,Evening_Shift!$B$2:$BJ$2,0),0),""),IFERROR(VLOOKUP($B98,Morning_Shift!$B$4:$BJ$61,MATCH(Both_Shift_Roster!K$2,Morning_Shift!$B$2:$BJ$2,0),0),""))</f>
        <v>14:30-22:00</v>
      </c>
      <c r="L98" s="2" t="str">
        <f>IF(IFERROR(VLOOKUP($B98,Morning_Shift!$B$4:$BJ$61,MATCH(Both_Shift_Roster!L$2,Morning_Shift!$B$2:$BJ$2,0),0),"")="",IFERROR(VLOOKUP($B98,Evening_Shift!$B$4:$BJ$62,MATCH(Both_Shift_Roster!L$2,Evening_Shift!$B$2:$BJ$2,0),0),""),IFERROR(VLOOKUP($B98,Morning_Shift!$B$4:$BJ$61,MATCH(Both_Shift_Roster!L$2,Morning_Shift!$B$2:$BJ$2,0),0),""))</f>
        <v>14:30-22:00</v>
      </c>
      <c r="M98" s="2" t="str">
        <f>IF(IFERROR(VLOOKUP($B98,Morning_Shift!$B$4:$BJ$61,MATCH(Both_Shift_Roster!M$2,Morning_Shift!$B$2:$BJ$2,0),0),"")="",IFERROR(VLOOKUP($B98,Evening_Shift!$B$4:$BJ$62,MATCH(Both_Shift_Roster!M$2,Evening_Shift!$B$2:$BJ$2,0),0),""),IFERROR(VLOOKUP($B98,Morning_Shift!$B$4:$BJ$61,MATCH(Both_Shift_Roster!M$2,Morning_Shift!$B$2:$BJ$2,0),0),""))</f>
        <v>14:30-22:00</v>
      </c>
      <c r="N98" s="2">
        <f t="shared" si="41"/>
        <v>2</v>
      </c>
      <c r="O98" s="2">
        <f t="shared" si="42"/>
        <v>0</v>
      </c>
      <c r="P98" s="2">
        <f t="shared" si="43"/>
        <v>0</v>
      </c>
      <c r="Q98" s="2">
        <f t="shared" si="44"/>
        <v>0</v>
      </c>
      <c r="R98" s="2">
        <f t="shared" si="45"/>
        <v>0</v>
      </c>
      <c r="S98" s="2" t="str">
        <f>IF(IFERROR(VLOOKUP($B98,Morning_Shift!$B$4:$BJ$61,MATCH(Both_Shift_Roster!S$2,Morning_Shift!$B$2:$BJ$2,0),0),"")="",IFERROR(VLOOKUP($B98,Evening_Shift!$B$4:$BJ$62,MATCH(Both_Shift_Roster!S$2,Evening_Shift!$B$2:$BJ$2,0),0),""),IFERROR(VLOOKUP($B98,Morning_Shift!$B$4:$BJ$61,MATCH(Both_Shift_Roster!S$2,Morning_Shift!$B$2:$BJ$2,0),0),""))</f>
        <v>14:30-22:00</v>
      </c>
      <c r="T98" s="2" t="str">
        <f>IF(IFERROR(VLOOKUP($B98,Morning_Shift!$B$4:$BJ$61,MATCH(Both_Shift_Roster!T$2,Morning_Shift!$B$2:$BJ$2,0),0),"")="",IFERROR(VLOOKUP($B98,Evening_Shift!$B$4:$BJ$62,MATCH(Both_Shift_Roster!T$2,Evening_Shift!$B$2:$BJ$2,0),0),""),IFERROR(VLOOKUP($B98,Morning_Shift!$B$4:$BJ$61,MATCH(Both_Shift_Roster!T$2,Morning_Shift!$B$2:$BJ$2,0),0),""))</f>
        <v>14:30-22:00</v>
      </c>
      <c r="U98" s="2" t="str">
        <f>IF(IFERROR(VLOOKUP($B98,Morning_Shift!$B$4:$BJ$61,MATCH(Both_Shift_Roster!U$2,Morning_Shift!$B$2:$BJ$2,0),0),"")="",IFERROR(VLOOKUP($B98,Evening_Shift!$B$4:$BJ$62,MATCH(Both_Shift_Roster!U$2,Evening_Shift!$B$2:$BJ$2,0),0),""),IFERROR(VLOOKUP($B98,Morning_Shift!$B$4:$BJ$61,MATCH(Both_Shift_Roster!U$2,Morning_Shift!$B$2:$BJ$2,0),0),""))</f>
        <v>14:30-22:00</v>
      </c>
      <c r="V98" s="2" t="str">
        <f>IF(IFERROR(VLOOKUP($B98,Morning_Shift!$B$4:$BJ$61,MATCH(Both_Shift_Roster!V$2,Morning_Shift!$B$2:$BJ$2,0),0),"")="",IFERROR(VLOOKUP($B98,Evening_Shift!$B$4:$BJ$62,MATCH(Both_Shift_Roster!V$2,Evening_Shift!$B$2:$BJ$2,0),0),""),IFERROR(VLOOKUP($B98,Morning_Shift!$B$4:$BJ$61,MATCH(Both_Shift_Roster!V$2,Morning_Shift!$B$2:$BJ$2,0),0),""))</f>
        <v>14:30-22:00</v>
      </c>
      <c r="W98" s="2" t="str">
        <f>IF(IFERROR(VLOOKUP($B98,Morning_Shift!$B$4:$BJ$61,MATCH(Both_Shift_Roster!W$2,Morning_Shift!$B$2:$BJ$2,0),0),"")="",IFERROR(VLOOKUP($B98,Evening_Shift!$B$4:$BJ$62,MATCH(Both_Shift_Roster!W$2,Evening_Shift!$B$2:$BJ$2,0),0),""),IFERROR(VLOOKUP($B98,Morning_Shift!$B$4:$BJ$61,MATCH(Both_Shift_Roster!W$2,Morning_Shift!$B$2:$BJ$2,0),0),""))</f>
        <v>14:30-22:00</v>
      </c>
      <c r="X98" s="2" t="str">
        <f>IF(IFERROR(VLOOKUP($B98,Morning_Shift!$B$4:$BJ$61,MATCH(Both_Shift_Roster!X$2,Morning_Shift!$B$2:$BJ$2,0),0),"")="",IFERROR(VLOOKUP($B98,Evening_Shift!$B$4:$BJ$62,MATCH(Both_Shift_Roster!X$2,Evening_Shift!$B$2:$BJ$2,0),0),""),IFERROR(VLOOKUP($B98,Morning_Shift!$B$4:$BJ$61,MATCH(Both_Shift_Roster!X$2,Morning_Shift!$B$2:$BJ$2,0),0),""))</f>
        <v>14:30-22:00</v>
      </c>
      <c r="Y98" s="2" t="str">
        <f>IF(IFERROR(VLOOKUP($B98,Morning_Shift!$B$4:$BJ$61,MATCH(Both_Shift_Roster!Y$2,Morning_Shift!$B$2:$BJ$2,0),0),"")="",IFERROR(VLOOKUP($B98,Evening_Shift!$B$4:$BJ$62,MATCH(Both_Shift_Roster!Y$2,Evening_Shift!$B$2:$BJ$2,0),0),""),IFERROR(VLOOKUP($B98,Morning_Shift!$B$4:$BJ$61,MATCH(Both_Shift_Roster!Y$2,Morning_Shift!$B$2:$BJ$2,0),0),""))</f>
        <v>14:30-22:00</v>
      </c>
      <c r="Z98" s="2">
        <f t="shared" si="46"/>
        <v>0</v>
      </c>
      <c r="AA98" s="2">
        <f t="shared" si="47"/>
        <v>0</v>
      </c>
      <c r="AB98" s="2">
        <f t="shared" si="48"/>
        <v>0</v>
      </c>
      <c r="AC98" s="2">
        <f t="shared" si="49"/>
        <v>0</v>
      </c>
      <c r="AD98" s="2">
        <f t="shared" si="50"/>
        <v>0</v>
      </c>
      <c r="AE98" s="2" t="str">
        <f>IF(IFERROR(VLOOKUP($B98,Morning_Shift!$B$4:$BJ$61,MATCH(Both_Shift_Roster!AE$2,Morning_Shift!$B$2:$BJ$2,0),0),"")="",IFERROR(VLOOKUP($B98,Evening_Shift!$B$4:$BJ$62,MATCH(Both_Shift_Roster!AE$2,Evening_Shift!$B$2:$BJ$2,0),0),""),IFERROR(VLOOKUP($B98,Morning_Shift!$B$4:$BJ$61,MATCH(Both_Shift_Roster!AE$2,Morning_Shift!$B$2:$BJ$2,0),0),""))</f>
        <v>14:30-22:00</v>
      </c>
      <c r="AF98" s="2" t="str">
        <f>IF(IFERROR(VLOOKUP($B98,Morning_Shift!$B$4:$BJ$61,MATCH(Both_Shift_Roster!AF$2,Morning_Shift!$B$2:$BJ$2,0),0),"")="",IFERROR(VLOOKUP($B98,Evening_Shift!$B$4:$BJ$62,MATCH(Both_Shift_Roster!AF$2,Evening_Shift!$B$2:$BJ$2,0),0),""),IFERROR(VLOOKUP($B98,Morning_Shift!$B$4:$BJ$61,MATCH(Both_Shift_Roster!AF$2,Morning_Shift!$B$2:$BJ$2,0),0),""))</f>
        <v>14:30-22:00</v>
      </c>
      <c r="AG98" s="2" t="str">
        <f>IF(IFERROR(VLOOKUP($B98,Morning_Shift!$B$4:$BJ$61,MATCH(Both_Shift_Roster!AG$2,Morning_Shift!$B$2:$BJ$2,0),0),"")="",IFERROR(VLOOKUP($B98,Evening_Shift!$B$4:$BJ$62,MATCH(Both_Shift_Roster!AG$2,Evening_Shift!$B$2:$BJ$2,0),0),""),IFERROR(VLOOKUP($B98,Morning_Shift!$B$4:$BJ$61,MATCH(Both_Shift_Roster!AG$2,Morning_Shift!$B$2:$BJ$2,0),0),""))</f>
        <v>14:30-22:00</v>
      </c>
      <c r="AH98" s="2" t="str">
        <f>IF(IFERROR(VLOOKUP($B98,Morning_Shift!$B$4:$BJ$61,MATCH(Both_Shift_Roster!AH$2,Morning_Shift!$B$2:$BJ$2,0),0),"")="",IFERROR(VLOOKUP($B98,Evening_Shift!$B$4:$BJ$62,MATCH(Both_Shift_Roster!AH$2,Evening_Shift!$B$2:$BJ$2,0),0),""),IFERROR(VLOOKUP($B98,Morning_Shift!$B$4:$BJ$61,MATCH(Both_Shift_Roster!AH$2,Morning_Shift!$B$2:$BJ$2,0),0),""))</f>
        <v>14:30-22:00</v>
      </c>
      <c r="AI98" s="2" t="str">
        <f>IF(IFERROR(VLOOKUP($B98,Morning_Shift!$B$4:$BJ$61,MATCH(Both_Shift_Roster!AI$2,Morning_Shift!$B$2:$BJ$2,0),0),"")="",IFERROR(VLOOKUP($B98,Evening_Shift!$B$4:$BJ$62,MATCH(Both_Shift_Roster!AI$2,Evening_Shift!$B$2:$BJ$2,0),0),""),IFERROR(VLOOKUP($B98,Morning_Shift!$B$4:$BJ$61,MATCH(Both_Shift_Roster!AI$2,Morning_Shift!$B$2:$BJ$2,0),0),""))</f>
        <v>14:30-22:00</v>
      </c>
      <c r="AJ98" s="2" t="str">
        <f>IF(IFERROR(VLOOKUP($B98,Morning_Shift!$B$4:$BJ$61,MATCH(Both_Shift_Roster!AJ$2,Morning_Shift!$B$2:$BJ$2,0),0),"")="",IFERROR(VLOOKUP($B98,Evening_Shift!$B$4:$BJ$62,MATCH(Both_Shift_Roster!AJ$2,Evening_Shift!$B$2:$BJ$2,0),0),""),IFERROR(VLOOKUP($B98,Morning_Shift!$B$4:$BJ$61,MATCH(Both_Shift_Roster!AJ$2,Morning_Shift!$B$2:$BJ$2,0),0),""))</f>
        <v>14:30-22:00</v>
      </c>
      <c r="AK98" s="2" t="str">
        <f>IF(IFERROR(VLOOKUP($B98,Morning_Shift!$B$4:$BJ$61,MATCH(Both_Shift_Roster!AK$2,Morning_Shift!$B$2:$BJ$2,0),0),"")="",IFERROR(VLOOKUP($B98,Evening_Shift!$B$4:$BJ$62,MATCH(Both_Shift_Roster!AK$2,Evening_Shift!$B$2:$BJ$2,0),0),""),IFERROR(VLOOKUP($B98,Morning_Shift!$B$4:$BJ$61,MATCH(Both_Shift_Roster!AK$2,Morning_Shift!$B$2:$BJ$2,0),0),""))</f>
        <v>14:30-22:00</v>
      </c>
      <c r="AL98" s="2">
        <f t="shared" si="51"/>
        <v>0</v>
      </c>
      <c r="AM98" s="2">
        <f t="shared" si="52"/>
        <v>0</v>
      </c>
      <c r="AN98" s="2">
        <f t="shared" si="53"/>
        <v>0</v>
      </c>
      <c r="AO98" s="2">
        <f t="shared" si="54"/>
        <v>0</v>
      </c>
      <c r="AP98" s="2">
        <f t="shared" si="55"/>
        <v>0</v>
      </c>
      <c r="AQ98" s="2" t="str">
        <f>IF(IFERROR(VLOOKUP($B98,Morning_Shift!$B$4:$BJ$61,MATCH(Both_Shift_Roster!AQ$2,Morning_Shift!$B$2:$BJ$2,0),0),"")="",IFERROR(VLOOKUP($B98,Evening_Shift!$B$4:$BJ$62,MATCH(Both_Shift_Roster!AQ$2,Evening_Shift!$B$2:$BJ$2,0),0),""),IFERROR(VLOOKUP($B98,Morning_Shift!$B$4:$BJ$61,MATCH(Both_Shift_Roster!AQ$2,Morning_Shift!$B$2:$BJ$2,0),0),""))</f>
        <v>Agent Choice WO</v>
      </c>
      <c r="AR98" s="2" t="str">
        <f>IF(IFERROR(VLOOKUP($B98,Morning_Shift!$B$4:$BJ$61,MATCH(Both_Shift_Roster!AR$2,Morning_Shift!$B$2:$BJ$2,0),0),"")="",IFERROR(VLOOKUP($B98,Evening_Shift!$B$4:$BJ$62,MATCH(Both_Shift_Roster!AR$2,Evening_Shift!$B$2:$BJ$2,0),0),""),IFERROR(VLOOKUP($B98,Morning_Shift!$B$4:$BJ$61,MATCH(Both_Shift_Roster!AR$2,Morning_Shift!$B$2:$BJ$2,0),0),""))</f>
        <v>Agent Choice WO</v>
      </c>
      <c r="AS98" s="2" t="str">
        <f>IF(IFERROR(VLOOKUP($B98,Morning_Shift!$B$4:$BJ$61,MATCH(Both_Shift_Roster!AS$2,Morning_Shift!$B$2:$BJ$2,0),0),"")="",IFERROR(VLOOKUP($B98,Evening_Shift!$B$4:$BJ$62,MATCH(Both_Shift_Roster!AS$2,Evening_Shift!$B$2:$BJ$2,0),0),""),IFERROR(VLOOKUP($B98,Morning_Shift!$B$4:$BJ$61,MATCH(Both_Shift_Roster!AS$2,Morning_Shift!$B$2:$BJ$2,0),0),""))</f>
        <v>14:30-22:00</v>
      </c>
      <c r="AT98" s="2" t="str">
        <f>IF(IFERROR(VLOOKUP($B98,Morning_Shift!$B$4:$BJ$61,MATCH(Both_Shift_Roster!AT$2,Morning_Shift!$B$2:$BJ$2,0),0),"")="",IFERROR(VLOOKUP($B98,Evening_Shift!$B$4:$BJ$62,MATCH(Both_Shift_Roster!AT$2,Evening_Shift!$B$2:$BJ$2,0),0),""),IFERROR(VLOOKUP($B98,Morning_Shift!$B$4:$BJ$61,MATCH(Both_Shift_Roster!AT$2,Morning_Shift!$B$2:$BJ$2,0),0),""))</f>
        <v>14:30-22:00</v>
      </c>
      <c r="AU98" s="2" t="str">
        <f>IF(IFERROR(VLOOKUP($B98,Morning_Shift!$B$4:$BJ$61,MATCH(Both_Shift_Roster!AU$2,Morning_Shift!$B$2:$BJ$2,0),0),"")="",IFERROR(VLOOKUP($B98,Evening_Shift!$B$4:$BJ$62,MATCH(Both_Shift_Roster!AU$2,Evening_Shift!$B$2:$BJ$2,0),0),""),IFERROR(VLOOKUP($B98,Morning_Shift!$B$4:$BJ$61,MATCH(Both_Shift_Roster!AU$2,Morning_Shift!$B$2:$BJ$2,0),0),""))</f>
        <v>14:30-22:00</v>
      </c>
      <c r="AV98" s="2" t="str">
        <f>IF(IFERROR(VLOOKUP($B98,Morning_Shift!$B$4:$BJ$61,MATCH(Both_Shift_Roster!AV$2,Morning_Shift!$B$2:$BJ$2,0),0),"")="",IFERROR(VLOOKUP($B98,Evening_Shift!$B$4:$BJ$62,MATCH(Both_Shift_Roster!AV$2,Evening_Shift!$B$2:$BJ$2,0),0),""),IFERROR(VLOOKUP($B98,Morning_Shift!$B$4:$BJ$61,MATCH(Both_Shift_Roster!AV$2,Morning_Shift!$B$2:$BJ$2,0),0),""))</f>
        <v>14:30-22:00</v>
      </c>
      <c r="AW98" s="2" t="str">
        <f>IF(IFERROR(VLOOKUP($B98,Morning_Shift!$B$4:$BJ$61,MATCH(Both_Shift_Roster!AW$2,Morning_Shift!$B$2:$BJ$2,0),0),"")="",IFERROR(VLOOKUP($B98,Evening_Shift!$B$4:$BJ$62,MATCH(Both_Shift_Roster!AW$2,Evening_Shift!$B$2:$BJ$2,0),0),""),IFERROR(VLOOKUP($B98,Morning_Shift!$B$4:$BJ$61,MATCH(Both_Shift_Roster!AW$2,Morning_Shift!$B$2:$BJ$2,0),0),""))</f>
        <v>14:30-22:00</v>
      </c>
      <c r="AX98" s="2">
        <f t="shared" si="56"/>
        <v>2</v>
      </c>
      <c r="AY98" s="2">
        <f t="shared" si="57"/>
        <v>0</v>
      </c>
      <c r="AZ98" s="2">
        <f t="shared" si="58"/>
        <v>0</v>
      </c>
      <c r="BA98" s="2">
        <f t="shared" si="59"/>
        <v>0</v>
      </c>
      <c r="BB98" s="2">
        <f t="shared" si="60"/>
        <v>0</v>
      </c>
      <c r="BC98" s="2" t="str">
        <f>IF(IFERROR(VLOOKUP($B98,Morning_Shift!$B$4:$BJ$61,MATCH(Both_Shift_Roster!BC$2,Morning_Shift!$B$2:$BJ$2,0),0),"")="",IFERROR(VLOOKUP($B98,Evening_Shift!$B$4:$BJ$62,MATCH(Both_Shift_Roster!BC$2,Evening_Shift!$B$2:$BJ$2,0),0),""),IFERROR(VLOOKUP($B98,Morning_Shift!$B$4:$BJ$61,MATCH(Both_Shift_Roster!BC$2,Morning_Shift!$B$2:$BJ$2,0),0),""))</f>
        <v>14:30-22:00</v>
      </c>
      <c r="BD98" s="2" t="str">
        <f>IF(IFERROR(VLOOKUP($B98,Morning_Shift!$B$4:$BJ$61,MATCH(Both_Shift_Roster!BD$2,Morning_Shift!$B$2:$BJ$2,0),0),"")="",IFERROR(VLOOKUP($B98,Evening_Shift!$B$4:$BJ$62,MATCH(Both_Shift_Roster!BD$2,Evening_Shift!$B$2:$BJ$2,0),0),""),IFERROR(VLOOKUP($B98,Morning_Shift!$B$4:$BJ$61,MATCH(Both_Shift_Roster!BD$2,Morning_Shift!$B$2:$BJ$2,0),0),""))</f>
        <v>14:30-22:00</v>
      </c>
      <c r="BE98" s="2" t="str">
        <f>IF(IFERROR(VLOOKUP($B98,Morning_Shift!$B$4:$BJ$61,MATCH(Both_Shift_Roster!BE$2,Morning_Shift!$B$2:$BJ$2,0),0),"")="",IFERROR(VLOOKUP($B98,Evening_Shift!$B$4:$BJ$59,MATCH(Both_Shift_Roster!BE$2,Evening_Shift!$B$2:$BJ$2,0),0),""),IFERROR(VLOOKUP($B98,Morning_Shift!$B$4:$BJ$61,MATCH(Both_Shift_Roster!BE$2,Morning_Shift!$B$2:$BJ$2,0),0),""))</f>
        <v>14:30-22:00</v>
      </c>
      <c r="BF98" s="2">
        <f t="shared" si="61"/>
        <v>0</v>
      </c>
      <c r="BG98" s="2">
        <f t="shared" si="62"/>
        <v>0</v>
      </c>
      <c r="BH98" s="2">
        <f t="shared" si="63"/>
        <v>0</v>
      </c>
      <c r="BI98" s="2">
        <f t="shared" si="64"/>
        <v>0</v>
      </c>
      <c r="BJ98" s="2">
        <f t="shared" si="65"/>
        <v>0</v>
      </c>
    </row>
    <row r="99" spans="1:62">
      <c r="A99" s="17">
        <f t="shared" si="66"/>
        <v>96</v>
      </c>
      <c r="B99" s="16" t="str">
        <f>Evening_Shift!$B41</f>
        <v>Dritm144</v>
      </c>
      <c r="C99" s="21" t="str">
        <f>IF(IFERROR(VLOOKUP(B99,Morning_Shift!B:C,2,0),"")="",IFERROR(VLOOKUP(B99,Evening_Shift!B:C,2,0),""),IFERROR(VLOOKUP(B99,Morning_Shift!B:C,2,0),""))</f>
        <v>Karuna Devi</v>
      </c>
      <c r="D99" s="15" t="str">
        <f>IF(IFERROR(VLOOKUP(B99,Morning_Shift!B:D,3,0),"")="",IFERROR(VLOOKUP(B99,Evening_Shift!B:D,3,0),""),IFERROR(VLOOKUP(B99,Morning_Shift!B:D,3,0),""))</f>
        <v xml:space="preserve">Sanjesh </v>
      </c>
      <c r="E99" s="4" t="str">
        <f>IF(IFERROR(VLOOKUP(B99,Morning_Shift!B:E,4,0),"")="",IFERROR(VLOOKUP(B99,Evening_Shift!B:E,4,0),""),IFERROR(VLOOKUP(B99,Morning_Shift!B:E,4,0),""))</f>
        <v>F</v>
      </c>
      <c r="F99" s="5" t="str">
        <f>IF(IFERROR(VLOOKUP(B99,Morning_Shift!B:F,5,0),"")="",IFERROR(VLOOKUP(B99,Evening_Shift!B:F,5,0),""),IFERROR(VLOOKUP(B99,Morning_Shift!B:F,5,0),""))</f>
        <v>Inbound</v>
      </c>
      <c r="G99" s="2" t="str">
        <f>IF(IFERROR(VLOOKUP($B99,Morning_Shift!$B$4:$BJ$61,MATCH(Both_Shift_Roster!G$2,Morning_Shift!$B$2:$BJ$2,0),0),"")="",IFERROR(VLOOKUP($B99,Evening_Shift!$B$4:$BJ$62,MATCH(Both_Shift_Roster!G$2,Evening_Shift!$B$2:$BJ$2,0),0),""),IFERROR(VLOOKUP($B99,Morning_Shift!$B$4:$BJ$61,MATCH(Both_Shift_Roster!G$2,Morning_Shift!$B$2:$BJ$2,0),0),""))</f>
        <v>14:30-22:00</v>
      </c>
      <c r="H99" s="2" t="str">
        <f>IF(IFERROR(VLOOKUP($B99,Morning_Shift!$B$4:$BJ$61,MATCH(Both_Shift_Roster!H$2,Morning_Shift!$B$2:$BJ$2,0),0),"")="",IFERROR(VLOOKUP($B99,Evening_Shift!$B$4:$BJ$62,MATCH(Both_Shift_Roster!H$2,Evening_Shift!$B$2:$BJ$2,0),0),""),IFERROR(VLOOKUP($B99,Morning_Shift!$B$4:$BJ$61,MATCH(Both_Shift_Roster!H$2,Morning_Shift!$B$2:$BJ$2,0),0),""))</f>
        <v>14:30-22:00</v>
      </c>
      <c r="I99" s="2" t="str">
        <f>IF(IFERROR(VLOOKUP($B99,Morning_Shift!$B$4:$BJ$61,MATCH(Both_Shift_Roster!I$2,Morning_Shift!$B$2:$BJ$2,0),0),"")="",IFERROR(VLOOKUP($B99,Evening_Shift!$B$4:$BJ$62,MATCH(Both_Shift_Roster!I$2,Evening_Shift!$B$2:$BJ$2,0),0),""),IFERROR(VLOOKUP($B99,Morning_Shift!$B$4:$BJ$61,MATCH(Both_Shift_Roster!I$2,Morning_Shift!$B$2:$BJ$2,0),0),""))</f>
        <v>14:30-22:00</v>
      </c>
      <c r="J99" s="2" t="str">
        <f>IF(IFERROR(VLOOKUP($B99,Morning_Shift!$B$4:$BJ$61,MATCH(Both_Shift_Roster!J$2,Morning_Shift!$B$2:$BJ$2,0),0),"")="",IFERROR(VLOOKUP($B99,Evening_Shift!$B$4:$BJ$62,MATCH(Both_Shift_Roster!J$2,Evening_Shift!$B$2:$BJ$2,0),0),""),IFERROR(VLOOKUP($B99,Morning_Shift!$B$4:$BJ$61,MATCH(Both_Shift_Roster!J$2,Morning_Shift!$B$2:$BJ$2,0),0),""))</f>
        <v>14:30-22:00</v>
      </c>
      <c r="K99" s="2" t="str">
        <f>IF(IFERROR(VLOOKUP($B99,Morning_Shift!$B$4:$BJ$61,MATCH(Both_Shift_Roster!K$2,Morning_Shift!$B$2:$BJ$2,0),0),"")="",IFERROR(VLOOKUP($B99,Evening_Shift!$B$4:$BJ$62,MATCH(Both_Shift_Roster!K$2,Evening_Shift!$B$2:$BJ$2,0),0),""),IFERROR(VLOOKUP($B99,Morning_Shift!$B$4:$BJ$61,MATCH(Both_Shift_Roster!K$2,Morning_Shift!$B$2:$BJ$2,0),0),""))</f>
        <v>Agent Choice WO</v>
      </c>
      <c r="L99" s="2" t="str">
        <f>IF(IFERROR(VLOOKUP($B99,Morning_Shift!$B$4:$BJ$61,MATCH(Both_Shift_Roster!L$2,Morning_Shift!$B$2:$BJ$2,0),0),"")="",IFERROR(VLOOKUP($B99,Evening_Shift!$B$4:$BJ$62,MATCH(Both_Shift_Roster!L$2,Evening_Shift!$B$2:$BJ$2,0),0),""),IFERROR(VLOOKUP($B99,Morning_Shift!$B$4:$BJ$61,MATCH(Both_Shift_Roster!L$2,Morning_Shift!$B$2:$BJ$2,0),0),""))</f>
        <v>14:30-22:00</v>
      </c>
      <c r="M99" s="2" t="str">
        <f>IF(IFERROR(VLOOKUP($B99,Morning_Shift!$B$4:$BJ$61,MATCH(Both_Shift_Roster!M$2,Morning_Shift!$B$2:$BJ$2,0),0),"")="",IFERROR(VLOOKUP($B99,Evening_Shift!$B$4:$BJ$62,MATCH(Both_Shift_Roster!M$2,Evening_Shift!$B$2:$BJ$2,0),0),""),IFERROR(VLOOKUP($B99,Morning_Shift!$B$4:$BJ$61,MATCH(Both_Shift_Roster!M$2,Morning_Shift!$B$2:$BJ$2,0),0),""))</f>
        <v>14:30-22:00</v>
      </c>
      <c r="N99" s="2">
        <f t="shared" si="41"/>
        <v>1</v>
      </c>
      <c r="O99" s="2">
        <f t="shared" si="42"/>
        <v>0</v>
      </c>
      <c r="P99" s="2">
        <f t="shared" si="43"/>
        <v>0</v>
      </c>
      <c r="Q99" s="2">
        <f t="shared" si="44"/>
        <v>0</v>
      </c>
      <c r="R99" s="2">
        <f t="shared" si="45"/>
        <v>0</v>
      </c>
      <c r="S99" s="2" t="str">
        <f>IF(IFERROR(VLOOKUP($B99,Morning_Shift!$B$4:$BJ$61,MATCH(Both_Shift_Roster!S$2,Morning_Shift!$B$2:$BJ$2,0),0),"")="",IFERROR(VLOOKUP($B99,Evening_Shift!$B$4:$BJ$62,MATCH(Both_Shift_Roster!S$2,Evening_Shift!$B$2:$BJ$2,0),0),""),IFERROR(VLOOKUP($B99,Morning_Shift!$B$4:$BJ$61,MATCH(Both_Shift_Roster!S$2,Morning_Shift!$B$2:$BJ$2,0),0),""))</f>
        <v>14:30-22:00</v>
      </c>
      <c r="T99" s="2" t="str">
        <f>IF(IFERROR(VLOOKUP($B99,Morning_Shift!$B$4:$BJ$61,MATCH(Both_Shift_Roster!T$2,Morning_Shift!$B$2:$BJ$2,0),0),"")="",IFERROR(VLOOKUP($B99,Evening_Shift!$B$4:$BJ$62,MATCH(Both_Shift_Roster!T$2,Evening_Shift!$B$2:$BJ$2,0),0),""),IFERROR(VLOOKUP($B99,Morning_Shift!$B$4:$BJ$61,MATCH(Both_Shift_Roster!T$2,Morning_Shift!$B$2:$BJ$2,0),0),""))</f>
        <v>14:30-22:00</v>
      </c>
      <c r="U99" s="2" t="str">
        <f>IF(IFERROR(VLOOKUP($B99,Morning_Shift!$B$4:$BJ$61,MATCH(Both_Shift_Roster!U$2,Morning_Shift!$B$2:$BJ$2,0),0),"")="",IFERROR(VLOOKUP($B99,Evening_Shift!$B$4:$BJ$62,MATCH(Both_Shift_Roster!U$2,Evening_Shift!$B$2:$BJ$2,0),0),""),IFERROR(VLOOKUP($B99,Morning_Shift!$B$4:$BJ$61,MATCH(Both_Shift_Roster!U$2,Morning_Shift!$B$2:$BJ$2,0),0),""))</f>
        <v>14:30-22:00</v>
      </c>
      <c r="V99" s="2" t="str">
        <f>IF(IFERROR(VLOOKUP($B99,Morning_Shift!$B$4:$BJ$61,MATCH(Both_Shift_Roster!V$2,Morning_Shift!$B$2:$BJ$2,0),0),"")="",IFERROR(VLOOKUP($B99,Evening_Shift!$B$4:$BJ$62,MATCH(Both_Shift_Roster!V$2,Evening_Shift!$B$2:$BJ$2,0),0),""),IFERROR(VLOOKUP($B99,Morning_Shift!$B$4:$BJ$61,MATCH(Both_Shift_Roster!V$2,Morning_Shift!$B$2:$BJ$2,0),0),""))</f>
        <v>14:30-22:00</v>
      </c>
      <c r="W99" s="2" t="str">
        <f>IF(IFERROR(VLOOKUP($B99,Morning_Shift!$B$4:$BJ$61,MATCH(Both_Shift_Roster!W$2,Morning_Shift!$B$2:$BJ$2,0),0),"")="",IFERROR(VLOOKUP($B99,Evening_Shift!$B$4:$BJ$62,MATCH(Both_Shift_Roster!W$2,Evening_Shift!$B$2:$BJ$2,0),0),""),IFERROR(VLOOKUP($B99,Morning_Shift!$B$4:$BJ$61,MATCH(Both_Shift_Roster!W$2,Morning_Shift!$B$2:$BJ$2,0),0),""))</f>
        <v>14:30-22:00</v>
      </c>
      <c r="X99" s="2" t="str">
        <f>IF(IFERROR(VLOOKUP($B99,Morning_Shift!$B$4:$BJ$61,MATCH(Both_Shift_Roster!X$2,Morning_Shift!$B$2:$BJ$2,0),0),"")="",IFERROR(VLOOKUP($B99,Evening_Shift!$B$4:$BJ$62,MATCH(Both_Shift_Roster!X$2,Evening_Shift!$B$2:$BJ$2,0),0),""),IFERROR(VLOOKUP($B99,Morning_Shift!$B$4:$BJ$61,MATCH(Both_Shift_Roster!X$2,Morning_Shift!$B$2:$BJ$2,0),0),""))</f>
        <v>14:30-22:00</v>
      </c>
      <c r="Y99" s="2" t="str">
        <f>IF(IFERROR(VLOOKUP($B99,Morning_Shift!$B$4:$BJ$61,MATCH(Both_Shift_Roster!Y$2,Morning_Shift!$B$2:$BJ$2,0),0),"")="",IFERROR(VLOOKUP($B99,Evening_Shift!$B$4:$BJ$62,MATCH(Both_Shift_Roster!Y$2,Evening_Shift!$B$2:$BJ$2,0),0),""),IFERROR(VLOOKUP($B99,Morning_Shift!$B$4:$BJ$61,MATCH(Both_Shift_Roster!Y$2,Morning_Shift!$B$2:$BJ$2,0),0),""))</f>
        <v>Agent Choice WO</v>
      </c>
      <c r="Z99" s="2">
        <f t="shared" si="46"/>
        <v>1</v>
      </c>
      <c r="AA99" s="2">
        <f t="shared" si="47"/>
        <v>0</v>
      </c>
      <c r="AB99" s="2">
        <f t="shared" si="48"/>
        <v>0</v>
      </c>
      <c r="AC99" s="2">
        <f t="shared" si="49"/>
        <v>0</v>
      </c>
      <c r="AD99" s="2">
        <f t="shared" si="50"/>
        <v>0</v>
      </c>
      <c r="AE99" s="2" t="str">
        <f>IF(IFERROR(VLOOKUP($B99,Morning_Shift!$B$4:$BJ$61,MATCH(Both_Shift_Roster!AE$2,Morning_Shift!$B$2:$BJ$2,0),0),"")="",IFERROR(VLOOKUP($B99,Evening_Shift!$B$4:$BJ$62,MATCH(Both_Shift_Roster!AE$2,Evening_Shift!$B$2:$BJ$2,0),0),""),IFERROR(VLOOKUP($B99,Morning_Shift!$B$4:$BJ$61,MATCH(Both_Shift_Roster!AE$2,Morning_Shift!$B$2:$BJ$2,0),0),""))</f>
        <v>14:30-22:00</v>
      </c>
      <c r="AF99" s="2" t="str">
        <f>IF(IFERROR(VLOOKUP($B99,Morning_Shift!$B$4:$BJ$61,MATCH(Both_Shift_Roster!AF$2,Morning_Shift!$B$2:$BJ$2,0),0),"")="",IFERROR(VLOOKUP($B99,Evening_Shift!$B$4:$BJ$62,MATCH(Both_Shift_Roster!AF$2,Evening_Shift!$B$2:$BJ$2,0),0),""),IFERROR(VLOOKUP($B99,Morning_Shift!$B$4:$BJ$61,MATCH(Both_Shift_Roster!AF$2,Morning_Shift!$B$2:$BJ$2,0),0),""))</f>
        <v>14:30-22:00</v>
      </c>
      <c r="AG99" s="2" t="str">
        <f>IF(IFERROR(VLOOKUP($B99,Morning_Shift!$B$4:$BJ$61,MATCH(Both_Shift_Roster!AG$2,Morning_Shift!$B$2:$BJ$2,0),0),"")="",IFERROR(VLOOKUP($B99,Evening_Shift!$B$4:$BJ$62,MATCH(Both_Shift_Roster!AG$2,Evening_Shift!$B$2:$BJ$2,0),0),""),IFERROR(VLOOKUP($B99,Morning_Shift!$B$4:$BJ$61,MATCH(Both_Shift_Roster!AG$2,Morning_Shift!$B$2:$BJ$2,0),0),""))</f>
        <v>14:30-22:00</v>
      </c>
      <c r="AH99" s="2" t="str">
        <f>IF(IFERROR(VLOOKUP($B99,Morning_Shift!$B$4:$BJ$61,MATCH(Both_Shift_Roster!AH$2,Morning_Shift!$B$2:$BJ$2,0),0),"")="",IFERROR(VLOOKUP($B99,Evening_Shift!$B$4:$BJ$62,MATCH(Both_Shift_Roster!AH$2,Evening_Shift!$B$2:$BJ$2,0),0),""),IFERROR(VLOOKUP($B99,Morning_Shift!$B$4:$BJ$61,MATCH(Both_Shift_Roster!AH$2,Morning_Shift!$B$2:$BJ$2,0),0),""))</f>
        <v>14:30-22:00</v>
      </c>
      <c r="AI99" s="2" t="str">
        <f>IF(IFERROR(VLOOKUP($B99,Morning_Shift!$B$4:$BJ$61,MATCH(Both_Shift_Roster!AI$2,Morning_Shift!$B$2:$BJ$2,0),0),"")="",IFERROR(VLOOKUP($B99,Evening_Shift!$B$4:$BJ$62,MATCH(Both_Shift_Roster!AI$2,Evening_Shift!$B$2:$BJ$2,0),0),""),IFERROR(VLOOKUP($B99,Morning_Shift!$B$4:$BJ$61,MATCH(Both_Shift_Roster!AI$2,Morning_Shift!$B$2:$BJ$2,0),0),""))</f>
        <v>Agent Choice WO</v>
      </c>
      <c r="AJ99" s="2" t="str">
        <f>IF(IFERROR(VLOOKUP($B99,Morning_Shift!$B$4:$BJ$61,MATCH(Both_Shift_Roster!AJ$2,Morning_Shift!$B$2:$BJ$2,0),0),"")="",IFERROR(VLOOKUP($B99,Evening_Shift!$B$4:$BJ$62,MATCH(Both_Shift_Roster!AJ$2,Evening_Shift!$B$2:$BJ$2,0),0),""),IFERROR(VLOOKUP($B99,Morning_Shift!$B$4:$BJ$61,MATCH(Both_Shift_Roster!AJ$2,Morning_Shift!$B$2:$BJ$2,0),0),""))</f>
        <v>14:30-22:00</v>
      </c>
      <c r="AK99" s="2" t="str">
        <f>IF(IFERROR(VLOOKUP($B99,Morning_Shift!$B$4:$BJ$61,MATCH(Both_Shift_Roster!AK$2,Morning_Shift!$B$2:$BJ$2,0),0),"")="",IFERROR(VLOOKUP($B99,Evening_Shift!$B$4:$BJ$62,MATCH(Both_Shift_Roster!AK$2,Evening_Shift!$B$2:$BJ$2,0),0),""),IFERROR(VLOOKUP($B99,Morning_Shift!$B$4:$BJ$61,MATCH(Both_Shift_Roster!AK$2,Morning_Shift!$B$2:$BJ$2,0),0),""))</f>
        <v>14:30-22:00</v>
      </c>
      <c r="AL99" s="2">
        <f t="shared" si="51"/>
        <v>1</v>
      </c>
      <c r="AM99" s="2">
        <f t="shared" si="52"/>
        <v>0</v>
      </c>
      <c r="AN99" s="2">
        <f t="shared" si="53"/>
        <v>0</v>
      </c>
      <c r="AO99" s="2">
        <f t="shared" si="54"/>
        <v>0</v>
      </c>
      <c r="AP99" s="2">
        <f t="shared" si="55"/>
        <v>0</v>
      </c>
      <c r="AQ99" s="2" t="str">
        <f>IF(IFERROR(VLOOKUP($B99,Morning_Shift!$B$4:$BJ$61,MATCH(Both_Shift_Roster!AQ$2,Morning_Shift!$B$2:$BJ$2,0),0),"")="",IFERROR(VLOOKUP($B99,Evening_Shift!$B$4:$BJ$62,MATCH(Both_Shift_Roster!AQ$2,Evening_Shift!$B$2:$BJ$2,0),0),""),IFERROR(VLOOKUP($B99,Morning_Shift!$B$4:$BJ$61,MATCH(Both_Shift_Roster!AQ$2,Morning_Shift!$B$2:$BJ$2,0),0),""))</f>
        <v>14:30-22:00</v>
      </c>
      <c r="AR99" s="2" t="str">
        <f>IF(IFERROR(VLOOKUP($B99,Morning_Shift!$B$4:$BJ$61,MATCH(Both_Shift_Roster!AR$2,Morning_Shift!$B$2:$BJ$2,0),0),"")="",IFERROR(VLOOKUP($B99,Evening_Shift!$B$4:$BJ$62,MATCH(Both_Shift_Roster!AR$2,Evening_Shift!$B$2:$BJ$2,0),0),""),IFERROR(VLOOKUP($B99,Morning_Shift!$B$4:$BJ$61,MATCH(Both_Shift_Roster!AR$2,Morning_Shift!$B$2:$BJ$2,0),0),""))</f>
        <v>14:30-22:00</v>
      </c>
      <c r="AS99" s="2" t="str">
        <f>IF(IFERROR(VLOOKUP($B99,Morning_Shift!$B$4:$BJ$61,MATCH(Both_Shift_Roster!AS$2,Morning_Shift!$B$2:$BJ$2,0),0),"")="",IFERROR(VLOOKUP($B99,Evening_Shift!$B$4:$BJ$62,MATCH(Both_Shift_Roster!AS$2,Evening_Shift!$B$2:$BJ$2,0),0),""),IFERROR(VLOOKUP($B99,Morning_Shift!$B$4:$BJ$61,MATCH(Both_Shift_Roster!AS$2,Morning_Shift!$B$2:$BJ$2,0),0),""))</f>
        <v>14:30-22:00</v>
      </c>
      <c r="AT99" s="2" t="str">
        <f>IF(IFERROR(VLOOKUP($B99,Morning_Shift!$B$4:$BJ$61,MATCH(Both_Shift_Roster!AT$2,Morning_Shift!$B$2:$BJ$2,0),0),"")="",IFERROR(VLOOKUP($B99,Evening_Shift!$B$4:$BJ$62,MATCH(Both_Shift_Roster!AT$2,Evening_Shift!$B$2:$BJ$2,0),0),""),IFERROR(VLOOKUP($B99,Morning_Shift!$B$4:$BJ$61,MATCH(Both_Shift_Roster!AT$2,Morning_Shift!$B$2:$BJ$2,0),0),""))</f>
        <v>14:30-22:00</v>
      </c>
      <c r="AU99" s="2" t="str">
        <f>IF(IFERROR(VLOOKUP($B99,Morning_Shift!$B$4:$BJ$61,MATCH(Both_Shift_Roster!AU$2,Morning_Shift!$B$2:$BJ$2,0),0),"")="",IFERROR(VLOOKUP($B99,Evening_Shift!$B$4:$BJ$62,MATCH(Both_Shift_Roster!AU$2,Evening_Shift!$B$2:$BJ$2,0),0),""),IFERROR(VLOOKUP($B99,Morning_Shift!$B$4:$BJ$61,MATCH(Both_Shift_Roster!AU$2,Morning_Shift!$B$2:$BJ$2,0),0),""))</f>
        <v>Agent Choice WO</v>
      </c>
      <c r="AV99" s="2" t="str">
        <f>IF(IFERROR(VLOOKUP($B99,Morning_Shift!$B$4:$BJ$61,MATCH(Both_Shift_Roster!AV$2,Morning_Shift!$B$2:$BJ$2,0),0),"")="",IFERROR(VLOOKUP($B99,Evening_Shift!$B$4:$BJ$62,MATCH(Both_Shift_Roster!AV$2,Evening_Shift!$B$2:$BJ$2,0),0),""),IFERROR(VLOOKUP($B99,Morning_Shift!$B$4:$BJ$61,MATCH(Both_Shift_Roster!AV$2,Morning_Shift!$B$2:$BJ$2,0),0),""))</f>
        <v>14:30-22:00</v>
      </c>
      <c r="AW99" s="2" t="str">
        <f>IF(IFERROR(VLOOKUP($B99,Morning_Shift!$B$4:$BJ$61,MATCH(Both_Shift_Roster!AW$2,Morning_Shift!$B$2:$BJ$2,0),0),"")="",IFERROR(VLOOKUP($B99,Evening_Shift!$B$4:$BJ$62,MATCH(Both_Shift_Roster!AW$2,Evening_Shift!$B$2:$BJ$2,0),0),""),IFERROR(VLOOKUP($B99,Morning_Shift!$B$4:$BJ$61,MATCH(Both_Shift_Roster!AW$2,Morning_Shift!$B$2:$BJ$2,0),0),""))</f>
        <v>14:30-22:00</v>
      </c>
      <c r="AX99" s="2">
        <f t="shared" si="56"/>
        <v>1</v>
      </c>
      <c r="AY99" s="2">
        <f t="shared" si="57"/>
        <v>0</v>
      </c>
      <c r="AZ99" s="2">
        <f t="shared" si="58"/>
        <v>0</v>
      </c>
      <c r="BA99" s="2">
        <f t="shared" si="59"/>
        <v>0</v>
      </c>
      <c r="BB99" s="2">
        <f t="shared" si="60"/>
        <v>0</v>
      </c>
      <c r="BC99" s="2" t="str">
        <f>IF(IFERROR(VLOOKUP($B99,Morning_Shift!$B$4:$BJ$61,MATCH(Both_Shift_Roster!BC$2,Morning_Shift!$B$2:$BJ$2,0),0),"")="",IFERROR(VLOOKUP($B99,Evening_Shift!$B$4:$BJ$62,MATCH(Both_Shift_Roster!BC$2,Evening_Shift!$B$2:$BJ$2,0),0),""),IFERROR(VLOOKUP($B99,Morning_Shift!$B$4:$BJ$61,MATCH(Both_Shift_Roster!BC$2,Morning_Shift!$B$2:$BJ$2,0),0),""))</f>
        <v>14:30-22:00</v>
      </c>
      <c r="BD99" s="2" t="str">
        <f>IF(IFERROR(VLOOKUP($B99,Morning_Shift!$B$4:$BJ$61,MATCH(Both_Shift_Roster!BD$2,Morning_Shift!$B$2:$BJ$2,0),0),"")="",IFERROR(VLOOKUP($B99,Evening_Shift!$B$4:$BJ$62,MATCH(Both_Shift_Roster!BD$2,Evening_Shift!$B$2:$BJ$2,0),0),""),IFERROR(VLOOKUP($B99,Morning_Shift!$B$4:$BJ$61,MATCH(Both_Shift_Roster!BD$2,Morning_Shift!$B$2:$BJ$2,0),0),""))</f>
        <v>14:30-22:00</v>
      </c>
      <c r="BE99" s="2" t="str">
        <f>IF(IFERROR(VLOOKUP($B99,Morning_Shift!$B$4:$BJ$61,MATCH(Both_Shift_Roster!BE$2,Morning_Shift!$B$2:$BJ$2,0),0),"")="",IFERROR(VLOOKUP($B99,Evening_Shift!$B$4:$BJ$59,MATCH(Both_Shift_Roster!BE$2,Evening_Shift!$B$2:$BJ$2,0),0),""),IFERROR(VLOOKUP($B99,Morning_Shift!$B$4:$BJ$61,MATCH(Both_Shift_Roster!BE$2,Morning_Shift!$B$2:$BJ$2,0),0),""))</f>
        <v>14:30-22:00</v>
      </c>
      <c r="BF99" s="2">
        <f t="shared" si="61"/>
        <v>0</v>
      </c>
      <c r="BG99" s="2">
        <f t="shared" si="62"/>
        <v>0</v>
      </c>
      <c r="BH99" s="2">
        <f t="shared" si="63"/>
        <v>0</v>
      </c>
      <c r="BI99" s="2">
        <f t="shared" si="64"/>
        <v>0</v>
      </c>
      <c r="BJ99" s="2">
        <f t="shared" si="65"/>
        <v>0</v>
      </c>
    </row>
    <row r="100" spans="1:62">
      <c r="A100" s="17">
        <f t="shared" si="66"/>
        <v>97</v>
      </c>
      <c r="B100" s="16" t="str">
        <f>Evening_Shift!$B42</f>
        <v>Dritm145</v>
      </c>
      <c r="C100" s="21" t="str">
        <f>IF(IFERROR(VLOOKUP(B100,Morning_Shift!B:C,2,0),"")="",IFERROR(VLOOKUP(B100,Evening_Shift!B:C,2,0),""),IFERROR(VLOOKUP(B100,Morning_Shift!B:C,2,0),""))</f>
        <v>Saurav Dhanta</v>
      </c>
      <c r="D100" s="15" t="str">
        <f>IF(IFERROR(VLOOKUP(B100,Morning_Shift!B:D,3,0),"")="",IFERROR(VLOOKUP(B100,Evening_Shift!B:D,3,0),""),IFERROR(VLOOKUP(B100,Morning_Shift!B:D,3,0),""))</f>
        <v xml:space="preserve">Sanjesh </v>
      </c>
      <c r="E100" s="4" t="str">
        <f>IF(IFERROR(VLOOKUP(B100,Morning_Shift!B:E,4,0),"")="",IFERROR(VLOOKUP(B100,Evening_Shift!B:E,4,0),""),IFERROR(VLOOKUP(B100,Morning_Shift!B:E,4,0),""))</f>
        <v>M</v>
      </c>
      <c r="F100" s="5" t="str">
        <f>IF(IFERROR(VLOOKUP(B100,Morning_Shift!B:F,5,0),"")="",IFERROR(VLOOKUP(B100,Evening_Shift!B:F,5,0),""),IFERROR(VLOOKUP(B100,Morning_Shift!B:F,5,0),""))</f>
        <v>Inbound</v>
      </c>
      <c r="G100" s="2" t="str">
        <f>IF(IFERROR(VLOOKUP($B100,Morning_Shift!$B$4:$BJ$61,MATCH(Both_Shift_Roster!G$2,Morning_Shift!$B$2:$BJ$2,0),0),"")="",IFERROR(VLOOKUP($B100,Evening_Shift!$B$4:$BJ$62,MATCH(Both_Shift_Roster!G$2,Evening_Shift!$B$2:$BJ$2,0),0),""),IFERROR(VLOOKUP($B100,Morning_Shift!$B$4:$BJ$61,MATCH(Both_Shift_Roster!G$2,Morning_Shift!$B$2:$BJ$2,0),0),""))</f>
        <v>Agent Choice WO</v>
      </c>
      <c r="H100" s="2" t="str">
        <f>IF(IFERROR(VLOOKUP($B100,Morning_Shift!$B$4:$BJ$61,MATCH(Both_Shift_Roster!H$2,Morning_Shift!$B$2:$BJ$2,0),0),"")="",IFERROR(VLOOKUP($B100,Evening_Shift!$B$4:$BJ$62,MATCH(Both_Shift_Roster!H$2,Evening_Shift!$B$2:$BJ$2,0),0),""),IFERROR(VLOOKUP($B100,Morning_Shift!$B$4:$BJ$61,MATCH(Both_Shift_Roster!H$2,Morning_Shift!$B$2:$BJ$2,0),0),""))</f>
        <v>14:30-22:00</v>
      </c>
      <c r="I100" s="2" t="str">
        <f>IF(IFERROR(VLOOKUP($B100,Morning_Shift!$B$4:$BJ$61,MATCH(Both_Shift_Roster!I$2,Morning_Shift!$B$2:$BJ$2,0),0),"")="",IFERROR(VLOOKUP($B100,Evening_Shift!$B$4:$BJ$62,MATCH(Both_Shift_Roster!I$2,Evening_Shift!$B$2:$BJ$2,0),0),""),IFERROR(VLOOKUP($B100,Morning_Shift!$B$4:$BJ$61,MATCH(Both_Shift_Roster!I$2,Morning_Shift!$B$2:$BJ$2,0),0),""))</f>
        <v>14:30-22:00</v>
      </c>
      <c r="J100" s="2" t="str">
        <f>IF(IFERROR(VLOOKUP($B100,Morning_Shift!$B$4:$BJ$61,MATCH(Both_Shift_Roster!J$2,Morning_Shift!$B$2:$BJ$2,0),0),"")="",IFERROR(VLOOKUP($B100,Evening_Shift!$B$4:$BJ$62,MATCH(Both_Shift_Roster!J$2,Evening_Shift!$B$2:$BJ$2,0),0),""),IFERROR(VLOOKUP($B100,Morning_Shift!$B$4:$BJ$61,MATCH(Both_Shift_Roster!J$2,Morning_Shift!$B$2:$BJ$2,0),0),""))</f>
        <v>14:30-22:00</v>
      </c>
      <c r="K100" s="2" t="str">
        <f>IF(IFERROR(VLOOKUP($B100,Morning_Shift!$B$4:$BJ$61,MATCH(Both_Shift_Roster!K$2,Morning_Shift!$B$2:$BJ$2,0),0),"")="",IFERROR(VLOOKUP($B100,Evening_Shift!$B$4:$BJ$62,MATCH(Both_Shift_Roster!K$2,Evening_Shift!$B$2:$BJ$2,0),0),""),IFERROR(VLOOKUP($B100,Morning_Shift!$B$4:$BJ$61,MATCH(Both_Shift_Roster!K$2,Morning_Shift!$B$2:$BJ$2,0),0),""))</f>
        <v>14:30-22:00</v>
      </c>
      <c r="L100" s="2" t="str">
        <f>IF(IFERROR(VLOOKUP($B100,Morning_Shift!$B$4:$BJ$61,MATCH(Both_Shift_Roster!L$2,Morning_Shift!$B$2:$BJ$2,0),0),"")="",IFERROR(VLOOKUP($B100,Evening_Shift!$B$4:$BJ$62,MATCH(Both_Shift_Roster!L$2,Evening_Shift!$B$2:$BJ$2,0),0),""),IFERROR(VLOOKUP($B100,Morning_Shift!$B$4:$BJ$61,MATCH(Both_Shift_Roster!L$2,Morning_Shift!$B$2:$BJ$2,0),0),""))</f>
        <v>14:30-22:00</v>
      </c>
      <c r="M100" s="2" t="str">
        <f>IF(IFERROR(VLOOKUP($B100,Morning_Shift!$B$4:$BJ$61,MATCH(Both_Shift_Roster!M$2,Morning_Shift!$B$2:$BJ$2,0),0),"")="",IFERROR(VLOOKUP($B100,Evening_Shift!$B$4:$BJ$62,MATCH(Both_Shift_Roster!M$2,Evening_Shift!$B$2:$BJ$2,0),0),""),IFERROR(VLOOKUP($B100,Morning_Shift!$B$4:$BJ$61,MATCH(Both_Shift_Roster!M$2,Morning_Shift!$B$2:$BJ$2,0),0),""))</f>
        <v>14:30-22:00</v>
      </c>
      <c r="N100" s="2">
        <f t="shared" si="41"/>
        <v>1</v>
      </c>
      <c r="O100" s="2">
        <f t="shared" si="42"/>
        <v>0</v>
      </c>
      <c r="P100" s="2">
        <f t="shared" si="43"/>
        <v>0</v>
      </c>
      <c r="Q100" s="2">
        <f t="shared" si="44"/>
        <v>0</v>
      </c>
      <c r="R100" s="2">
        <f t="shared" si="45"/>
        <v>0</v>
      </c>
      <c r="S100" s="2" t="str">
        <f>IF(IFERROR(VLOOKUP($B100,Morning_Shift!$B$4:$BJ$61,MATCH(Both_Shift_Roster!S$2,Morning_Shift!$B$2:$BJ$2,0),0),"")="",IFERROR(VLOOKUP($B100,Evening_Shift!$B$4:$BJ$62,MATCH(Both_Shift_Roster!S$2,Evening_Shift!$B$2:$BJ$2,0),0),""),IFERROR(VLOOKUP($B100,Morning_Shift!$B$4:$BJ$61,MATCH(Both_Shift_Roster!S$2,Morning_Shift!$B$2:$BJ$2,0),0),""))</f>
        <v>14:30-22:00</v>
      </c>
      <c r="T100" s="2" t="str">
        <f>IF(IFERROR(VLOOKUP($B100,Morning_Shift!$B$4:$BJ$61,MATCH(Both_Shift_Roster!T$2,Morning_Shift!$B$2:$BJ$2,0),0),"")="",IFERROR(VLOOKUP($B100,Evening_Shift!$B$4:$BJ$62,MATCH(Both_Shift_Roster!T$2,Evening_Shift!$B$2:$BJ$2,0),0),""),IFERROR(VLOOKUP($B100,Morning_Shift!$B$4:$BJ$61,MATCH(Both_Shift_Roster!T$2,Morning_Shift!$B$2:$BJ$2,0),0),""))</f>
        <v>14:30-22:00</v>
      </c>
      <c r="U100" s="2" t="str">
        <f>IF(IFERROR(VLOOKUP($B100,Morning_Shift!$B$4:$BJ$61,MATCH(Both_Shift_Roster!U$2,Morning_Shift!$B$2:$BJ$2,0),0),"")="",IFERROR(VLOOKUP($B100,Evening_Shift!$B$4:$BJ$62,MATCH(Both_Shift_Roster!U$2,Evening_Shift!$B$2:$BJ$2,0),0),""),IFERROR(VLOOKUP($B100,Morning_Shift!$B$4:$BJ$61,MATCH(Both_Shift_Roster!U$2,Morning_Shift!$B$2:$BJ$2,0),0),""))</f>
        <v>14:30-22:00</v>
      </c>
      <c r="V100" s="2" t="str">
        <f>IF(IFERROR(VLOOKUP($B100,Morning_Shift!$B$4:$BJ$61,MATCH(Both_Shift_Roster!V$2,Morning_Shift!$B$2:$BJ$2,0),0),"")="",IFERROR(VLOOKUP($B100,Evening_Shift!$B$4:$BJ$62,MATCH(Both_Shift_Roster!V$2,Evening_Shift!$B$2:$BJ$2,0),0),""),IFERROR(VLOOKUP($B100,Morning_Shift!$B$4:$BJ$61,MATCH(Both_Shift_Roster!V$2,Morning_Shift!$B$2:$BJ$2,0),0),""))</f>
        <v>14:30-22:00</v>
      </c>
      <c r="W100" s="2" t="str">
        <f>IF(IFERROR(VLOOKUP($B100,Morning_Shift!$B$4:$BJ$61,MATCH(Both_Shift_Roster!W$2,Morning_Shift!$B$2:$BJ$2,0),0),"")="",IFERROR(VLOOKUP($B100,Evening_Shift!$B$4:$BJ$62,MATCH(Both_Shift_Roster!W$2,Evening_Shift!$B$2:$BJ$2,0),0),""),IFERROR(VLOOKUP($B100,Morning_Shift!$B$4:$BJ$61,MATCH(Both_Shift_Roster!W$2,Morning_Shift!$B$2:$BJ$2,0),0),""))</f>
        <v>14:30-22:00</v>
      </c>
      <c r="X100" s="2" t="str">
        <f>IF(IFERROR(VLOOKUP($B100,Morning_Shift!$B$4:$BJ$61,MATCH(Both_Shift_Roster!X$2,Morning_Shift!$B$2:$BJ$2,0),0),"")="",IFERROR(VLOOKUP($B100,Evening_Shift!$B$4:$BJ$62,MATCH(Both_Shift_Roster!X$2,Evening_Shift!$B$2:$BJ$2,0),0),""),IFERROR(VLOOKUP($B100,Morning_Shift!$B$4:$BJ$61,MATCH(Both_Shift_Roster!X$2,Morning_Shift!$B$2:$BJ$2,0),0),""))</f>
        <v>14:30-22:00</v>
      </c>
      <c r="Y100" s="2" t="str">
        <f>IF(IFERROR(VLOOKUP($B100,Morning_Shift!$B$4:$BJ$61,MATCH(Both_Shift_Roster!Y$2,Morning_Shift!$B$2:$BJ$2,0),0),"")="",IFERROR(VLOOKUP($B100,Evening_Shift!$B$4:$BJ$62,MATCH(Both_Shift_Roster!Y$2,Evening_Shift!$B$2:$BJ$2,0),0),""),IFERROR(VLOOKUP($B100,Morning_Shift!$B$4:$BJ$61,MATCH(Both_Shift_Roster!Y$2,Morning_Shift!$B$2:$BJ$2,0),0),""))</f>
        <v>Agent Choice WO</v>
      </c>
      <c r="Z100" s="2">
        <f t="shared" si="46"/>
        <v>1</v>
      </c>
      <c r="AA100" s="2">
        <f t="shared" si="47"/>
        <v>0</v>
      </c>
      <c r="AB100" s="2">
        <f t="shared" si="48"/>
        <v>0</v>
      </c>
      <c r="AC100" s="2">
        <f t="shared" si="49"/>
        <v>0</v>
      </c>
      <c r="AD100" s="2">
        <f t="shared" si="50"/>
        <v>0</v>
      </c>
      <c r="AE100" s="2" t="str">
        <f>IF(IFERROR(VLOOKUP($B100,Morning_Shift!$B$4:$BJ$61,MATCH(Both_Shift_Roster!AE$2,Morning_Shift!$B$2:$BJ$2,0),0),"")="",IFERROR(VLOOKUP($B100,Evening_Shift!$B$4:$BJ$62,MATCH(Both_Shift_Roster!AE$2,Evening_Shift!$B$2:$BJ$2,0),0),""),IFERROR(VLOOKUP($B100,Morning_Shift!$B$4:$BJ$61,MATCH(Both_Shift_Roster!AE$2,Morning_Shift!$B$2:$BJ$2,0),0),""))</f>
        <v>Agent Choice WO</v>
      </c>
      <c r="AF100" s="2" t="str">
        <f>IF(IFERROR(VLOOKUP($B100,Morning_Shift!$B$4:$BJ$61,MATCH(Both_Shift_Roster!AF$2,Morning_Shift!$B$2:$BJ$2,0),0),"")="",IFERROR(VLOOKUP($B100,Evening_Shift!$B$4:$BJ$62,MATCH(Both_Shift_Roster!AF$2,Evening_Shift!$B$2:$BJ$2,0),0),""),IFERROR(VLOOKUP($B100,Morning_Shift!$B$4:$BJ$61,MATCH(Both_Shift_Roster!AF$2,Morning_Shift!$B$2:$BJ$2,0),0),""))</f>
        <v>14:30-22:00</v>
      </c>
      <c r="AG100" s="2" t="str">
        <f>IF(IFERROR(VLOOKUP($B100,Morning_Shift!$B$4:$BJ$61,MATCH(Both_Shift_Roster!AG$2,Morning_Shift!$B$2:$BJ$2,0),0),"")="",IFERROR(VLOOKUP($B100,Evening_Shift!$B$4:$BJ$62,MATCH(Both_Shift_Roster!AG$2,Evening_Shift!$B$2:$BJ$2,0),0),""),IFERROR(VLOOKUP($B100,Morning_Shift!$B$4:$BJ$61,MATCH(Both_Shift_Roster!AG$2,Morning_Shift!$B$2:$BJ$2,0),0),""))</f>
        <v>14:30-22:00</v>
      </c>
      <c r="AH100" s="2" t="str">
        <f>IF(IFERROR(VLOOKUP($B100,Morning_Shift!$B$4:$BJ$61,MATCH(Both_Shift_Roster!AH$2,Morning_Shift!$B$2:$BJ$2,0),0),"")="",IFERROR(VLOOKUP($B100,Evening_Shift!$B$4:$BJ$62,MATCH(Both_Shift_Roster!AH$2,Evening_Shift!$B$2:$BJ$2,0),0),""),IFERROR(VLOOKUP($B100,Morning_Shift!$B$4:$BJ$61,MATCH(Both_Shift_Roster!AH$2,Morning_Shift!$B$2:$BJ$2,0),0),""))</f>
        <v>14:30-22:00</v>
      </c>
      <c r="AI100" s="2" t="str">
        <f>IF(IFERROR(VLOOKUP($B100,Morning_Shift!$B$4:$BJ$61,MATCH(Both_Shift_Roster!AI$2,Morning_Shift!$B$2:$BJ$2,0),0),"")="",IFERROR(VLOOKUP($B100,Evening_Shift!$B$4:$BJ$62,MATCH(Both_Shift_Roster!AI$2,Evening_Shift!$B$2:$BJ$2,0),0),""),IFERROR(VLOOKUP($B100,Morning_Shift!$B$4:$BJ$61,MATCH(Both_Shift_Roster!AI$2,Morning_Shift!$B$2:$BJ$2,0),0),""))</f>
        <v>14:30-22:00</v>
      </c>
      <c r="AJ100" s="2" t="str">
        <f>IF(IFERROR(VLOOKUP($B100,Morning_Shift!$B$4:$BJ$61,MATCH(Both_Shift_Roster!AJ$2,Morning_Shift!$B$2:$BJ$2,0),0),"")="",IFERROR(VLOOKUP($B100,Evening_Shift!$B$4:$BJ$62,MATCH(Both_Shift_Roster!AJ$2,Evening_Shift!$B$2:$BJ$2,0),0),""),IFERROR(VLOOKUP($B100,Morning_Shift!$B$4:$BJ$61,MATCH(Both_Shift_Roster!AJ$2,Morning_Shift!$B$2:$BJ$2,0),0),""))</f>
        <v>14:30-22:00</v>
      </c>
      <c r="AK100" s="2" t="str">
        <f>IF(IFERROR(VLOOKUP($B100,Morning_Shift!$B$4:$BJ$61,MATCH(Both_Shift_Roster!AK$2,Morning_Shift!$B$2:$BJ$2,0),0),"")="",IFERROR(VLOOKUP($B100,Evening_Shift!$B$4:$BJ$62,MATCH(Both_Shift_Roster!AK$2,Evening_Shift!$B$2:$BJ$2,0),0),""),IFERROR(VLOOKUP($B100,Morning_Shift!$B$4:$BJ$61,MATCH(Both_Shift_Roster!AK$2,Morning_Shift!$B$2:$BJ$2,0),0),""))</f>
        <v>14:30-22:00</v>
      </c>
      <c r="AL100" s="2">
        <f t="shared" si="51"/>
        <v>1</v>
      </c>
      <c r="AM100" s="2">
        <f t="shared" si="52"/>
        <v>0</v>
      </c>
      <c r="AN100" s="2">
        <f t="shared" si="53"/>
        <v>0</v>
      </c>
      <c r="AO100" s="2">
        <f t="shared" si="54"/>
        <v>0</v>
      </c>
      <c r="AP100" s="2">
        <f t="shared" si="55"/>
        <v>0</v>
      </c>
      <c r="AQ100" s="2" t="str">
        <f>IF(IFERROR(VLOOKUP($B100,Morning_Shift!$B$4:$BJ$61,MATCH(Both_Shift_Roster!AQ$2,Morning_Shift!$B$2:$BJ$2,0),0),"")="",IFERROR(VLOOKUP($B100,Evening_Shift!$B$4:$BJ$62,MATCH(Both_Shift_Roster!AQ$2,Evening_Shift!$B$2:$BJ$2,0),0),""),IFERROR(VLOOKUP($B100,Morning_Shift!$B$4:$BJ$61,MATCH(Both_Shift_Roster!AQ$2,Morning_Shift!$B$2:$BJ$2,0),0),""))</f>
        <v>14:30-22:00</v>
      </c>
      <c r="AR100" s="2" t="str">
        <f>IF(IFERROR(VLOOKUP($B100,Morning_Shift!$B$4:$BJ$61,MATCH(Both_Shift_Roster!AR$2,Morning_Shift!$B$2:$BJ$2,0),0),"")="",IFERROR(VLOOKUP($B100,Evening_Shift!$B$4:$BJ$62,MATCH(Both_Shift_Roster!AR$2,Evening_Shift!$B$2:$BJ$2,0),0),""),IFERROR(VLOOKUP($B100,Morning_Shift!$B$4:$BJ$61,MATCH(Both_Shift_Roster!AR$2,Morning_Shift!$B$2:$BJ$2,0),0),""))</f>
        <v>14:30-22:00</v>
      </c>
      <c r="AS100" s="2" t="str">
        <f>IF(IFERROR(VLOOKUP($B100,Morning_Shift!$B$4:$BJ$61,MATCH(Both_Shift_Roster!AS$2,Morning_Shift!$B$2:$BJ$2,0),0),"")="",IFERROR(VLOOKUP($B100,Evening_Shift!$B$4:$BJ$62,MATCH(Both_Shift_Roster!AS$2,Evening_Shift!$B$2:$BJ$2,0),0),""),IFERROR(VLOOKUP($B100,Morning_Shift!$B$4:$BJ$61,MATCH(Both_Shift_Roster!AS$2,Morning_Shift!$B$2:$BJ$2,0),0),""))</f>
        <v>Agent Choice WO</v>
      </c>
      <c r="AT100" s="2" t="str">
        <f>IF(IFERROR(VLOOKUP($B100,Morning_Shift!$B$4:$BJ$61,MATCH(Both_Shift_Roster!AT$2,Morning_Shift!$B$2:$BJ$2,0),0),"")="",IFERROR(VLOOKUP($B100,Evening_Shift!$B$4:$BJ$62,MATCH(Both_Shift_Roster!AT$2,Evening_Shift!$B$2:$BJ$2,0),0),""),IFERROR(VLOOKUP($B100,Morning_Shift!$B$4:$BJ$61,MATCH(Both_Shift_Roster!AT$2,Morning_Shift!$B$2:$BJ$2,0),0),""))</f>
        <v>CL</v>
      </c>
      <c r="AU100" s="2" t="str">
        <f>IF(IFERROR(VLOOKUP($B100,Morning_Shift!$B$4:$BJ$61,MATCH(Both_Shift_Roster!AU$2,Morning_Shift!$B$2:$BJ$2,0),0),"")="",IFERROR(VLOOKUP($B100,Evening_Shift!$B$4:$BJ$62,MATCH(Both_Shift_Roster!AU$2,Evening_Shift!$B$2:$BJ$2,0),0),""),IFERROR(VLOOKUP($B100,Morning_Shift!$B$4:$BJ$61,MATCH(Both_Shift_Roster!AU$2,Morning_Shift!$B$2:$BJ$2,0),0),""))</f>
        <v>14:30-22:00</v>
      </c>
      <c r="AV100" s="2" t="str">
        <f>IF(IFERROR(VLOOKUP($B100,Morning_Shift!$B$4:$BJ$61,MATCH(Both_Shift_Roster!AV$2,Morning_Shift!$B$2:$BJ$2,0),0),"")="",IFERROR(VLOOKUP($B100,Evening_Shift!$B$4:$BJ$62,MATCH(Both_Shift_Roster!AV$2,Evening_Shift!$B$2:$BJ$2,0),0),""),IFERROR(VLOOKUP($B100,Morning_Shift!$B$4:$BJ$61,MATCH(Both_Shift_Roster!AV$2,Morning_Shift!$B$2:$BJ$2,0),0),""))</f>
        <v>14:30-22:00</v>
      </c>
      <c r="AW100" s="2" t="str">
        <f>IF(IFERROR(VLOOKUP($B100,Morning_Shift!$B$4:$BJ$61,MATCH(Both_Shift_Roster!AW$2,Morning_Shift!$B$2:$BJ$2,0),0),"")="",IFERROR(VLOOKUP($B100,Evening_Shift!$B$4:$BJ$62,MATCH(Both_Shift_Roster!AW$2,Evening_Shift!$B$2:$BJ$2,0),0),""),IFERROR(VLOOKUP($B100,Morning_Shift!$B$4:$BJ$61,MATCH(Both_Shift_Roster!AW$2,Morning_Shift!$B$2:$BJ$2,0),0),""))</f>
        <v>14:30-22:00</v>
      </c>
      <c r="AX100" s="2">
        <f t="shared" si="56"/>
        <v>1</v>
      </c>
      <c r="AY100" s="2">
        <f t="shared" si="57"/>
        <v>0</v>
      </c>
      <c r="AZ100" s="2">
        <f t="shared" si="58"/>
        <v>1</v>
      </c>
      <c r="BA100" s="2">
        <f t="shared" si="59"/>
        <v>0</v>
      </c>
      <c r="BB100" s="2">
        <f t="shared" si="60"/>
        <v>0</v>
      </c>
      <c r="BC100" s="2" t="str">
        <f>IF(IFERROR(VLOOKUP($B100,Morning_Shift!$B$4:$BJ$61,MATCH(Both_Shift_Roster!BC$2,Morning_Shift!$B$2:$BJ$2,0),0),"")="",IFERROR(VLOOKUP($B100,Evening_Shift!$B$4:$BJ$62,MATCH(Both_Shift_Roster!BC$2,Evening_Shift!$B$2:$BJ$2,0),0),""),IFERROR(VLOOKUP($B100,Morning_Shift!$B$4:$BJ$61,MATCH(Both_Shift_Roster!BC$2,Morning_Shift!$B$2:$BJ$2,0),0),""))</f>
        <v>14:30-22:00</v>
      </c>
      <c r="BD100" s="2" t="str">
        <f>IF(IFERROR(VLOOKUP($B100,Morning_Shift!$B$4:$BJ$61,MATCH(Both_Shift_Roster!BD$2,Morning_Shift!$B$2:$BJ$2,0),0),"")="",IFERROR(VLOOKUP($B100,Evening_Shift!$B$4:$BJ$62,MATCH(Both_Shift_Roster!BD$2,Evening_Shift!$B$2:$BJ$2,0),0),""),IFERROR(VLOOKUP($B100,Morning_Shift!$B$4:$BJ$61,MATCH(Both_Shift_Roster!BD$2,Morning_Shift!$B$2:$BJ$2,0),0),""))</f>
        <v>14:30-22:00</v>
      </c>
      <c r="BE100" s="2" t="str">
        <f>IF(IFERROR(VLOOKUP($B100,Morning_Shift!$B$4:$BJ$61,MATCH(Both_Shift_Roster!BE$2,Morning_Shift!$B$2:$BJ$2,0),0),"")="",IFERROR(VLOOKUP($B100,Evening_Shift!$B$4:$BJ$59,MATCH(Both_Shift_Roster!BE$2,Evening_Shift!$B$2:$BJ$2,0),0),""),IFERROR(VLOOKUP($B100,Morning_Shift!$B$4:$BJ$61,MATCH(Both_Shift_Roster!BE$2,Morning_Shift!$B$2:$BJ$2,0),0),""))</f>
        <v>14:30-22:00</v>
      </c>
      <c r="BF100" s="2">
        <f t="shared" si="61"/>
        <v>0</v>
      </c>
      <c r="BG100" s="2">
        <f t="shared" si="62"/>
        <v>0</v>
      </c>
      <c r="BH100" s="2">
        <f t="shared" si="63"/>
        <v>0</v>
      </c>
      <c r="BI100" s="2">
        <f t="shared" si="64"/>
        <v>0</v>
      </c>
      <c r="BJ100" s="2">
        <f t="shared" si="65"/>
        <v>0</v>
      </c>
    </row>
    <row r="101" spans="1:62">
      <c r="A101" s="17">
        <f t="shared" si="66"/>
        <v>98</v>
      </c>
      <c r="B101" s="16" t="str">
        <f>Evening_Shift!$B43</f>
        <v>Dritm148</v>
      </c>
      <c r="C101" s="21" t="str">
        <f>IF(IFERROR(VLOOKUP(B101,Morning_Shift!B:C,2,0),"")="",IFERROR(VLOOKUP(B101,Evening_Shift!B:C,2,0),""),IFERROR(VLOOKUP(B101,Morning_Shift!B:C,2,0),""))</f>
        <v>Priya Devi</v>
      </c>
      <c r="D101" s="15" t="str">
        <f>IF(IFERROR(VLOOKUP(B101,Morning_Shift!B:D,3,0),"")="",IFERROR(VLOOKUP(B101,Evening_Shift!B:D,3,0),""),IFERROR(VLOOKUP(B101,Morning_Shift!B:D,3,0),""))</f>
        <v xml:space="preserve">Sanjesh </v>
      </c>
      <c r="E101" s="4" t="str">
        <f>IF(IFERROR(VLOOKUP(B101,Morning_Shift!B:E,4,0),"")="",IFERROR(VLOOKUP(B101,Evening_Shift!B:E,4,0),""),IFERROR(VLOOKUP(B101,Morning_Shift!B:E,4,0),""))</f>
        <v>F</v>
      </c>
      <c r="F101" s="5" t="str">
        <f>IF(IFERROR(VLOOKUP(B101,Morning_Shift!B:F,5,0),"")="",IFERROR(VLOOKUP(B101,Evening_Shift!B:F,5,0),""),IFERROR(VLOOKUP(B101,Morning_Shift!B:F,5,0),""))</f>
        <v>Inbound</v>
      </c>
      <c r="G101" s="2" t="str">
        <f>IF(IFERROR(VLOOKUP($B101,Morning_Shift!$B$4:$BJ$61,MATCH(Both_Shift_Roster!G$2,Morning_Shift!$B$2:$BJ$2,0),0),"")="",IFERROR(VLOOKUP($B101,Evening_Shift!$B$4:$BJ$62,MATCH(Both_Shift_Roster!G$2,Evening_Shift!$B$2:$BJ$2,0),0),""),IFERROR(VLOOKUP($B101,Morning_Shift!$B$4:$BJ$61,MATCH(Both_Shift_Roster!G$2,Morning_Shift!$B$2:$BJ$2,0),0),""))</f>
        <v>Agent Choice WO</v>
      </c>
      <c r="H101" s="2" t="str">
        <f>IF(IFERROR(VLOOKUP($B101,Morning_Shift!$B$4:$BJ$61,MATCH(Both_Shift_Roster!H$2,Morning_Shift!$B$2:$BJ$2,0),0),"")="",IFERROR(VLOOKUP($B101,Evening_Shift!$B$4:$BJ$62,MATCH(Both_Shift_Roster!H$2,Evening_Shift!$B$2:$BJ$2,0),0),""),IFERROR(VLOOKUP($B101,Morning_Shift!$B$4:$BJ$61,MATCH(Both_Shift_Roster!H$2,Morning_Shift!$B$2:$BJ$2,0),0),""))</f>
        <v>14:30-22:00</v>
      </c>
      <c r="I101" s="2" t="str">
        <f>IF(IFERROR(VLOOKUP($B101,Morning_Shift!$B$4:$BJ$61,MATCH(Both_Shift_Roster!I$2,Morning_Shift!$B$2:$BJ$2,0),0),"")="",IFERROR(VLOOKUP($B101,Evening_Shift!$B$4:$BJ$62,MATCH(Both_Shift_Roster!I$2,Evening_Shift!$B$2:$BJ$2,0),0),""),IFERROR(VLOOKUP($B101,Morning_Shift!$B$4:$BJ$61,MATCH(Both_Shift_Roster!I$2,Morning_Shift!$B$2:$BJ$2,0),0),""))</f>
        <v>14:30-22:00</v>
      </c>
      <c r="J101" s="2" t="str">
        <f>IF(IFERROR(VLOOKUP($B101,Morning_Shift!$B$4:$BJ$61,MATCH(Both_Shift_Roster!J$2,Morning_Shift!$B$2:$BJ$2,0),0),"")="",IFERROR(VLOOKUP($B101,Evening_Shift!$B$4:$BJ$62,MATCH(Both_Shift_Roster!J$2,Evening_Shift!$B$2:$BJ$2,0),0),""),IFERROR(VLOOKUP($B101,Morning_Shift!$B$4:$BJ$61,MATCH(Both_Shift_Roster!J$2,Morning_Shift!$B$2:$BJ$2,0),0),""))</f>
        <v>14:30-22:00</v>
      </c>
      <c r="K101" s="2" t="str">
        <f>IF(IFERROR(VLOOKUP($B101,Morning_Shift!$B$4:$BJ$61,MATCH(Both_Shift_Roster!K$2,Morning_Shift!$B$2:$BJ$2,0),0),"")="",IFERROR(VLOOKUP($B101,Evening_Shift!$B$4:$BJ$62,MATCH(Both_Shift_Roster!K$2,Evening_Shift!$B$2:$BJ$2,0),0),""),IFERROR(VLOOKUP($B101,Morning_Shift!$B$4:$BJ$61,MATCH(Both_Shift_Roster!K$2,Morning_Shift!$B$2:$BJ$2,0),0),""))</f>
        <v>14:30-22:00</v>
      </c>
      <c r="L101" s="2" t="str">
        <f>IF(IFERROR(VLOOKUP($B101,Morning_Shift!$B$4:$BJ$61,MATCH(Both_Shift_Roster!L$2,Morning_Shift!$B$2:$BJ$2,0),0),"")="",IFERROR(VLOOKUP($B101,Evening_Shift!$B$4:$BJ$62,MATCH(Both_Shift_Roster!L$2,Evening_Shift!$B$2:$BJ$2,0),0),""),IFERROR(VLOOKUP($B101,Morning_Shift!$B$4:$BJ$61,MATCH(Both_Shift_Roster!L$2,Morning_Shift!$B$2:$BJ$2,0),0),""))</f>
        <v>14:30-22:00</v>
      </c>
      <c r="M101" s="2" t="str">
        <f>IF(IFERROR(VLOOKUP($B101,Morning_Shift!$B$4:$BJ$61,MATCH(Both_Shift_Roster!M$2,Morning_Shift!$B$2:$BJ$2,0),0),"")="",IFERROR(VLOOKUP($B101,Evening_Shift!$B$4:$BJ$62,MATCH(Both_Shift_Roster!M$2,Evening_Shift!$B$2:$BJ$2,0),0),""),IFERROR(VLOOKUP($B101,Morning_Shift!$B$4:$BJ$61,MATCH(Both_Shift_Roster!M$2,Morning_Shift!$B$2:$BJ$2,0),0),""))</f>
        <v>14:30-22:00</v>
      </c>
      <c r="N101" s="2">
        <f t="shared" si="41"/>
        <v>1</v>
      </c>
      <c r="O101" s="2">
        <f t="shared" si="42"/>
        <v>0</v>
      </c>
      <c r="P101" s="2">
        <f t="shared" si="43"/>
        <v>0</v>
      </c>
      <c r="Q101" s="2">
        <f t="shared" si="44"/>
        <v>0</v>
      </c>
      <c r="R101" s="2">
        <f t="shared" si="45"/>
        <v>0</v>
      </c>
      <c r="S101" s="2" t="str">
        <f>IF(IFERROR(VLOOKUP($B101,Morning_Shift!$B$4:$BJ$61,MATCH(Both_Shift_Roster!S$2,Morning_Shift!$B$2:$BJ$2,0),0),"")="",IFERROR(VLOOKUP($B101,Evening_Shift!$B$4:$BJ$62,MATCH(Both_Shift_Roster!S$2,Evening_Shift!$B$2:$BJ$2,0),0),""),IFERROR(VLOOKUP($B101,Morning_Shift!$B$4:$BJ$61,MATCH(Both_Shift_Roster!S$2,Morning_Shift!$B$2:$BJ$2,0),0),""))</f>
        <v>TL Choice WO</v>
      </c>
      <c r="T101" s="2" t="str">
        <f>IF(IFERROR(VLOOKUP($B101,Morning_Shift!$B$4:$BJ$61,MATCH(Both_Shift_Roster!T$2,Morning_Shift!$B$2:$BJ$2,0),0),"")="",IFERROR(VLOOKUP($B101,Evening_Shift!$B$4:$BJ$62,MATCH(Both_Shift_Roster!T$2,Evening_Shift!$B$2:$BJ$2,0),0),""),IFERROR(VLOOKUP($B101,Morning_Shift!$B$4:$BJ$61,MATCH(Both_Shift_Roster!T$2,Morning_Shift!$B$2:$BJ$2,0),0),""))</f>
        <v>14:30-22:00</v>
      </c>
      <c r="U101" s="2" t="str">
        <f>IF(IFERROR(VLOOKUP($B101,Morning_Shift!$B$4:$BJ$61,MATCH(Both_Shift_Roster!U$2,Morning_Shift!$B$2:$BJ$2,0),0),"")="",IFERROR(VLOOKUP($B101,Evening_Shift!$B$4:$BJ$62,MATCH(Both_Shift_Roster!U$2,Evening_Shift!$B$2:$BJ$2,0),0),""),IFERROR(VLOOKUP($B101,Morning_Shift!$B$4:$BJ$61,MATCH(Both_Shift_Roster!U$2,Morning_Shift!$B$2:$BJ$2,0),0),""))</f>
        <v>14:30-22:00</v>
      </c>
      <c r="V101" s="2" t="str">
        <f>IF(IFERROR(VLOOKUP($B101,Morning_Shift!$B$4:$BJ$61,MATCH(Both_Shift_Roster!V$2,Morning_Shift!$B$2:$BJ$2,0),0),"")="",IFERROR(VLOOKUP($B101,Evening_Shift!$B$4:$BJ$62,MATCH(Both_Shift_Roster!V$2,Evening_Shift!$B$2:$BJ$2,0),0),""),IFERROR(VLOOKUP($B101,Morning_Shift!$B$4:$BJ$61,MATCH(Both_Shift_Roster!V$2,Morning_Shift!$B$2:$BJ$2,0),0),""))</f>
        <v>14:30-22:00</v>
      </c>
      <c r="W101" s="2" t="str">
        <f>IF(IFERROR(VLOOKUP($B101,Morning_Shift!$B$4:$BJ$61,MATCH(Both_Shift_Roster!W$2,Morning_Shift!$B$2:$BJ$2,0),0),"")="",IFERROR(VLOOKUP($B101,Evening_Shift!$B$4:$BJ$62,MATCH(Both_Shift_Roster!W$2,Evening_Shift!$B$2:$BJ$2,0),0),""),IFERROR(VLOOKUP($B101,Morning_Shift!$B$4:$BJ$61,MATCH(Both_Shift_Roster!W$2,Morning_Shift!$B$2:$BJ$2,0),0),""))</f>
        <v>14:30-22:00</v>
      </c>
      <c r="X101" s="2" t="str">
        <f>IF(IFERROR(VLOOKUP($B101,Morning_Shift!$B$4:$BJ$61,MATCH(Both_Shift_Roster!X$2,Morning_Shift!$B$2:$BJ$2,0),0),"")="",IFERROR(VLOOKUP($B101,Evening_Shift!$B$4:$BJ$62,MATCH(Both_Shift_Roster!X$2,Evening_Shift!$B$2:$BJ$2,0),0),""),IFERROR(VLOOKUP($B101,Morning_Shift!$B$4:$BJ$61,MATCH(Both_Shift_Roster!X$2,Morning_Shift!$B$2:$BJ$2,0),0),""))</f>
        <v>14:30-22:00</v>
      </c>
      <c r="Y101" s="2" t="str">
        <f>IF(IFERROR(VLOOKUP($B101,Morning_Shift!$B$4:$BJ$61,MATCH(Both_Shift_Roster!Y$2,Morning_Shift!$B$2:$BJ$2,0),0),"")="",IFERROR(VLOOKUP($B101,Evening_Shift!$B$4:$BJ$62,MATCH(Both_Shift_Roster!Y$2,Evening_Shift!$B$2:$BJ$2,0),0),""),IFERROR(VLOOKUP($B101,Morning_Shift!$B$4:$BJ$61,MATCH(Both_Shift_Roster!Y$2,Morning_Shift!$B$2:$BJ$2,0),0),""))</f>
        <v>14:30-22:00</v>
      </c>
      <c r="Z101" s="2">
        <f t="shared" si="46"/>
        <v>0</v>
      </c>
      <c r="AA101" s="2">
        <f t="shared" si="47"/>
        <v>1</v>
      </c>
      <c r="AB101" s="2">
        <f t="shared" si="48"/>
        <v>0</v>
      </c>
      <c r="AC101" s="2">
        <f t="shared" si="49"/>
        <v>0</v>
      </c>
      <c r="AD101" s="2">
        <f t="shared" si="50"/>
        <v>0</v>
      </c>
      <c r="AE101" s="2" t="str">
        <f>IF(IFERROR(VLOOKUP($B101,Morning_Shift!$B$4:$BJ$61,MATCH(Both_Shift_Roster!AE$2,Morning_Shift!$B$2:$BJ$2,0),0),"")="",IFERROR(VLOOKUP($B101,Evening_Shift!$B$4:$BJ$62,MATCH(Both_Shift_Roster!AE$2,Evening_Shift!$B$2:$BJ$2,0),0),""),IFERROR(VLOOKUP($B101,Morning_Shift!$B$4:$BJ$61,MATCH(Both_Shift_Roster!AE$2,Morning_Shift!$B$2:$BJ$2,0),0),""))</f>
        <v>14:30-22:00</v>
      </c>
      <c r="AF101" s="2" t="str">
        <f>IF(IFERROR(VLOOKUP($B101,Morning_Shift!$B$4:$BJ$61,MATCH(Both_Shift_Roster!AF$2,Morning_Shift!$B$2:$BJ$2,0),0),"")="",IFERROR(VLOOKUP($B101,Evening_Shift!$B$4:$BJ$62,MATCH(Both_Shift_Roster!AF$2,Evening_Shift!$B$2:$BJ$2,0),0),""),IFERROR(VLOOKUP($B101,Morning_Shift!$B$4:$BJ$61,MATCH(Both_Shift_Roster!AF$2,Morning_Shift!$B$2:$BJ$2,0),0),""))</f>
        <v>14:30-22:00</v>
      </c>
      <c r="AG101" s="2" t="str">
        <f>IF(IFERROR(VLOOKUP($B101,Morning_Shift!$B$4:$BJ$61,MATCH(Both_Shift_Roster!AG$2,Morning_Shift!$B$2:$BJ$2,0),0),"")="",IFERROR(VLOOKUP($B101,Evening_Shift!$B$4:$BJ$62,MATCH(Both_Shift_Roster!AG$2,Evening_Shift!$B$2:$BJ$2,0),0),""),IFERROR(VLOOKUP($B101,Morning_Shift!$B$4:$BJ$61,MATCH(Both_Shift_Roster!AG$2,Morning_Shift!$B$2:$BJ$2,0),0),""))</f>
        <v>Agent Choice WO</v>
      </c>
      <c r="AH101" s="2" t="str">
        <f>IF(IFERROR(VLOOKUP($B101,Morning_Shift!$B$4:$BJ$61,MATCH(Both_Shift_Roster!AH$2,Morning_Shift!$B$2:$BJ$2,0),0),"")="",IFERROR(VLOOKUP($B101,Evening_Shift!$B$4:$BJ$62,MATCH(Both_Shift_Roster!AH$2,Evening_Shift!$B$2:$BJ$2,0),0),""),IFERROR(VLOOKUP($B101,Morning_Shift!$B$4:$BJ$61,MATCH(Both_Shift_Roster!AH$2,Morning_Shift!$B$2:$BJ$2,0),0),""))</f>
        <v>Agent Choice WO</v>
      </c>
      <c r="AI101" s="2" t="str">
        <f>IF(IFERROR(VLOOKUP($B101,Morning_Shift!$B$4:$BJ$61,MATCH(Both_Shift_Roster!AI$2,Morning_Shift!$B$2:$BJ$2,0),0),"")="",IFERROR(VLOOKUP($B101,Evening_Shift!$B$4:$BJ$62,MATCH(Both_Shift_Roster!AI$2,Evening_Shift!$B$2:$BJ$2,0),0),""),IFERROR(VLOOKUP($B101,Morning_Shift!$B$4:$BJ$61,MATCH(Both_Shift_Roster!AI$2,Morning_Shift!$B$2:$BJ$2,0),0),""))</f>
        <v>14:30-22:00</v>
      </c>
      <c r="AJ101" s="2" t="str">
        <f>IF(IFERROR(VLOOKUP($B101,Morning_Shift!$B$4:$BJ$61,MATCH(Both_Shift_Roster!AJ$2,Morning_Shift!$B$2:$BJ$2,0),0),"")="",IFERROR(VLOOKUP($B101,Evening_Shift!$B$4:$BJ$62,MATCH(Both_Shift_Roster!AJ$2,Evening_Shift!$B$2:$BJ$2,0),0),""),IFERROR(VLOOKUP($B101,Morning_Shift!$B$4:$BJ$61,MATCH(Both_Shift_Roster!AJ$2,Morning_Shift!$B$2:$BJ$2,0),0),""))</f>
        <v>14:30-22:00</v>
      </c>
      <c r="AK101" s="2" t="str">
        <f>IF(IFERROR(VLOOKUP($B101,Morning_Shift!$B$4:$BJ$61,MATCH(Both_Shift_Roster!AK$2,Morning_Shift!$B$2:$BJ$2,0),0),"")="",IFERROR(VLOOKUP($B101,Evening_Shift!$B$4:$BJ$62,MATCH(Both_Shift_Roster!AK$2,Evening_Shift!$B$2:$BJ$2,0),0),""),IFERROR(VLOOKUP($B101,Morning_Shift!$B$4:$BJ$61,MATCH(Both_Shift_Roster!AK$2,Morning_Shift!$B$2:$BJ$2,0),0),""))</f>
        <v>14:30-22:00</v>
      </c>
      <c r="AL101" s="2">
        <f t="shared" si="51"/>
        <v>2</v>
      </c>
      <c r="AM101" s="2">
        <f t="shared" si="52"/>
        <v>0</v>
      </c>
      <c r="AN101" s="2">
        <f t="shared" si="53"/>
        <v>0</v>
      </c>
      <c r="AO101" s="2">
        <f t="shared" si="54"/>
        <v>0</v>
      </c>
      <c r="AP101" s="2">
        <f t="shared" si="55"/>
        <v>0</v>
      </c>
      <c r="AQ101" s="2" t="str">
        <f>IF(IFERROR(VLOOKUP($B101,Morning_Shift!$B$4:$BJ$61,MATCH(Both_Shift_Roster!AQ$2,Morning_Shift!$B$2:$BJ$2,0),0),"")="",IFERROR(VLOOKUP($B101,Evening_Shift!$B$4:$BJ$62,MATCH(Both_Shift_Roster!AQ$2,Evening_Shift!$B$2:$BJ$2,0),0),""),IFERROR(VLOOKUP($B101,Morning_Shift!$B$4:$BJ$61,MATCH(Both_Shift_Roster!AQ$2,Morning_Shift!$B$2:$BJ$2,0),0),""))</f>
        <v>14:30-22:00</v>
      </c>
      <c r="AR101" s="2" t="str">
        <f>IF(IFERROR(VLOOKUP($B101,Morning_Shift!$B$4:$BJ$61,MATCH(Both_Shift_Roster!AR$2,Morning_Shift!$B$2:$BJ$2,0),0),"")="",IFERROR(VLOOKUP($B101,Evening_Shift!$B$4:$BJ$62,MATCH(Both_Shift_Roster!AR$2,Evening_Shift!$B$2:$BJ$2,0),0),""),IFERROR(VLOOKUP($B101,Morning_Shift!$B$4:$BJ$61,MATCH(Both_Shift_Roster!AR$2,Morning_Shift!$B$2:$BJ$2,0),0),""))</f>
        <v>14:30-22:00</v>
      </c>
      <c r="AS101" s="2" t="str">
        <f>IF(IFERROR(VLOOKUP($B101,Morning_Shift!$B$4:$BJ$61,MATCH(Both_Shift_Roster!AS$2,Morning_Shift!$B$2:$BJ$2,0),0),"")="",IFERROR(VLOOKUP($B101,Evening_Shift!$B$4:$BJ$62,MATCH(Both_Shift_Roster!AS$2,Evening_Shift!$B$2:$BJ$2,0),0),""),IFERROR(VLOOKUP($B101,Morning_Shift!$B$4:$BJ$61,MATCH(Both_Shift_Roster!AS$2,Morning_Shift!$B$2:$BJ$2,0),0),""))</f>
        <v>14:30-22:00</v>
      </c>
      <c r="AT101" s="2" t="str">
        <f>IF(IFERROR(VLOOKUP($B101,Morning_Shift!$B$4:$BJ$61,MATCH(Both_Shift_Roster!AT$2,Morning_Shift!$B$2:$BJ$2,0),0),"")="",IFERROR(VLOOKUP($B101,Evening_Shift!$B$4:$BJ$62,MATCH(Both_Shift_Roster!AT$2,Evening_Shift!$B$2:$BJ$2,0),0),""),IFERROR(VLOOKUP($B101,Morning_Shift!$B$4:$BJ$61,MATCH(Both_Shift_Roster!AT$2,Morning_Shift!$B$2:$BJ$2,0),0),""))</f>
        <v>14:30-22:00</v>
      </c>
      <c r="AU101" s="2" t="str">
        <f>IF(IFERROR(VLOOKUP($B101,Morning_Shift!$B$4:$BJ$61,MATCH(Both_Shift_Roster!AU$2,Morning_Shift!$B$2:$BJ$2,0),0),"")="",IFERROR(VLOOKUP($B101,Evening_Shift!$B$4:$BJ$62,MATCH(Both_Shift_Roster!AU$2,Evening_Shift!$B$2:$BJ$2,0),0),""),IFERROR(VLOOKUP($B101,Morning_Shift!$B$4:$BJ$61,MATCH(Both_Shift_Roster!AU$2,Morning_Shift!$B$2:$BJ$2,0),0),""))</f>
        <v>14:30-22:00</v>
      </c>
      <c r="AV101" s="2" t="str">
        <f>IF(IFERROR(VLOOKUP($B101,Morning_Shift!$B$4:$BJ$61,MATCH(Both_Shift_Roster!AV$2,Morning_Shift!$B$2:$BJ$2,0),0),"")="",IFERROR(VLOOKUP($B101,Evening_Shift!$B$4:$BJ$62,MATCH(Both_Shift_Roster!AV$2,Evening_Shift!$B$2:$BJ$2,0),0),""),IFERROR(VLOOKUP($B101,Morning_Shift!$B$4:$BJ$61,MATCH(Both_Shift_Roster!AV$2,Morning_Shift!$B$2:$BJ$2,0),0),""))</f>
        <v>14:30-22:00</v>
      </c>
      <c r="AW101" s="2" t="str">
        <f>IF(IFERROR(VLOOKUP($B101,Morning_Shift!$B$4:$BJ$61,MATCH(Both_Shift_Roster!AW$2,Morning_Shift!$B$2:$BJ$2,0),0),"")="",IFERROR(VLOOKUP($B101,Evening_Shift!$B$4:$BJ$62,MATCH(Both_Shift_Roster!AW$2,Evening_Shift!$B$2:$BJ$2,0),0),""),IFERROR(VLOOKUP($B101,Morning_Shift!$B$4:$BJ$61,MATCH(Both_Shift_Roster!AW$2,Morning_Shift!$B$2:$BJ$2,0),0),""))</f>
        <v>14:30-22:00</v>
      </c>
      <c r="AX101" s="2">
        <f t="shared" si="56"/>
        <v>0</v>
      </c>
      <c r="AY101" s="2">
        <f t="shared" si="57"/>
        <v>0</v>
      </c>
      <c r="AZ101" s="2">
        <f t="shared" si="58"/>
        <v>0</v>
      </c>
      <c r="BA101" s="2">
        <f t="shared" si="59"/>
        <v>0</v>
      </c>
      <c r="BB101" s="2">
        <f t="shared" si="60"/>
        <v>0</v>
      </c>
      <c r="BC101" s="2" t="str">
        <f>IF(IFERROR(VLOOKUP($B101,Morning_Shift!$B$4:$BJ$61,MATCH(Both_Shift_Roster!BC$2,Morning_Shift!$B$2:$BJ$2,0),0),"")="",IFERROR(VLOOKUP($B101,Evening_Shift!$B$4:$BJ$62,MATCH(Both_Shift_Roster!BC$2,Evening_Shift!$B$2:$BJ$2,0),0),""),IFERROR(VLOOKUP($B101,Morning_Shift!$B$4:$BJ$61,MATCH(Both_Shift_Roster!BC$2,Morning_Shift!$B$2:$BJ$2,0),0),""))</f>
        <v>14:30-22:00</v>
      </c>
      <c r="BD101" s="2" t="str">
        <f>IF(IFERROR(VLOOKUP($B101,Morning_Shift!$B$4:$BJ$61,MATCH(Both_Shift_Roster!BD$2,Morning_Shift!$B$2:$BJ$2,0),0),"")="",IFERROR(VLOOKUP($B101,Evening_Shift!$B$4:$BJ$62,MATCH(Both_Shift_Roster!BD$2,Evening_Shift!$B$2:$BJ$2,0),0),""),IFERROR(VLOOKUP($B101,Morning_Shift!$B$4:$BJ$61,MATCH(Both_Shift_Roster!BD$2,Morning_Shift!$B$2:$BJ$2,0),0),""))</f>
        <v>14:30-22:00</v>
      </c>
      <c r="BE101" s="2" t="str">
        <f>IF(IFERROR(VLOOKUP($B101,Morning_Shift!$B$4:$BJ$61,MATCH(Both_Shift_Roster!BE$2,Morning_Shift!$B$2:$BJ$2,0),0),"")="",IFERROR(VLOOKUP($B101,Evening_Shift!$B$4:$BJ$59,MATCH(Both_Shift_Roster!BE$2,Evening_Shift!$B$2:$BJ$2,0),0),""),IFERROR(VLOOKUP($B101,Morning_Shift!$B$4:$BJ$61,MATCH(Both_Shift_Roster!BE$2,Morning_Shift!$B$2:$BJ$2,0),0),""))</f>
        <v>14:30-22:00</v>
      </c>
      <c r="BF101" s="2">
        <f t="shared" si="61"/>
        <v>0</v>
      </c>
      <c r="BG101" s="2">
        <f t="shared" si="62"/>
        <v>0</v>
      </c>
      <c r="BH101" s="2">
        <f t="shared" si="63"/>
        <v>0</v>
      </c>
      <c r="BI101" s="2">
        <f t="shared" si="64"/>
        <v>0</v>
      </c>
      <c r="BJ101" s="2">
        <f t="shared" si="65"/>
        <v>0</v>
      </c>
    </row>
    <row r="102" spans="1:62">
      <c r="A102" s="17">
        <f t="shared" si="66"/>
        <v>99</v>
      </c>
      <c r="B102" s="16" t="str">
        <f>Evening_Shift!$B44</f>
        <v>Dritm123</v>
      </c>
      <c r="C102" s="21" t="str">
        <f>IF(IFERROR(VLOOKUP(B102,Morning_Shift!B:C,2,0),"")="",IFERROR(VLOOKUP(B102,Evening_Shift!B:C,2,0),""),IFERROR(VLOOKUP(B102,Morning_Shift!B:C,2,0),""))</f>
        <v>Anita Devi</v>
      </c>
      <c r="D102" s="15" t="str">
        <f>IF(IFERROR(VLOOKUP(B102,Morning_Shift!B:D,3,0),"")="",IFERROR(VLOOKUP(B102,Evening_Shift!B:D,3,0),""),IFERROR(VLOOKUP(B102,Morning_Shift!B:D,3,0),""))</f>
        <v xml:space="preserve">Sanjesh </v>
      </c>
      <c r="E102" s="4" t="str">
        <f>IF(IFERROR(VLOOKUP(B102,Morning_Shift!B:E,4,0),"")="",IFERROR(VLOOKUP(B102,Evening_Shift!B:E,4,0),""),IFERROR(VLOOKUP(B102,Morning_Shift!B:E,4,0),""))</f>
        <v>F</v>
      </c>
      <c r="F102" s="5" t="str">
        <f>IF(IFERROR(VLOOKUP(B102,Morning_Shift!B:F,5,0),"")="",IFERROR(VLOOKUP(B102,Evening_Shift!B:F,5,0),""),IFERROR(VLOOKUP(B102,Morning_Shift!B:F,5,0),""))</f>
        <v>Inbound</v>
      </c>
      <c r="G102" s="2" t="str">
        <f>IF(IFERROR(VLOOKUP($B102,Morning_Shift!$B$4:$BJ$61,MATCH(Both_Shift_Roster!G$2,Morning_Shift!$B$2:$BJ$2,0),0),"")="",IFERROR(VLOOKUP($B102,Evening_Shift!$B$4:$BJ$62,MATCH(Both_Shift_Roster!G$2,Evening_Shift!$B$2:$BJ$2,0),0),""),IFERROR(VLOOKUP($B102,Morning_Shift!$B$4:$BJ$61,MATCH(Both_Shift_Roster!G$2,Morning_Shift!$B$2:$BJ$2,0),0),""))</f>
        <v>14:30-22:00</v>
      </c>
      <c r="H102" s="2" t="str">
        <f>IF(IFERROR(VLOOKUP($B102,Morning_Shift!$B$4:$BJ$61,MATCH(Both_Shift_Roster!H$2,Morning_Shift!$B$2:$BJ$2,0),0),"")="",IFERROR(VLOOKUP($B102,Evening_Shift!$B$4:$BJ$62,MATCH(Both_Shift_Roster!H$2,Evening_Shift!$B$2:$BJ$2,0),0),""),IFERROR(VLOOKUP($B102,Morning_Shift!$B$4:$BJ$61,MATCH(Both_Shift_Roster!H$2,Morning_Shift!$B$2:$BJ$2,0),0),""))</f>
        <v>14:30-22:00</v>
      </c>
      <c r="I102" s="2" t="str">
        <f>IF(IFERROR(VLOOKUP($B102,Morning_Shift!$B$4:$BJ$61,MATCH(Both_Shift_Roster!I$2,Morning_Shift!$B$2:$BJ$2,0),0),"")="",IFERROR(VLOOKUP($B102,Evening_Shift!$B$4:$BJ$62,MATCH(Both_Shift_Roster!I$2,Evening_Shift!$B$2:$BJ$2,0),0),""),IFERROR(VLOOKUP($B102,Morning_Shift!$B$4:$BJ$61,MATCH(Both_Shift_Roster!I$2,Morning_Shift!$B$2:$BJ$2,0),0),""))</f>
        <v>14:30-22:00</v>
      </c>
      <c r="J102" s="2" t="str">
        <f>IF(IFERROR(VLOOKUP($B102,Morning_Shift!$B$4:$BJ$61,MATCH(Both_Shift_Roster!J$2,Morning_Shift!$B$2:$BJ$2,0),0),"")="",IFERROR(VLOOKUP($B102,Evening_Shift!$B$4:$BJ$62,MATCH(Both_Shift_Roster!J$2,Evening_Shift!$B$2:$BJ$2,0),0),""),IFERROR(VLOOKUP($B102,Morning_Shift!$B$4:$BJ$61,MATCH(Both_Shift_Roster!J$2,Morning_Shift!$B$2:$BJ$2,0),0),""))</f>
        <v>14:30-22:00</v>
      </c>
      <c r="K102" s="2" t="str">
        <f>IF(IFERROR(VLOOKUP($B102,Morning_Shift!$B$4:$BJ$61,MATCH(Both_Shift_Roster!K$2,Morning_Shift!$B$2:$BJ$2,0),0),"")="",IFERROR(VLOOKUP($B102,Evening_Shift!$B$4:$BJ$62,MATCH(Both_Shift_Roster!K$2,Evening_Shift!$B$2:$BJ$2,0),0),""),IFERROR(VLOOKUP($B102,Morning_Shift!$B$4:$BJ$61,MATCH(Both_Shift_Roster!K$2,Morning_Shift!$B$2:$BJ$2,0),0),""))</f>
        <v>14:30-22:00</v>
      </c>
      <c r="L102" s="2" t="str">
        <f>IF(IFERROR(VLOOKUP($B102,Morning_Shift!$B$4:$BJ$61,MATCH(Both_Shift_Roster!L$2,Morning_Shift!$B$2:$BJ$2,0),0),"")="",IFERROR(VLOOKUP($B102,Evening_Shift!$B$4:$BJ$62,MATCH(Both_Shift_Roster!L$2,Evening_Shift!$B$2:$BJ$2,0),0),""),IFERROR(VLOOKUP($B102,Morning_Shift!$B$4:$BJ$61,MATCH(Both_Shift_Roster!L$2,Morning_Shift!$B$2:$BJ$2,0),0),""))</f>
        <v>14:30-22:00</v>
      </c>
      <c r="M102" s="2" t="str">
        <f>IF(IFERROR(VLOOKUP($B102,Morning_Shift!$B$4:$BJ$61,MATCH(Both_Shift_Roster!M$2,Morning_Shift!$B$2:$BJ$2,0),0),"")="",IFERROR(VLOOKUP($B102,Evening_Shift!$B$4:$BJ$62,MATCH(Both_Shift_Roster!M$2,Evening_Shift!$B$2:$BJ$2,0),0),""),IFERROR(VLOOKUP($B102,Morning_Shift!$B$4:$BJ$61,MATCH(Both_Shift_Roster!M$2,Morning_Shift!$B$2:$BJ$2,0),0),""))</f>
        <v>14:30-22:00</v>
      </c>
      <c r="N102" s="2">
        <f t="shared" si="41"/>
        <v>0</v>
      </c>
      <c r="O102" s="2">
        <f t="shared" si="42"/>
        <v>0</v>
      </c>
      <c r="P102" s="2">
        <f t="shared" si="43"/>
        <v>0</v>
      </c>
      <c r="Q102" s="2">
        <f t="shared" si="44"/>
        <v>0</v>
      </c>
      <c r="R102" s="2">
        <f t="shared" si="45"/>
        <v>0</v>
      </c>
      <c r="S102" s="2" t="str">
        <f>IF(IFERROR(VLOOKUP($B102,Morning_Shift!$B$4:$BJ$61,MATCH(Both_Shift_Roster!S$2,Morning_Shift!$B$2:$BJ$2,0),0),"")="",IFERROR(VLOOKUP($B102,Evening_Shift!$B$4:$BJ$62,MATCH(Both_Shift_Roster!S$2,Evening_Shift!$B$2:$BJ$2,0),0),""),IFERROR(VLOOKUP($B102,Morning_Shift!$B$4:$BJ$61,MATCH(Both_Shift_Roster!S$2,Morning_Shift!$B$2:$BJ$2,0),0),""))</f>
        <v>14:30-22:00</v>
      </c>
      <c r="T102" s="2" t="str">
        <f>IF(IFERROR(VLOOKUP($B102,Morning_Shift!$B$4:$BJ$61,MATCH(Both_Shift_Roster!T$2,Morning_Shift!$B$2:$BJ$2,0),0),"")="",IFERROR(VLOOKUP($B102,Evening_Shift!$B$4:$BJ$62,MATCH(Both_Shift_Roster!T$2,Evening_Shift!$B$2:$BJ$2,0),0),""),IFERROR(VLOOKUP($B102,Morning_Shift!$B$4:$BJ$61,MATCH(Both_Shift_Roster!T$2,Morning_Shift!$B$2:$BJ$2,0),0),""))</f>
        <v>14:30-22:00</v>
      </c>
      <c r="U102" s="2" t="str">
        <f>IF(IFERROR(VLOOKUP($B102,Morning_Shift!$B$4:$BJ$61,MATCH(Both_Shift_Roster!U$2,Morning_Shift!$B$2:$BJ$2,0),0),"")="",IFERROR(VLOOKUP($B102,Evening_Shift!$B$4:$BJ$62,MATCH(Both_Shift_Roster!U$2,Evening_Shift!$B$2:$BJ$2,0),0),""),IFERROR(VLOOKUP($B102,Morning_Shift!$B$4:$BJ$61,MATCH(Both_Shift_Roster!U$2,Morning_Shift!$B$2:$BJ$2,0),0),""))</f>
        <v>14:30-22:00</v>
      </c>
      <c r="V102" s="2" t="str">
        <f>IF(IFERROR(VLOOKUP($B102,Morning_Shift!$B$4:$BJ$61,MATCH(Both_Shift_Roster!V$2,Morning_Shift!$B$2:$BJ$2,0),0),"")="",IFERROR(VLOOKUP($B102,Evening_Shift!$B$4:$BJ$62,MATCH(Both_Shift_Roster!V$2,Evening_Shift!$B$2:$BJ$2,0),0),""),IFERROR(VLOOKUP($B102,Morning_Shift!$B$4:$BJ$61,MATCH(Both_Shift_Roster!V$2,Morning_Shift!$B$2:$BJ$2,0),0),""))</f>
        <v>14:30-22:00</v>
      </c>
      <c r="W102" s="2" t="str">
        <f>IF(IFERROR(VLOOKUP($B102,Morning_Shift!$B$4:$BJ$61,MATCH(Both_Shift_Roster!W$2,Morning_Shift!$B$2:$BJ$2,0),0),"")="",IFERROR(VLOOKUP($B102,Evening_Shift!$B$4:$BJ$62,MATCH(Both_Shift_Roster!W$2,Evening_Shift!$B$2:$BJ$2,0),0),""),IFERROR(VLOOKUP($B102,Morning_Shift!$B$4:$BJ$61,MATCH(Both_Shift_Roster!W$2,Morning_Shift!$B$2:$BJ$2,0),0),""))</f>
        <v>14:30-22:00</v>
      </c>
      <c r="X102" s="2" t="str">
        <f>IF(IFERROR(VLOOKUP($B102,Morning_Shift!$B$4:$BJ$61,MATCH(Both_Shift_Roster!X$2,Morning_Shift!$B$2:$BJ$2,0),0),"")="",IFERROR(VLOOKUP($B102,Evening_Shift!$B$4:$BJ$62,MATCH(Both_Shift_Roster!X$2,Evening_Shift!$B$2:$BJ$2,0),0),""),IFERROR(VLOOKUP($B102,Morning_Shift!$B$4:$BJ$61,MATCH(Both_Shift_Roster!X$2,Morning_Shift!$B$2:$BJ$2,0),0),""))</f>
        <v>14:30-22:00</v>
      </c>
      <c r="Y102" s="2" t="str">
        <f>IF(IFERROR(VLOOKUP($B102,Morning_Shift!$B$4:$BJ$61,MATCH(Both_Shift_Roster!Y$2,Morning_Shift!$B$2:$BJ$2,0),0),"")="",IFERROR(VLOOKUP($B102,Evening_Shift!$B$4:$BJ$62,MATCH(Both_Shift_Roster!Y$2,Evening_Shift!$B$2:$BJ$2,0),0),""),IFERROR(VLOOKUP($B102,Morning_Shift!$B$4:$BJ$61,MATCH(Both_Shift_Roster!Y$2,Morning_Shift!$B$2:$BJ$2,0),0),""))</f>
        <v>14:30-22:00</v>
      </c>
      <c r="Z102" s="2">
        <f t="shared" si="46"/>
        <v>0</v>
      </c>
      <c r="AA102" s="2">
        <f t="shared" si="47"/>
        <v>0</v>
      </c>
      <c r="AB102" s="2">
        <f t="shared" si="48"/>
        <v>0</v>
      </c>
      <c r="AC102" s="2">
        <f t="shared" si="49"/>
        <v>0</v>
      </c>
      <c r="AD102" s="2">
        <f t="shared" si="50"/>
        <v>0</v>
      </c>
      <c r="AE102" s="2" t="str">
        <f>IF(IFERROR(VLOOKUP($B102,Morning_Shift!$B$4:$BJ$61,MATCH(Both_Shift_Roster!AE$2,Morning_Shift!$B$2:$BJ$2,0),0),"")="",IFERROR(VLOOKUP($B102,Evening_Shift!$B$4:$BJ$62,MATCH(Both_Shift_Roster!AE$2,Evening_Shift!$B$2:$BJ$2,0),0),""),IFERROR(VLOOKUP($B102,Morning_Shift!$B$4:$BJ$61,MATCH(Both_Shift_Roster!AE$2,Morning_Shift!$B$2:$BJ$2,0),0),""))</f>
        <v>Agent Choice WO</v>
      </c>
      <c r="AF102" s="2" t="str">
        <f>IF(IFERROR(VLOOKUP($B102,Morning_Shift!$B$4:$BJ$61,MATCH(Both_Shift_Roster!AF$2,Morning_Shift!$B$2:$BJ$2,0),0),"")="",IFERROR(VLOOKUP($B102,Evening_Shift!$B$4:$BJ$62,MATCH(Both_Shift_Roster!AF$2,Evening_Shift!$B$2:$BJ$2,0),0),""),IFERROR(VLOOKUP($B102,Morning_Shift!$B$4:$BJ$61,MATCH(Both_Shift_Roster!AF$2,Morning_Shift!$B$2:$BJ$2,0),0),""))</f>
        <v>Agent Choice WO</v>
      </c>
      <c r="AG102" s="2" t="str">
        <f>IF(IFERROR(VLOOKUP($B102,Morning_Shift!$B$4:$BJ$61,MATCH(Both_Shift_Roster!AG$2,Morning_Shift!$B$2:$BJ$2,0),0),"")="",IFERROR(VLOOKUP($B102,Evening_Shift!$B$4:$BJ$62,MATCH(Both_Shift_Roster!AG$2,Evening_Shift!$B$2:$BJ$2,0),0),""),IFERROR(VLOOKUP($B102,Morning_Shift!$B$4:$BJ$61,MATCH(Both_Shift_Roster!AG$2,Morning_Shift!$B$2:$BJ$2,0),0),""))</f>
        <v>Agent Choice WO</v>
      </c>
      <c r="AH102" s="2" t="str">
        <f>IF(IFERROR(VLOOKUP($B102,Morning_Shift!$B$4:$BJ$61,MATCH(Both_Shift_Roster!AH$2,Morning_Shift!$B$2:$BJ$2,0),0),"")="",IFERROR(VLOOKUP($B102,Evening_Shift!$B$4:$BJ$62,MATCH(Both_Shift_Roster!AH$2,Evening_Shift!$B$2:$BJ$2,0),0),""),IFERROR(VLOOKUP($B102,Morning_Shift!$B$4:$BJ$61,MATCH(Both_Shift_Roster!AH$2,Morning_Shift!$B$2:$BJ$2,0),0),""))</f>
        <v>Agent Choice WO</v>
      </c>
      <c r="AI102" s="2" t="str">
        <f>IF(IFERROR(VLOOKUP($B102,Morning_Shift!$B$4:$BJ$61,MATCH(Both_Shift_Roster!AI$2,Morning_Shift!$B$2:$BJ$2,0),0),"")="",IFERROR(VLOOKUP($B102,Evening_Shift!$B$4:$BJ$62,MATCH(Both_Shift_Roster!AI$2,Evening_Shift!$B$2:$BJ$2,0),0),""),IFERROR(VLOOKUP($B102,Morning_Shift!$B$4:$BJ$61,MATCH(Both_Shift_Roster!AI$2,Morning_Shift!$B$2:$BJ$2,0),0),""))</f>
        <v>14:30-22:00</v>
      </c>
      <c r="AJ102" s="2" t="str">
        <f>IF(IFERROR(VLOOKUP($B102,Morning_Shift!$B$4:$BJ$61,MATCH(Both_Shift_Roster!AJ$2,Morning_Shift!$B$2:$BJ$2,0),0),"")="",IFERROR(VLOOKUP($B102,Evening_Shift!$B$4:$BJ$62,MATCH(Both_Shift_Roster!AJ$2,Evening_Shift!$B$2:$BJ$2,0),0),""),IFERROR(VLOOKUP($B102,Morning_Shift!$B$4:$BJ$61,MATCH(Both_Shift_Roster!AJ$2,Morning_Shift!$B$2:$BJ$2,0),0),""))</f>
        <v>14:30-22:00</v>
      </c>
      <c r="AK102" s="2" t="str">
        <f>IF(IFERROR(VLOOKUP($B102,Morning_Shift!$B$4:$BJ$61,MATCH(Both_Shift_Roster!AK$2,Morning_Shift!$B$2:$BJ$2,0),0),"")="",IFERROR(VLOOKUP($B102,Evening_Shift!$B$4:$BJ$62,MATCH(Both_Shift_Roster!AK$2,Evening_Shift!$B$2:$BJ$2,0),0),""),IFERROR(VLOOKUP($B102,Morning_Shift!$B$4:$BJ$61,MATCH(Both_Shift_Roster!AK$2,Morning_Shift!$B$2:$BJ$2,0),0),""))</f>
        <v>14:30-22:00</v>
      </c>
      <c r="AL102" s="2">
        <f t="shared" si="51"/>
        <v>4</v>
      </c>
      <c r="AM102" s="2">
        <f t="shared" si="52"/>
        <v>0</v>
      </c>
      <c r="AN102" s="2">
        <f t="shared" si="53"/>
        <v>0</v>
      </c>
      <c r="AO102" s="2">
        <f t="shared" si="54"/>
        <v>0</v>
      </c>
      <c r="AP102" s="2">
        <f t="shared" si="55"/>
        <v>0</v>
      </c>
      <c r="AQ102" s="2" t="str">
        <f>IF(IFERROR(VLOOKUP($B102,Morning_Shift!$B$4:$BJ$61,MATCH(Both_Shift_Roster!AQ$2,Morning_Shift!$B$2:$BJ$2,0),0),"")="",IFERROR(VLOOKUP($B102,Evening_Shift!$B$4:$BJ$62,MATCH(Both_Shift_Roster!AQ$2,Evening_Shift!$B$2:$BJ$2,0),0),""),IFERROR(VLOOKUP($B102,Morning_Shift!$B$4:$BJ$61,MATCH(Both_Shift_Roster!AQ$2,Morning_Shift!$B$2:$BJ$2,0),0),""))</f>
        <v>14:30-22:00</v>
      </c>
      <c r="AR102" s="2" t="str">
        <f>IF(IFERROR(VLOOKUP($B102,Morning_Shift!$B$4:$BJ$61,MATCH(Both_Shift_Roster!AR$2,Morning_Shift!$B$2:$BJ$2,0),0),"")="",IFERROR(VLOOKUP($B102,Evening_Shift!$B$4:$BJ$62,MATCH(Both_Shift_Roster!AR$2,Evening_Shift!$B$2:$BJ$2,0),0),""),IFERROR(VLOOKUP($B102,Morning_Shift!$B$4:$BJ$61,MATCH(Both_Shift_Roster!AR$2,Morning_Shift!$B$2:$BJ$2,0),0),""))</f>
        <v>14:30-22:00</v>
      </c>
      <c r="AS102" s="2" t="str">
        <f>IF(IFERROR(VLOOKUP($B102,Morning_Shift!$B$4:$BJ$61,MATCH(Both_Shift_Roster!AS$2,Morning_Shift!$B$2:$BJ$2,0),0),"")="",IFERROR(VLOOKUP($B102,Evening_Shift!$B$4:$BJ$62,MATCH(Both_Shift_Roster!AS$2,Evening_Shift!$B$2:$BJ$2,0),0),""),IFERROR(VLOOKUP($B102,Morning_Shift!$B$4:$BJ$61,MATCH(Both_Shift_Roster!AS$2,Morning_Shift!$B$2:$BJ$2,0),0),""))</f>
        <v>14:30-22:00</v>
      </c>
      <c r="AT102" s="2" t="str">
        <f>IF(IFERROR(VLOOKUP($B102,Morning_Shift!$B$4:$BJ$61,MATCH(Both_Shift_Roster!AT$2,Morning_Shift!$B$2:$BJ$2,0),0),"")="",IFERROR(VLOOKUP($B102,Evening_Shift!$B$4:$BJ$62,MATCH(Both_Shift_Roster!AT$2,Evening_Shift!$B$2:$BJ$2,0),0),""),IFERROR(VLOOKUP($B102,Morning_Shift!$B$4:$BJ$61,MATCH(Both_Shift_Roster!AT$2,Morning_Shift!$B$2:$BJ$2,0),0),""))</f>
        <v>14:30-22:00</v>
      </c>
      <c r="AU102" s="2" t="str">
        <f>IF(IFERROR(VLOOKUP($B102,Morning_Shift!$B$4:$BJ$61,MATCH(Both_Shift_Roster!AU$2,Morning_Shift!$B$2:$BJ$2,0),0),"")="",IFERROR(VLOOKUP($B102,Evening_Shift!$B$4:$BJ$62,MATCH(Both_Shift_Roster!AU$2,Evening_Shift!$B$2:$BJ$2,0),0),""),IFERROR(VLOOKUP($B102,Morning_Shift!$B$4:$BJ$61,MATCH(Both_Shift_Roster!AU$2,Morning_Shift!$B$2:$BJ$2,0),0),""))</f>
        <v>14:30-22:00</v>
      </c>
      <c r="AV102" s="2" t="str">
        <f>IF(IFERROR(VLOOKUP($B102,Morning_Shift!$B$4:$BJ$61,MATCH(Both_Shift_Roster!AV$2,Morning_Shift!$B$2:$BJ$2,0),0),"")="",IFERROR(VLOOKUP($B102,Evening_Shift!$B$4:$BJ$62,MATCH(Both_Shift_Roster!AV$2,Evening_Shift!$B$2:$BJ$2,0),0),""),IFERROR(VLOOKUP($B102,Morning_Shift!$B$4:$BJ$61,MATCH(Both_Shift_Roster!AV$2,Morning_Shift!$B$2:$BJ$2,0),0),""))</f>
        <v>14:30-22:00</v>
      </c>
      <c r="AW102" s="2" t="str">
        <f>IF(IFERROR(VLOOKUP($B102,Morning_Shift!$B$4:$BJ$61,MATCH(Both_Shift_Roster!AW$2,Morning_Shift!$B$2:$BJ$2,0),0),"")="",IFERROR(VLOOKUP($B102,Evening_Shift!$B$4:$BJ$62,MATCH(Both_Shift_Roster!AW$2,Evening_Shift!$B$2:$BJ$2,0),0),""),IFERROR(VLOOKUP($B102,Morning_Shift!$B$4:$BJ$61,MATCH(Both_Shift_Roster!AW$2,Morning_Shift!$B$2:$BJ$2,0),0),""))</f>
        <v>14:30-22:00</v>
      </c>
      <c r="AX102" s="2">
        <f t="shared" si="56"/>
        <v>0</v>
      </c>
      <c r="AY102" s="2">
        <f t="shared" si="57"/>
        <v>0</v>
      </c>
      <c r="AZ102" s="2">
        <f t="shared" si="58"/>
        <v>0</v>
      </c>
      <c r="BA102" s="2">
        <f t="shared" si="59"/>
        <v>0</v>
      </c>
      <c r="BB102" s="2">
        <f t="shared" si="60"/>
        <v>0</v>
      </c>
      <c r="BC102" s="2" t="str">
        <f>IF(IFERROR(VLOOKUP($B102,Morning_Shift!$B$4:$BJ$61,MATCH(Both_Shift_Roster!BC$2,Morning_Shift!$B$2:$BJ$2,0),0),"")="",IFERROR(VLOOKUP($B102,Evening_Shift!$B$4:$BJ$62,MATCH(Both_Shift_Roster!BC$2,Evening_Shift!$B$2:$BJ$2,0),0),""),IFERROR(VLOOKUP($B102,Morning_Shift!$B$4:$BJ$61,MATCH(Both_Shift_Roster!BC$2,Morning_Shift!$B$2:$BJ$2,0),0),""))</f>
        <v>14:30-22:00</v>
      </c>
      <c r="BD102" s="2" t="str">
        <f>IF(IFERROR(VLOOKUP($B102,Morning_Shift!$B$4:$BJ$61,MATCH(Both_Shift_Roster!BD$2,Morning_Shift!$B$2:$BJ$2,0),0),"")="",IFERROR(VLOOKUP($B102,Evening_Shift!$B$4:$BJ$62,MATCH(Both_Shift_Roster!BD$2,Evening_Shift!$B$2:$BJ$2,0),0),""),IFERROR(VLOOKUP($B102,Morning_Shift!$B$4:$BJ$61,MATCH(Both_Shift_Roster!BD$2,Morning_Shift!$B$2:$BJ$2,0),0),""))</f>
        <v>14:30-22:00</v>
      </c>
      <c r="BE102" s="2" t="str">
        <f>IF(IFERROR(VLOOKUP($B102,Morning_Shift!$B$4:$BJ$61,MATCH(Both_Shift_Roster!BE$2,Morning_Shift!$B$2:$BJ$2,0),0),"")="",IFERROR(VLOOKUP($B102,Evening_Shift!$B$4:$BJ$59,MATCH(Both_Shift_Roster!BE$2,Evening_Shift!$B$2:$BJ$2,0),0),""),IFERROR(VLOOKUP($B102,Morning_Shift!$B$4:$BJ$61,MATCH(Both_Shift_Roster!BE$2,Morning_Shift!$B$2:$BJ$2,0),0),""))</f>
        <v>14:30-22:00</v>
      </c>
      <c r="BF102" s="2">
        <f t="shared" si="61"/>
        <v>0</v>
      </c>
      <c r="BG102" s="2">
        <f t="shared" si="62"/>
        <v>0</v>
      </c>
      <c r="BH102" s="2">
        <f t="shared" si="63"/>
        <v>0</v>
      </c>
      <c r="BI102" s="2">
        <f t="shared" si="64"/>
        <v>0</v>
      </c>
      <c r="BJ102" s="2">
        <f t="shared" si="65"/>
        <v>0</v>
      </c>
    </row>
    <row r="103" spans="1:62">
      <c r="A103" s="17">
        <f t="shared" si="66"/>
        <v>100</v>
      </c>
      <c r="B103" s="16" t="str">
        <f>Evening_Shift!$B45</f>
        <v>Dritm154</v>
      </c>
      <c r="C103" s="21" t="str">
        <f>IF(IFERROR(VLOOKUP(B103,Morning_Shift!B:C,2,0),"")="",IFERROR(VLOOKUP(B103,Evening_Shift!B:C,2,0),""),IFERROR(VLOOKUP(B103,Morning_Shift!B:C,2,0),""))</f>
        <v>Hemlata Sharma</v>
      </c>
      <c r="D103" s="15" t="str">
        <f>IF(IFERROR(VLOOKUP(B103,Morning_Shift!B:D,3,0),"")="",IFERROR(VLOOKUP(B103,Evening_Shift!B:D,3,0),""),IFERROR(VLOOKUP(B103,Morning_Shift!B:D,3,0),""))</f>
        <v xml:space="preserve">Sanjesh </v>
      </c>
      <c r="E103" s="4" t="str">
        <f>IF(IFERROR(VLOOKUP(B103,Morning_Shift!B:E,4,0),"")="",IFERROR(VLOOKUP(B103,Evening_Shift!B:E,4,0),""),IFERROR(VLOOKUP(B103,Morning_Shift!B:E,4,0),""))</f>
        <v>F</v>
      </c>
      <c r="F103" s="5" t="str">
        <f>IF(IFERROR(VLOOKUP(B103,Morning_Shift!B:F,5,0),"")="",IFERROR(VLOOKUP(B103,Evening_Shift!B:F,5,0),""),IFERROR(VLOOKUP(B103,Morning_Shift!B:F,5,0),""))</f>
        <v>Inbound</v>
      </c>
      <c r="G103" s="2" t="str">
        <f>IF(IFERROR(VLOOKUP($B103,Morning_Shift!$B$4:$BJ$61,MATCH(Both_Shift_Roster!G$2,Morning_Shift!$B$2:$BJ$2,0),0),"")="",IFERROR(VLOOKUP($B103,Evening_Shift!$B$4:$BJ$62,MATCH(Both_Shift_Roster!G$2,Evening_Shift!$B$2:$BJ$2,0),0),""),IFERROR(VLOOKUP($B103,Morning_Shift!$B$4:$BJ$61,MATCH(Both_Shift_Roster!G$2,Morning_Shift!$B$2:$BJ$2,0),0),""))</f>
        <v>14:30-22:00</v>
      </c>
      <c r="H103" s="2" t="str">
        <f>IF(IFERROR(VLOOKUP($B103,Morning_Shift!$B$4:$BJ$61,MATCH(Both_Shift_Roster!H$2,Morning_Shift!$B$2:$BJ$2,0),0),"")="",IFERROR(VLOOKUP($B103,Evening_Shift!$B$4:$BJ$62,MATCH(Both_Shift_Roster!H$2,Evening_Shift!$B$2:$BJ$2,0),0),""),IFERROR(VLOOKUP($B103,Morning_Shift!$B$4:$BJ$61,MATCH(Both_Shift_Roster!H$2,Morning_Shift!$B$2:$BJ$2,0),0),""))</f>
        <v>14:30-22:00</v>
      </c>
      <c r="I103" s="2" t="str">
        <f>IF(IFERROR(VLOOKUP($B103,Morning_Shift!$B$4:$BJ$61,MATCH(Both_Shift_Roster!I$2,Morning_Shift!$B$2:$BJ$2,0),0),"")="",IFERROR(VLOOKUP($B103,Evening_Shift!$B$4:$BJ$62,MATCH(Both_Shift_Roster!I$2,Evening_Shift!$B$2:$BJ$2,0),0),""),IFERROR(VLOOKUP($B103,Morning_Shift!$B$4:$BJ$61,MATCH(Both_Shift_Roster!I$2,Morning_Shift!$B$2:$BJ$2,0),0),""))</f>
        <v>14:30-22:00</v>
      </c>
      <c r="J103" s="2" t="str">
        <f>IF(IFERROR(VLOOKUP($B103,Morning_Shift!$B$4:$BJ$61,MATCH(Both_Shift_Roster!J$2,Morning_Shift!$B$2:$BJ$2,0),0),"")="",IFERROR(VLOOKUP($B103,Evening_Shift!$B$4:$BJ$62,MATCH(Both_Shift_Roster!J$2,Evening_Shift!$B$2:$BJ$2,0),0),""),IFERROR(VLOOKUP($B103,Morning_Shift!$B$4:$BJ$61,MATCH(Both_Shift_Roster!J$2,Morning_Shift!$B$2:$BJ$2,0),0),""))</f>
        <v>14:30-22:00</v>
      </c>
      <c r="K103" s="2" t="str">
        <f>IF(IFERROR(VLOOKUP($B103,Morning_Shift!$B$4:$BJ$61,MATCH(Both_Shift_Roster!K$2,Morning_Shift!$B$2:$BJ$2,0),0),"")="",IFERROR(VLOOKUP($B103,Evening_Shift!$B$4:$BJ$62,MATCH(Both_Shift_Roster!K$2,Evening_Shift!$B$2:$BJ$2,0),0),""),IFERROR(VLOOKUP($B103,Morning_Shift!$B$4:$BJ$61,MATCH(Both_Shift_Roster!K$2,Morning_Shift!$B$2:$BJ$2,0),0),""))</f>
        <v>14:30-22:00</v>
      </c>
      <c r="L103" s="2" t="str">
        <f>IF(IFERROR(VLOOKUP($B103,Morning_Shift!$B$4:$BJ$61,MATCH(Both_Shift_Roster!L$2,Morning_Shift!$B$2:$BJ$2,0),0),"")="",IFERROR(VLOOKUP($B103,Evening_Shift!$B$4:$BJ$62,MATCH(Both_Shift_Roster!L$2,Evening_Shift!$B$2:$BJ$2,0),0),""),IFERROR(VLOOKUP($B103,Morning_Shift!$B$4:$BJ$61,MATCH(Both_Shift_Roster!L$2,Morning_Shift!$B$2:$BJ$2,0),0),""))</f>
        <v>14:30-22:00</v>
      </c>
      <c r="M103" s="2" t="str">
        <f>IF(IFERROR(VLOOKUP($B103,Morning_Shift!$B$4:$BJ$61,MATCH(Both_Shift_Roster!M$2,Morning_Shift!$B$2:$BJ$2,0),0),"")="",IFERROR(VLOOKUP($B103,Evening_Shift!$B$4:$BJ$62,MATCH(Both_Shift_Roster!M$2,Evening_Shift!$B$2:$BJ$2,0),0),""),IFERROR(VLOOKUP($B103,Morning_Shift!$B$4:$BJ$61,MATCH(Both_Shift_Roster!M$2,Morning_Shift!$B$2:$BJ$2,0),0),""))</f>
        <v>14:30-22:00</v>
      </c>
      <c r="N103" s="2">
        <f t="shared" si="41"/>
        <v>0</v>
      </c>
      <c r="O103" s="2">
        <f t="shared" si="42"/>
        <v>0</v>
      </c>
      <c r="P103" s="2">
        <f t="shared" si="43"/>
        <v>0</v>
      </c>
      <c r="Q103" s="2">
        <f t="shared" si="44"/>
        <v>0</v>
      </c>
      <c r="R103" s="2">
        <f t="shared" si="45"/>
        <v>0</v>
      </c>
      <c r="S103" s="2" t="str">
        <f>IF(IFERROR(VLOOKUP($B103,Morning_Shift!$B$4:$BJ$61,MATCH(Both_Shift_Roster!S$2,Morning_Shift!$B$2:$BJ$2,0),0),"")="",IFERROR(VLOOKUP($B103,Evening_Shift!$B$4:$BJ$62,MATCH(Both_Shift_Roster!S$2,Evening_Shift!$B$2:$BJ$2,0),0),""),IFERROR(VLOOKUP($B103,Morning_Shift!$B$4:$BJ$61,MATCH(Both_Shift_Roster!S$2,Morning_Shift!$B$2:$BJ$2,0),0),""))</f>
        <v>14:30-22:00</v>
      </c>
      <c r="T103" s="2" t="str">
        <f>IF(IFERROR(VLOOKUP($B103,Morning_Shift!$B$4:$BJ$61,MATCH(Both_Shift_Roster!T$2,Morning_Shift!$B$2:$BJ$2,0),0),"")="",IFERROR(VLOOKUP($B103,Evening_Shift!$B$4:$BJ$62,MATCH(Both_Shift_Roster!T$2,Evening_Shift!$B$2:$BJ$2,0),0),""),IFERROR(VLOOKUP($B103,Morning_Shift!$B$4:$BJ$61,MATCH(Both_Shift_Roster!T$2,Morning_Shift!$B$2:$BJ$2,0),0),""))</f>
        <v>14:30-22:00</v>
      </c>
      <c r="U103" s="2" t="str">
        <f>IF(IFERROR(VLOOKUP($B103,Morning_Shift!$B$4:$BJ$61,MATCH(Both_Shift_Roster!U$2,Morning_Shift!$B$2:$BJ$2,0),0),"")="",IFERROR(VLOOKUP($B103,Evening_Shift!$B$4:$BJ$62,MATCH(Both_Shift_Roster!U$2,Evening_Shift!$B$2:$BJ$2,0),0),""),IFERROR(VLOOKUP($B103,Morning_Shift!$B$4:$BJ$61,MATCH(Both_Shift_Roster!U$2,Morning_Shift!$B$2:$BJ$2,0),0),""))</f>
        <v>14:30-22:00</v>
      </c>
      <c r="V103" s="2" t="str">
        <f>IF(IFERROR(VLOOKUP($B103,Morning_Shift!$B$4:$BJ$61,MATCH(Both_Shift_Roster!V$2,Morning_Shift!$B$2:$BJ$2,0),0),"")="",IFERROR(VLOOKUP($B103,Evening_Shift!$B$4:$BJ$62,MATCH(Both_Shift_Roster!V$2,Evening_Shift!$B$2:$BJ$2,0),0),""),IFERROR(VLOOKUP($B103,Morning_Shift!$B$4:$BJ$61,MATCH(Both_Shift_Roster!V$2,Morning_Shift!$B$2:$BJ$2,0),0),""))</f>
        <v>14:30-22:00</v>
      </c>
      <c r="W103" s="2" t="str">
        <f>IF(IFERROR(VLOOKUP($B103,Morning_Shift!$B$4:$BJ$61,MATCH(Both_Shift_Roster!W$2,Morning_Shift!$B$2:$BJ$2,0),0),"")="",IFERROR(VLOOKUP($B103,Evening_Shift!$B$4:$BJ$62,MATCH(Both_Shift_Roster!W$2,Evening_Shift!$B$2:$BJ$2,0),0),""),IFERROR(VLOOKUP($B103,Morning_Shift!$B$4:$BJ$61,MATCH(Both_Shift_Roster!W$2,Morning_Shift!$B$2:$BJ$2,0),0),""))</f>
        <v>Agent Choice WO</v>
      </c>
      <c r="X103" s="2" t="str">
        <f>IF(IFERROR(VLOOKUP($B103,Morning_Shift!$B$4:$BJ$61,MATCH(Both_Shift_Roster!X$2,Morning_Shift!$B$2:$BJ$2,0),0),"")="",IFERROR(VLOOKUP($B103,Evening_Shift!$B$4:$BJ$62,MATCH(Both_Shift_Roster!X$2,Evening_Shift!$B$2:$BJ$2,0),0),""),IFERROR(VLOOKUP($B103,Morning_Shift!$B$4:$BJ$61,MATCH(Both_Shift_Roster!X$2,Morning_Shift!$B$2:$BJ$2,0),0),""))</f>
        <v>Agent Choice WO</v>
      </c>
      <c r="Y103" s="2" t="str">
        <f>IF(IFERROR(VLOOKUP($B103,Morning_Shift!$B$4:$BJ$61,MATCH(Both_Shift_Roster!Y$2,Morning_Shift!$B$2:$BJ$2,0),0),"")="",IFERROR(VLOOKUP($B103,Evening_Shift!$B$4:$BJ$62,MATCH(Both_Shift_Roster!Y$2,Evening_Shift!$B$2:$BJ$2,0),0),""),IFERROR(VLOOKUP($B103,Morning_Shift!$B$4:$BJ$61,MATCH(Both_Shift_Roster!Y$2,Morning_Shift!$B$2:$BJ$2,0),0),""))</f>
        <v>14:30-22:00</v>
      </c>
      <c r="Z103" s="2">
        <f t="shared" si="46"/>
        <v>2</v>
      </c>
      <c r="AA103" s="2">
        <f t="shared" si="47"/>
        <v>0</v>
      </c>
      <c r="AB103" s="2">
        <f t="shared" si="48"/>
        <v>0</v>
      </c>
      <c r="AC103" s="2">
        <f t="shared" si="49"/>
        <v>0</v>
      </c>
      <c r="AD103" s="2">
        <f t="shared" si="50"/>
        <v>0</v>
      </c>
      <c r="AE103" s="2" t="str">
        <f>IF(IFERROR(VLOOKUP($B103,Morning_Shift!$B$4:$BJ$61,MATCH(Both_Shift_Roster!AE$2,Morning_Shift!$B$2:$BJ$2,0),0),"")="",IFERROR(VLOOKUP($B103,Evening_Shift!$B$4:$BJ$62,MATCH(Both_Shift_Roster!AE$2,Evening_Shift!$B$2:$BJ$2,0),0),""),IFERROR(VLOOKUP($B103,Morning_Shift!$B$4:$BJ$61,MATCH(Both_Shift_Roster!AE$2,Morning_Shift!$B$2:$BJ$2,0),0),""))</f>
        <v>14:30-22:00</v>
      </c>
      <c r="AF103" s="2" t="str">
        <f>IF(IFERROR(VLOOKUP($B103,Morning_Shift!$B$4:$BJ$61,MATCH(Both_Shift_Roster!AF$2,Morning_Shift!$B$2:$BJ$2,0),0),"")="",IFERROR(VLOOKUP($B103,Evening_Shift!$B$4:$BJ$62,MATCH(Both_Shift_Roster!AF$2,Evening_Shift!$B$2:$BJ$2,0),0),""),IFERROR(VLOOKUP($B103,Morning_Shift!$B$4:$BJ$61,MATCH(Both_Shift_Roster!AF$2,Morning_Shift!$B$2:$BJ$2,0),0),""))</f>
        <v>14:30-22:00</v>
      </c>
      <c r="AG103" s="2" t="str">
        <f>IF(IFERROR(VLOOKUP($B103,Morning_Shift!$B$4:$BJ$61,MATCH(Both_Shift_Roster!AG$2,Morning_Shift!$B$2:$BJ$2,0),0),"")="",IFERROR(VLOOKUP($B103,Evening_Shift!$B$4:$BJ$62,MATCH(Both_Shift_Roster!AG$2,Evening_Shift!$B$2:$BJ$2,0),0),""),IFERROR(VLOOKUP($B103,Morning_Shift!$B$4:$BJ$61,MATCH(Both_Shift_Roster!AG$2,Morning_Shift!$B$2:$BJ$2,0),0),""))</f>
        <v>14:30-22:00</v>
      </c>
      <c r="AH103" s="2" t="str">
        <f>IF(IFERROR(VLOOKUP($B103,Morning_Shift!$B$4:$BJ$61,MATCH(Both_Shift_Roster!AH$2,Morning_Shift!$B$2:$BJ$2,0),0),"")="",IFERROR(VLOOKUP($B103,Evening_Shift!$B$4:$BJ$62,MATCH(Both_Shift_Roster!AH$2,Evening_Shift!$B$2:$BJ$2,0),0),""),IFERROR(VLOOKUP($B103,Morning_Shift!$B$4:$BJ$61,MATCH(Both_Shift_Roster!AH$2,Morning_Shift!$B$2:$BJ$2,0),0),""))</f>
        <v>14:30-22:00</v>
      </c>
      <c r="AI103" s="2" t="str">
        <f>IF(IFERROR(VLOOKUP($B103,Morning_Shift!$B$4:$BJ$61,MATCH(Both_Shift_Roster!AI$2,Morning_Shift!$B$2:$BJ$2,0),0),"")="",IFERROR(VLOOKUP($B103,Evening_Shift!$B$4:$BJ$62,MATCH(Both_Shift_Roster!AI$2,Evening_Shift!$B$2:$BJ$2,0),0),""),IFERROR(VLOOKUP($B103,Morning_Shift!$B$4:$BJ$61,MATCH(Both_Shift_Roster!AI$2,Morning_Shift!$B$2:$BJ$2,0),0),""))</f>
        <v>14:30-22:00</v>
      </c>
      <c r="AJ103" s="2" t="str">
        <f>IF(IFERROR(VLOOKUP($B103,Morning_Shift!$B$4:$BJ$61,MATCH(Both_Shift_Roster!AJ$2,Morning_Shift!$B$2:$BJ$2,0),0),"")="",IFERROR(VLOOKUP($B103,Evening_Shift!$B$4:$BJ$62,MATCH(Both_Shift_Roster!AJ$2,Evening_Shift!$B$2:$BJ$2,0),0),""),IFERROR(VLOOKUP($B103,Morning_Shift!$B$4:$BJ$61,MATCH(Both_Shift_Roster!AJ$2,Morning_Shift!$B$2:$BJ$2,0),0),""))</f>
        <v>14:30-22:00</v>
      </c>
      <c r="AK103" s="2" t="str">
        <f>IF(IFERROR(VLOOKUP($B103,Morning_Shift!$B$4:$BJ$61,MATCH(Both_Shift_Roster!AK$2,Morning_Shift!$B$2:$BJ$2,0),0),"")="",IFERROR(VLOOKUP($B103,Evening_Shift!$B$4:$BJ$62,MATCH(Both_Shift_Roster!AK$2,Evening_Shift!$B$2:$BJ$2,0),0),""),IFERROR(VLOOKUP($B103,Morning_Shift!$B$4:$BJ$61,MATCH(Both_Shift_Roster!AK$2,Morning_Shift!$B$2:$BJ$2,0),0),""))</f>
        <v>14:30-22:00</v>
      </c>
      <c r="AL103" s="2">
        <f t="shared" si="51"/>
        <v>0</v>
      </c>
      <c r="AM103" s="2">
        <f t="shared" si="52"/>
        <v>0</v>
      </c>
      <c r="AN103" s="2">
        <f t="shared" si="53"/>
        <v>0</v>
      </c>
      <c r="AO103" s="2">
        <f t="shared" si="54"/>
        <v>0</v>
      </c>
      <c r="AP103" s="2">
        <f t="shared" si="55"/>
        <v>0</v>
      </c>
      <c r="AQ103" s="2" t="str">
        <f>IF(IFERROR(VLOOKUP($B103,Morning_Shift!$B$4:$BJ$61,MATCH(Both_Shift_Roster!AQ$2,Morning_Shift!$B$2:$BJ$2,0),0),"")="",IFERROR(VLOOKUP($B103,Evening_Shift!$B$4:$BJ$62,MATCH(Both_Shift_Roster!AQ$2,Evening_Shift!$B$2:$BJ$2,0),0),""),IFERROR(VLOOKUP($B103,Morning_Shift!$B$4:$BJ$61,MATCH(Both_Shift_Roster!AQ$2,Morning_Shift!$B$2:$BJ$2,0),0),""))</f>
        <v>14:30-22:00</v>
      </c>
      <c r="AR103" s="2" t="str">
        <f>IF(IFERROR(VLOOKUP($B103,Morning_Shift!$B$4:$BJ$61,MATCH(Both_Shift_Roster!AR$2,Morning_Shift!$B$2:$BJ$2,0),0),"")="",IFERROR(VLOOKUP($B103,Evening_Shift!$B$4:$BJ$62,MATCH(Both_Shift_Roster!AR$2,Evening_Shift!$B$2:$BJ$2,0),0),""),IFERROR(VLOOKUP($B103,Morning_Shift!$B$4:$BJ$61,MATCH(Both_Shift_Roster!AR$2,Morning_Shift!$B$2:$BJ$2,0),0),""))</f>
        <v>14:30-22:00</v>
      </c>
      <c r="AS103" s="2" t="str">
        <f>IF(IFERROR(VLOOKUP($B103,Morning_Shift!$B$4:$BJ$61,MATCH(Both_Shift_Roster!AS$2,Morning_Shift!$B$2:$BJ$2,0),0),"")="",IFERROR(VLOOKUP($B103,Evening_Shift!$B$4:$BJ$62,MATCH(Both_Shift_Roster!AS$2,Evening_Shift!$B$2:$BJ$2,0),0),""),IFERROR(VLOOKUP($B103,Morning_Shift!$B$4:$BJ$61,MATCH(Both_Shift_Roster!AS$2,Morning_Shift!$B$2:$BJ$2,0),0),""))</f>
        <v>Agent Choice WO</v>
      </c>
      <c r="AT103" s="2" t="str">
        <f>IF(IFERROR(VLOOKUP($B103,Morning_Shift!$B$4:$BJ$61,MATCH(Both_Shift_Roster!AT$2,Morning_Shift!$B$2:$BJ$2,0),0),"")="",IFERROR(VLOOKUP($B103,Evening_Shift!$B$4:$BJ$62,MATCH(Both_Shift_Roster!AT$2,Evening_Shift!$B$2:$BJ$2,0),0),""),IFERROR(VLOOKUP($B103,Morning_Shift!$B$4:$BJ$61,MATCH(Both_Shift_Roster!AT$2,Morning_Shift!$B$2:$BJ$2,0),0),""))</f>
        <v>14:30-22:00</v>
      </c>
      <c r="AU103" s="2" t="str">
        <f>IF(IFERROR(VLOOKUP($B103,Morning_Shift!$B$4:$BJ$61,MATCH(Both_Shift_Roster!AU$2,Morning_Shift!$B$2:$BJ$2,0),0),"")="",IFERROR(VLOOKUP($B103,Evening_Shift!$B$4:$BJ$62,MATCH(Both_Shift_Roster!AU$2,Evening_Shift!$B$2:$BJ$2,0),0),""),IFERROR(VLOOKUP($B103,Morning_Shift!$B$4:$BJ$61,MATCH(Both_Shift_Roster!AU$2,Morning_Shift!$B$2:$BJ$2,0),0),""))</f>
        <v>14:30-22:00</v>
      </c>
      <c r="AV103" s="2" t="str">
        <f>IF(IFERROR(VLOOKUP($B103,Morning_Shift!$B$4:$BJ$61,MATCH(Both_Shift_Roster!AV$2,Morning_Shift!$B$2:$BJ$2,0),0),"")="",IFERROR(VLOOKUP($B103,Evening_Shift!$B$4:$BJ$62,MATCH(Both_Shift_Roster!AV$2,Evening_Shift!$B$2:$BJ$2,0),0),""),IFERROR(VLOOKUP($B103,Morning_Shift!$B$4:$BJ$61,MATCH(Both_Shift_Roster!AV$2,Morning_Shift!$B$2:$BJ$2,0),0),""))</f>
        <v>14:30-22:00</v>
      </c>
      <c r="AW103" s="2" t="str">
        <f>IF(IFERROR(VLOOKUP($B103,Morning_Shift!$B$4:$BJ$61,MATCH(Both_Shift_Roster!AW$2,Morning_Shift!$B$2:$BJ$2,0),0),"")="",IFERROR(VLOOKUP($B103,Evening_Shift!$B$4:$BJ$62,MATCH(Both_Shift_Roster!AW$2,Evening_Shift!$B$2:$BJ$2,0),0),""),IFERROR(VLOOKUP($B103,Morning_Shift!$B$4:$BJ$61,MATCH(Both_Shift_Roster!AW$2,Morning_Shift!$B$2:$BJ$2,0),0),""))</f>
        <v>14:30-22:00</v>
      </c>
      <c r="AX103" s="2">
        <f t="shared" si="56"/>
        <v>1</v>
      </c>
      <c r="AY103" s="2">
        <f t="shared" si="57"/>
        <v>0</v>
      </c>
      <c r="AZ103" s="2">
        <f t="shared" si="58"/>
        <v>0</v>
      </c>
      <c r="BA103" s="2">
        <f t="shared" si="59"/>
        <v>0</v>
      </c>
      <c r="BB103" s="2">
        <f t="shared" si="60"/>
        <v>0</v>
      </c>
      <c r="BC103" s="2" t="str">
        <f>IF(IFERROR(VLOOKUP($B103,Morning_Shift!$B$4:$BJ$61,MATCH(Both_Shift_Roster!BC$2,Morning_Shift!$B$2:$BJ$2,0),0),"")="",IFERROR(VLOOKUP($B103,Evening_Shift!$B$4:$BJ$62,MATCH(Both_Shift_Roster!BC$2,Evening_Shift!$B$2:$BJ$2,0),0),""),IFERROR(VLOOKUP($B103,Morning_Shift!$B$4:$BJ$61,MATCH(Both_Shift_Roster!BC$2,Morning_Shift!$B$2:$BJ$2,0),0),""))</f>
        <v>Agent Choice WO</v>
      </c>
      <c r="BD103" s="2" t="str">
        <f>IF(IFERROR(VLOOKUP($B103,Morning_Shift!$B$4:$BJ$61,MATCH(Both_Shift_Roster!BD$2,Morning_Shift!$B$2:$BJ$2,0),0),"")="",IFERROR(VLOOKUP($B103,Evening_Shift!$B$4:$BJ$62,MATCH(Both_Shift_Roster!BD$2,Evening_Shift!$B$2:$BJ$2,0),0),""),IFERROR(VLOOKUP($B103,Morning_Shift!$B$4:$BJ$61,MATCH(Both_Shift_Roster!BD$2,Morning_Shift!$B$2:$BJ$2,0),0),""))</f>
        <v>14:30-22:00</v>
      </c>
      <c r="BE103" s="2" t="str">
        <f>IF(IFERROR(VLOOKUP($B103,Morning_Shift!$B$4:$BJ$61,MATCH(Both_Shift_Roster!BE$2,Morning_Shift!$B$2:$BJ$2,0),0),"")="",IFERROR(VLOOKUP($B103,Evening_Shift!$B$4:$BJ$59,MATCH(Both_Shift_Roster!BE$2,Evening_Shift!$B$2:$BJ$2,0),0),""),IFERROR(VLOOKUP($B103,Morning_Shift!$B$4:$BJ$61,MATCH(Both_Shift_Roster!BE$2,Morning_Shift!$B$2:$BJ$2,0),0),""))</f>
        <v>14:30-22:00</v>
      </c>
      <c r="BF103" s="2">
        <f t="shared" si="61"/>
        <v>1</v>
      </c>
      <c r="BG103" s="2">
        <f t="shared" si="62"/>
        <v>0</v>
      </c>
      <c r="BH103" s="2">
        <f t="shared" si="63"/>
        <v>0</v>
      </c>
      <c r="BI103" s="2">
        <f t="shared" si="64"/>
        <v>0</v>
      </c>
      <c r="BJ103" s="2">
        <f t="shared" si="65"/>
        <v>0</v>
      </c>
    </row>
    <row r="104" spans="1:62">
      <c r="A104" s="17">
        <f t="shared" si="66"/>
        <v>101</v>
      </c>
      <c r="B104" s="16" t="str">
        <f>Evening_Shift!$B46</f>
        <v>Dritm156</v>
      </c>
      <c r="C104" s="21" t="str">
        <f>IF(IFERROR(VLOOKUP(B104,Morning_Shift!B:C,2,0),"")="",IFERROR(VLOOKUP(B104,Evening_Shift!B:C,2,0),""),IFERROR(VLOOKUP(B104,Morning_Shift!B:C,2,0),""))</f>
        <v xml:space="preserve">Promila </v>
      </c>
      <c r="D104" s="15" t="str">
        <f>IF(IFERROR(VLOOKUP(B104,Morning_Shift!B:D,3,0),"")="",IFERROR(VLOOKUP(B104,Evening_Shift!B:D,3,0),""),IFERROR(VLOOKUP(B104,Morning_Shift!B:D,3,0),""))</f>
        <v xml:space="preserve">Sanjesh </v>
      </c>
      <c r="E104" s="4" t="str">
        <f>IF(IFERROR(VLOOKUP(B104,Morning_Shift!B:E,4,0),"")="",IFERROR(VLOOKUP(B104,Evening_Shift!B:E,4,0),""),IFERROR(VLOOKUP(B104,Morning_Shift!B:E,4,0),""))</f>
        <v>F</v>
      </c>
      <c r="F104" s="5" t="str">
        <f>IF(IFERROR(VLOOKUP(B104,Morning_Shift!B:F,5,0),"")="",IFERROR(VLOOKUP(B104,Evening_Shift!B:F,5,0),""),IFERROR(VLOOKUP(B104,Morning_Shift!B:F,5,0),""))</f>
        <v>Inbound</v>
      </c>
      <c r="G104" s="2" t="str">
        <f>IF(IFERROR(VLOOKUP($B104,Morning_Shift!$B$4:$BJ$61,MATCH(Both_Shift_Roster!G$2,Morning_Shift!$B$2:$BJ$2,0),0),"")="",IFERROR(VLOOKUP($B104,Evening_Shift!$B$4:$BJ$62,MATCH(Both_Shift_Roster!G$2,Evening_Shift!$B$2:$BJ$2,0),0),""),IFERROR(VLOOKUP($B104,Morning_Shift!$B$4:$BJ$61,MATCH(Both_Shift_Roster!G$2,Morning_Shift!$B$2:$BJ$2,0),0),""))</f>
        <v>14:30-22:00</v>
      </c>
      <c r="H104" s="2" t="str">
        <f>IF(IFERROR(VLOOKUP($B104,Morning_Shift!$B$4:$BJ$61,MATCH(Both_Shift_Roster!H$2,Morning_Shift!$B$2:$BJ$2,0),0),"")="",IFERROR(VLOOKUP($B104,Evening_Shift!$B$4:$BJ$62,MATCH(Both_Shift_Roster!H$2,Evening_Shift!$B$2:$BJ$2,0),0),""),IFERROR(VLOOKUP($B104,Morning_Shift!$B$4:$BJ$61,MATCH(Both_Shift_Roster!H$2,Morning_Shift!$B$2:$BJ$2,0),0),""))</f>
        <v>14:30-22:00</v>
      </c>
      <c r="I104" s="2" t="str">
        <f>IF(IFERROR(VLOOKUP($B104,Morning_Shift!$B$4:$BJ$61,MATCH(Both_Shift_Roster!I$2,Morning_Shift!$B$2:$BJ$2,0),0),"")="",IFERROR(VLOOKUP($B104,Evening_Shift!$B$4:$BJ$62,MATCH(Both_Shift_Roster!I$2,Evening_Shift!$B$2:$BJ$2,0),0),""),IFERROR(VLOOKUP($B104,Morning_Shift!$B$4:$BJ$61,MATCH(Both_Shift_Roster!I$2,Morning_Shift!$B$2:$BJ$2,0),0),""))</f>
        <v>14:30-22:00</v>
      </c>
      <c r="J104" s="2" t="str">
        <f>IF(IFERROR(VLOOKUP($B104,Morning_Shift!$B$4:$BJ$61,MATCH(Both_Shift_Roster!J$2,Morning_Shift!$B$2:$BJ$2,0),0),"")="",IFERROR(VLOOKUP($B104,Evening_Shift!$B$4:$BJ$62,MATCH(Both_Shift_Roster!J$2,Evening_Shift!$B$2:$BJ$2,0),0),""),IFERROR(VLOOKUP($B104,Morning_Shift!$B$4:$BJ$61,MATCH(Both_Shift_Roster!J$2,Morning_Shift!$B$2:$BJ$2,0),0),""))</f>
        <v>14:30-22:00</v>
      </c>
      <c r="K104" s="2" t="str">
        <f>IF(IFERROR(VLOOKUP($B104,Morning_Shift!$B$4:$BJ$61,MATCH(Both_Shift_Roster!K$2,Morning_Shift!$B$2:$BJ$2,0),0),"")="",IFERROR(VLOOKUP($B104,Evening_Shift!$B$4:$BJ$62,MATCH(Both_Shift_Roster!K$2,Evening_Shift!$B$2:$BJ$2,0),0),""),IFERROR(VLOOKUP($B104,Morning_Shift!$B$4:$BJ$61,MATCH(Both_Shift_Roster!K$2,Morning_Shift!$B$2:$BJ$2,0),0),""))</f>
        <v>14:30-22:00</v>
      </c>
      <c r="L104" s="2" t="str">
        <f>IF(IFERROR(VLOOKUP($B104,Morning_Shift!$B$4:$BJ$61,MATCH(Both_Shift_Roster!L$2,Morning_Shift!$B$2:$BJ$2,0),0),"")="",IFERROR(VLOOKUP($B104,Evening_Shift!$B$4:$BJ$62,MATCH(Both_Shift_Roster!L$2,Evening_Shift!$B$2:$BJ$2,0),0),""),IFERROR(VLOOKUP($B104,Morning_Shift!$B$4:$BJ$61,MATCH(Both_Shift_Roster!L$2,Morning_Shift!$B$2:$BJ$2,0),0),""))</f>
        <v>14:30-22:00</v>
      </c>
      <c r="M104" s="2" t="str">
        <f>IF(IFERROR(VLOOKUP($B104,Morning_Shift!$B$4:$BJ$61,MATCH(Both_Shift_Roster!M$2,Morning_Shift!$B$2:$BJ$2,0),0),"")="",IFERROR(VLOOKUP($B104,Evening_Shift!$B$4:$BJ$62,MATCH(Both_Shift_Roster!M$2,Evening_Shift!$B$2:$BJ$2,0),0),""),IFERROR(VLOOKUP($B104,Morning_Shift!$B$4:$BJ$61,MATCH(Both_Shift_Roster!M$2,Morning_Shift!$B$2:$BJ$2,0),0),""))</f>
        <v>Agent Choice WO</v>
      </c>
      <c r="N104" s="2">
        <f t="shared" si="41"/>
        <v>1</v>
      </c>
      <c r="O104" s="2">
        <f t="shared" si="42"/>
        <v>0</v>
      </c>
      <c r="P104" s="2">
        <f t="shared" si="43"/>
        <v>0</v>
      </c>
      <c r="Q104" s="2">
        <f t="shared" si="44"/>
        <v>0</v>
      </c>
      <c r="R104" s="2">
        <f t="shared" si="45"/>
        <v>0</v>
      </c>
      <c r="S104" s="2" t="str">
        <f>IF(IFERROR(VLOOKUP($B104,Morning_Shift!$B$4:$BJ$61,MATCH(Both_Shift_Roster!S$2,Morning_Shift!$B$2:$BJ$2,0),0),"")="",IFERROR(VLOOKUP($B104,Evening_Shift!$B$4:$BJ$62,MATCH(Both_Shift_Roster!S$2,Evening_Shift!$B$2:$BJ$2,0),0),""),IFERROR(VLOOKUP($B104,Morning_Shift!$B$4:$BJ$61,MATCH(Both_Shift_Roster!S$2,Morning_Shift!$B$2:$BJ$2,0),0),""))</f>
        <v>14:30-22:00</v>
      </c>
      <c r="T104" s="2" t="str">
        <f>IF(IFERROR(VLOOKUP($B104,Morning_Shift!$B$4:$BJ$61,MATCH(Both_Shift_Roster!T$2,Morning_Shift!$B$2:$BJ$2,0),0),"")="",IFERROR(VLOOKUP($B104,Evening_Shift!$B$4:$BJ$62,MATCH(Both_Shift_Roster!T$2,Evening_Shift!$B$2:$BJ$2,0),0),""),IFERROR(VLOOKUP($B104,Morning_Shift!$B$4:$BJ$61,MATCH(Both_Shift_Roster!T$2,Morning_Shift!$B$2:$BJ$2,0),0),""))</f>
        <v>14:30-22:00</v>
      </c>
      <c r="U104" s="2" t="str">
        <f>IF(IFERROR(VLOOKUP($B104,Morning_Shift!$B$4:$BJ$61,MATCH(Both_Shift_Roster!U$2,Morning_Shift!$B$2:$BJ$2,0),0),"")="",IFERROR(VLOOKUP($B104,Evening_Shift!$B$4:$BJ$62,MATCH(Both_Shift_Roster!U$2,Evening_Shift!$B$2:$BJ$2,0),0),""),IFERROR(VLOOKUP($B104,Morning_Shift!$B$4:$BJ$61,MATCH(Both_Shift_Roster!U$2,Morning_Shift!$B$2:$BJ$2,0),0),""))</f>
        <v>14:30-22:00</v>
      </c>
      <c r="V104" s="2" t="str">
        <f>IF(IFERROR(VLOOKUP($B104,Morning_Shift!$B$4:$BJ$61,MATCH(Both_Shift_Roster!V$2,Morning_Shift!$B$2:$BJ$2,0),0),"")="",IFERROR(VLOOKUP($B104,Evening_Shift!$B$4:$BJ$62,MATCH(Both_Shift_Roster!V$2,Evening_Shift!$B$2:$BJ$2,0),0),""),IFERROR(VLOOKUP($B104,Morning_Shift!$B$4:$BJ$61,MATCH(Both_Shift_Roster!V$2,Morning_Shift!$B$2:$BJ$2,0),0),""))</f>
        <v>14:30-22:00</v>
      </c>
      <c r="W104" s="2" t="str">
        <f>IF(IFERROR(VLOOKUP($B104,Morning_Shift!$B$4:$BJ$61,MATCH(Both_Shift_Roster!W$2,Morning_Shift!$B$2:$BJ$2,0),0),"")="",IFERROR(VLOOKUP($B104,Evening_Shift!$B$4:$BJ$62,MATCH(Both_Shift_Roster!W$2,Evening_Shift!$B$2:$BJ$2,0),0),""),IFERROR(VLOOKUP($B104,Morning_Shift!$B$4:$BJ$61,MATCH(Both_Shift_Roster!W$2,Morning_Shift!$B$2:$BJ$2,0),0),""))</f>
        <v>14:30-22:00</v>
      </c>
      <c r="X104" s="2" t="str">
        <f>IF(IFERROR(VLOOKUP($B104,Morning_Shift!$B$4:$BJ$61,MATCH(Both_Shift_Roster!X$2,Morning_Shift!$B$2:$BJ$2,0),0),"")="",IFERROR(VLOOKUP($B104,Evening_Shift!$B$4:$BJ$62,MATCH(Both_Shift_Roster!X$2,Evening_Shift!$B$2:$BJ$2,0),0),""),IFERROR(VLOOKUP($B104,Morning_Shift!$B$4:$BJ$61,MATCH(Both_Shift_Roster!X$2,Morning_Shift!$B$2:$BJ$2,0),0),""))</f>
        <v>14:30-22:00</v>
      </c>
      <c r="Y104" s="2" t="str">
        <f>IF(IFERROR(VLOOKUP($B104,Morning_Shift!$B$4:$BJ$61,MATCH(Both_Shift_Roster!Y$2,Morning_Shift!$B$2:$BJ$2,0),0),"")="",IFERROR(VLOOKUP($B104,Evening_Shift!$B$4:$BJ$62,MATCH(Both_Shift_Roster!Y$2,Evening_Shift!$B$2:$BJ$2,0),0),""),IFERROR(VLOOKUP($B104,Morning_Shift!$B$4:$BJ$61,MATCH(Both_Shift_Roster!Y$2,Morning_Shift!$B$2:$BJ$2,0),0),""))</f>
        <v>14:30-22:00</v>
      </c>
      <c r="Z104" s="2">
        <f t="shared" si="46"/>
        <v>0</v>
      </c>
      <c r="AA104" s="2">
        <f t="shared" si="47"/>
        <v>0</v>
      </c>
      <c r="AB104" s="2">
        <f t="shared" si="48"/>
        <v>0</v>
      </c>
      <c r="AC104" s="2">
        <f t="shared" si="49"/>
        <v>0</v>
      </c>
      <c r="AD104" s="2">
        <f t="shared" si="50"/>
        <v>0</v>
      </c>
      <c r="AE104" s="2" t="str">
        <f>IF(IFERROR(VLOOKUP($B104,Morning_Shift!$B$4:$BJ$61,MATCH(Both_Shift_Roster!AE$2,Morning_Shift!$B$2:$BJ$2,0),0),"")="",IFERROR(VLOOKUP($B104,Evening_Shift!$B$4:$BJ$62,MATCH(Both_Shift_Roster!AE$2,Evening_Shift!$B$2:$BJ$2,0),0),""),IFERROR(VLOOKUP($B104,Morning_Shift!$B$4:$BJ$61,MATCH(Both_Shift_Roster!AE$2,Morning_Shift!$B$2:$BJ$2,0),0),""))</f>
        <v>14:30-22:00</v>
      </c>
      <c r="AF104" s="2" t="str">
        <f>IF(IFERROR(VLOOKUP($B104,Morning_Shift!$B$4:$BJ$61,MATCH(Both_Shift_Roster!AF$2,Morning_Shift!$B$2:$BJ$2,0),0),"")="",IFERROR(VLOOKUP($B104,Evening_Shift!$B$4:$BJ$62,MATCH(Both_Shift_Roster!AF$2,Evening_Shift!$B$2:$BJ$2,0),0),""),IFERROR(VLOOKUP($B104,Morning_Shift!$B$4:$BJ$61,MATCH(Both_Shift_Roster!AF$2,Morning_Shift!$B$2:$BJ$2,0),0),""))</f>
        <v>Agent Choice WO</v>
      </c>
      <c r="AG104" s="2" t="str">
        <f>IF(IFERROR(VLOOKUP($B104,Morning_Shift!$B$4:$BJ$61,MATCH(Both_Shift_Roster!AG$2,Morning_Shift!$B$2:$BJ$2,0),0),"")="",IFERROR(VLOOKUP($B104,Evening_Shift!$B$4:$BJ$62,MATCH(Both_Shift_Roster!AG$2,Evening_Shift!$B$2:$BJ$2,0),0),""),IFERROR(VLOOKUP($B104,Morning_Shift!$B$4:$BJ$61,MATCH(Both_Shift_Roster!AG$2,Morning_Shift!$B$2:$BJ$2,0),0),""))</f>
        <v>14:30-22:00</v>
      </c>
      <c r="AH104" s="2" t="str">
        <f>IF(IFERROR(VLOOKUP($B104,Morning_Shift!$B$4:$BJ$61,MATCH(Both_Shift_Roster!AH$2,Morning_Shift!$B$2:$BJ$2,0),0),"")="",IFERROR(VLOOKUP($B104,Evening_Shift!$B$4:$BJ$62,MATCH(Both_Shift_Roster!AH$2,Evening_Shift!$B$2:$BJ$2,0),0),""),IFERROR(VLOOKUP($B104,Morning_Shift!$B$4:$BJ$61,MATCH(Both_Shift_Roster!AH$2,Morning_Shift!$B$2:$BJ$2,0),0),""))</f>
        <v>14:30-22:00</v>
      </c>
      <c r="AI104" s="2" t="str">
        <f>IF(IFERROR(VLOOKUP($B104,Morning_Shift!$B$4:$BJ$61,MATCH(Both_Shift_Roster!AI$2,Morning_Shift!$B$2:$BJ$2,0),0),"")="",IFERROR(VLOOKUP($B104,Evening_Shift!$B$4:$BJ$62,MATCH(Both_Shift_Roster!AI$2,Evening_Shift!$B$2:$BJ$2,0),0),""),IFERROR(VLOOKUP($B104,Morning_Shift!$B$4:$BJ$61,MATCH(Both_Shift_Roster!AI$2,Morning_Shift!$B$2:$BJ$2,0),0),""))</f>
        <v>14:30-22:00</v>
      </c>
      <c r="AJ104" s="2" t="str">
        <f>IF(IFERROR(VLOOKUP($B104,Morning_Shift!$B$4:$BJ$61,MATCH(Both_Shift_Roster!AJ$2,Morning_Shift!$B$2:$BJ$2,0),0),"")="",IFERROR(VLOOKUP($B104,Evening_Shift!$B$4:$BJ$62,MATCH(Both_Shift_Roster!AJ$2,Evening_Shift!$B$2:$BJ$2,0),0),""),IFERROR(VLOOKUP($B104,Morning_Shift!$B$4:$BJ$61,MATCH(Both_Shift_Roster!AJ$2,Morning_Shift!$B$2:$BJ$2,0),0),""))</f>
        <v>14:30-22:00</v>
      </c>
      <c r="AK104" s="2" t="str">
        <f>IF(IFERROR(VLOOKUP($B104,Morning_Shift!$B$4:$BJ$61,MATCH(Both_Shift_Roster!AK$2,Morning_Shift!$B$2:$BJ$2,0),0),"")="",IFERROR(VLOOKUP($B104,Evening_Shift!$B$4:$BJ$62,MATCH(Both_Shift_Roster!AK$2,Evening_Shift!$B$2:$BJ$2,0),0),""),IFERROR(VLOOKUP($B104,Morning_Shift!$B$4:$BJ$61,MATCH(Both_Shift_Roster!AK$2,Morning_Shift!$B$2:$BJ$2,0),0),""))</f>
        <v>14:30-22:00</v>
      </c>
      <c r="AL104" s="2">
        <f t="shared" si="51"/>
        <v>1</v>
      </c>
      <c r="AM104" s="2">
        <f t="shared" si="52"/>
        <v>0</v>
      </c>
      <c r="AN104" s="2">
        <f t="shared" si="53"/>
        <v>0</v>
      </c>
      <c r="AO104" s="2">
        <f t="shared" si="54"/>
        <v>0</v>
      </c>
      <c r="AP104" s="2">
        <f t="shared" si="55"/>
        <v>0</v>
      </c>
      <c r="AQ104" s="2" t="str">
        <f>IF(IFERROR(VLOOKUP($B104,Morning_Shift!$B$4:$BJ$61,MATCH(Both_Shift_Roster!AQ$2,Morning_Shift!$B$2:$BJ$2,0),0),"")="",IFERROR(VLOOKUP($B104,Evening_Shift!$B$4:$BJ$62,MATCH(Both_Shift_Roster!AQ$2,Evening_Shift!$B$2:$BJ$2,0),0),""),IFERROR(VLOOKUP($B104,Morning_Shift!$B$4:$BJ$61,MATCH(Both_Shift_Roster!AQ$2,Morning_Shift!$B$2:$BJ$2,0),0),""))</f>
        <v>14:30-22:00</v>
      </c>
      <c r="AR104" s="2" t="str">
        <f>IF(IFERROR(VLOOKUP($B104,Morning_Shift!$B$4:$BJ$61,MATCH(Both_Shift_Roster!AR$2,Morning_Shift!$B$2:$BJ$2,0),0),"")="",IFERROR(VLOOKUP($B104,Evening_Shift!$B$4:$BJ$62,MATCH(Both_Shift_Roster!AR$2,Evening_Shift!$B$2:$BJ$2,0),0),""),IFERROR(VLOOKUP($B104,Morning_Shift!$B$4:$BJ$61,MATCH(Both_Shift_Roster!AR$2,Morning_Shift!$B$2:$BJ$2,0),0),""))</f>
        <v>14:30-22:00</v>
      </c>
      <c r="AS104" s="2" t="str">
        <f>IF(IFERROR(VLOOKUP($B104,Morning_Shift!$B$4:$BJ$61,MATCH(Both_Shift_Roster!AS$2,Morning_Shift!$B$2:$BJ$2,0),0),"")="",IFERROR(VLOOKUP($B104,Evening_Shift!$B$4:$BJ$62,MATCH(Both_Shift_Roster!AS$2,Evening_Shift!$B$2:$BJ$2,0),0),""),IFERROR(VLOOKUP($B104,Morning_Shift!$B$4:$BJ$61,MATCH(Both_Shift_Roster!AS$2,Morning_Shift!$B$2:$BJ$2,0),0),""))</f>
        <v>14:30-22:00</v>
      </c>
      <c r="AT104" s="2" t="str">
        <f>IF(IFERROR(VLOOKUP($B104,Morning_Shift!$B$4:$BJ$61,MATCH(Both_Shift_Roster!AT$2,Morning_Shift!$B$2:$BJ$2,0),0),"")="",IFERROR(VLOOKUP($B104,Evening_Shift!$B$4:$BJ$62,MATCH(Both_Shift_Roster!AT$2,Evening_Shift!$B$2:$BJ$2,0),0),""),IFERROR(VLOOKUP($B104,Morning_Shift!$B$4:$BJ$61,MATCH(Both_Shift_Roster!AT$2,Morning_Shift!$B$2:$BJ$2,0),0),""))</f>
        <v>14:30-22:00</v>
      </c>
      <c r="AU104" s="2" t="str">
        <f>IF(IFERROR(VLOOKUP($B104,Morning_Shift!$B$4:$BJ$61,MATCH(Both_Shift_Roster!AU$2,Morning_Shift!$B$2:$BJ$2,0),0),"")="",IFERROR(VLOOKUP($B104,Evening_Shift!$B$4:$BJ$62,MATCH(Both_Shift_Roster!AU$2,Evening_Shift!$B$2:$BJ$2,0),0),""),IFERROR(VLOOKUP($B104,Morning_Shift!$B$4:$BJ$61,MATCH(Both_Shift_Roster!AU$2,Morning_Shift!$B$2:$BJ$2,0),0),""))</f>
        <v>Agent Choice WO</v>
      </c>
      <c r="AV104" s="2" t="str">
        <f>IF(IFERROR(VLOOKUP($B104,Morning_Shift!$B$4:$BJ$61,MATCH(Both_Shift_Roster!AV$2,Morning_Shift!$B$2:$BJ$2,0),0),"")="",IFERROR(VLOOKUP($B104,Evening_Shift!$B$4:$BJ$62,MATCH(Both_Shift_Roster!AV$2,Evening_Shift!$B$2:$BJ$2,0),0),""),IFERROR(VLOOKUP($B104,Morning_Shift!$B$4:$BJ$61,MATCH(Both_Shift_Roster!AV$2,Morning_Shift!$B$2:$BJ$2,0),0),""))</f>
        <v>14:30-22:00</v>
      </c>
      <c r="AW104" s="2" t="str">
        <f>IF(IFERROR(VLOOKUP($B104,Morning_Shift!$B$4:$BJ$61,MATCH(Both_Shift_Roster!AW$2,Morning_Shift!$B$2:$BJ$2,0),0),"")="",IFERROR(VLOOKUP($B104,Evening_Shift!$B$4:$BJ$62,MATCH(Both_Shift_Roster!AW$2,Evening_Shift!$B$2:$BJ$2,0),0),""),IFERROR(VLOOKUP($B104,Morning_Shift!$B$4:$BJ$61,MATCH(Both_Shift_Roster!AW$2,Morning_Shift!$B$2:$BJ$2,0),0),""))</f>
        <v>14:30-22:00</v>
      </c>
      <c r="AX104" s="2">
        <f t="shared" si="56"/>
        <v>1</v>
      </c>
      <c r="AY104" s="2">
        <f t="shared" si="57"/>
        <v>0</v>
      </c>
      <c r="AZ104" s="2">
        <f t="shared" si="58"/>
        <v>0</v>
      </c>
      <c r="BA104" s="2">
        <f t="shared" si="59"/>
        <v>0</v>
      </c>
      <c r="BB104" s="2">
        <f t="shared" si="60"/>
        <v>0</v>
      </c>
      <c r="BC104" s="2" t="str">
        <f>IF(IFERROR(VLOOKUP($B104,Morning_Shift!$B$4:$BJ$61,MATCH(Both_Shift_Roster!BC$2,Morning_Shift!$B$2:$BJ$2,0),0),"")="",IFERROR(VLOOKUP($B104,Evening_Shift!$B$4:$BJ$62,MATCH(Both_Shift_Roster!BC$2,Evening_Shift!$B$2:$BJ$2,0),0),""),IFERROR(VLOOKUP($B104,Morning_Shift!$B$4:$BJ$61,MATCH(Both_Shift_Roster!BC$2,Morning_Shift!$B$2:$BJ$2,0),0),""))</f>
        <v>14:30-22:00</v>
      </c>
      <c r="BD104" s="2" t="str">
        <f>IF(IFERROR(VLOOKUP($B104,Morning_Shift!$B$4:$BJ$61,MATCH(Both_Shift_Roster!BD$2,Morning_Shift!$B$2:$BJ$2,0),0),"")="",IFERROR(VLOOKUP($B104,Evening_Shift!$B$4:$BJ$62,MATCH(Both_Shift_Roster!BD$2,Evening_Shift!$B$2:$BJ$2,0),0),""),IFERROR(VLOOKUP($B104,Morning_Shift!$B$4:$BJ$61,MATCH(Both_Shift_Roster!BD$2,Morning_Shift!$B$2:$BJ$2,0),0),""))</f>
        <v>14:30-22:00</v>
      </c>
      <c r="BE104" s="2" t="str">
        <f>IF(IFERROR(VLOOKUP($B104,Morning_Shift!$B$4:$BJ$61,MATCH(Both_Shift_Roster!BE$2,Morning_Shift!$B$2:$BJ$2,0),0),"")="",IFERROR(VLOOKUP($B104,Evening_Shift!$B$4:$BJ$59,MATCH(Both_Shift_Roster!BE$2,Evening_Shift!$B$2:$BJ$2,0),0),""),IFERROR(VLOOKUP($B104,Morning_Shift!$B$4:$BJ$61,MATCH(Both_Shift_Roster!BE$2,Morning_Shift!$B$2:$BJ$2,0),0),""))</f>
        <v>14:30-22:00</v>
      </c>
      <c r="BF104" s="2">
        <f t="shared" si="61"/>
        <v>0</v>
      </c>
      <c r="BG104" s="2">
        <f t="shared" si="62"/>
        <v>0</v>
      </c>
      <c r="BH104" s="2">
        <f t="shared" si="63"/>
        <v>0</v>
      </c>
      <c r="BI104" s="2">
        <f t="shared" si="64"/>
        <v>0</v>
      </c>
      <c r="BJ104" s="2">
        <f t="shared" si="65"/>
        <v>0</v>
      </c>
    </row>
    <row r="105" spans="1:62">
      <c r="A105" s="17">
        <f t="shared" si="66"/>
        <v>102</v>
      </c>
      <c r="B105" s="16" t="str">
        <f>Evening_Shift!$B47</f>
        <v>Dritm157</v>
      </c>
      <c r="C105" s="21" t="str">
        <f>IF(IFERROR(VLOOKUP(B105,Morning_Shift!B:C,2,0),"")="",IFERROR(VLOOKUP(B105,Evening_Shift!B:C,2,0),""),IFERROR(VLOOKUP(B105,Morning_Shift!B:C,2,0),""))</f>
        <v xml:space="preserve">Diksha </v>
      </c>
      <c r="D105" s="15" t="str">
        <f>IF(IFERROR(VLOOKUP(B105,Morning_Shift!B:D,3,0),"")="",IFERROR(VLOOKUP(B105,Evening_Shift!B:D,3,0),""),IFERROR(VLOOKUP(B105,Morning_Shift!B:D,3,0),""))</f>
        <v xml:space="preserve">Sanjesh </v>
      </c>
      <c r="E105" s="4" t="str">
        <f>IF(IFERROR(VLOOKUP(B105,Morning_Shift!B:E,4,0),"")="",IFERROR(VLOOKUP(B105,Evening_Shift!B:E,4,0),""),IFERROR(VLOOKUP(B105,Morning_Shift!B:E,4,0),""))</f>
        <v>F</v>
      </c>
      <c r="F105" s="5" t="str">
        <f>IF(IFERROR(VLOOKUP(B105,Morning_Shift!B:F,5,0),"")="",IFERROR(VLOOKUP(B105,Evening_Shift!B:F,5,0),""),IFERROR(VLOOKUP(B105,Morning_Shift!B:F,5,0),""))</f>
        <v>Inbound</v>
      </c>
      <c r="G105" s="2" t="str">
        <f>IF(IFERROR(VLOOKUP($B105,Morning_Shift!$B$4:$BJ$61,MATCH(Both_Shift_Roster!G$2,Morning_Shift!$B$2:$BJ$2,0),0),"")="",IFERROR(VLOOKUP($B105,Evening_Shift!$B$4:$BJ$62,MATCH(Both_Shift_Roster!G$2,Evening_Shift!$B$2:$BJ$2,0),0),""),IFERROR(VLOOKUP($B105,Morning_Shift!$B$4:$BJ$61,MATCH(Both_Shift_Roster!G$2,Morning_Shift!$B$2:$BJ$2,0),0),""))</f>
        <v>14:30-22:00</v>
      </c>
      <c r="H105" s="2" t="str">
        <f>IF(IFERROR(VLOOKUP($B105,Morning_Shift!$B$4:$BJ$61,MATCH(Both_Shift_Roster!H$2,Morning_Shift!$B$2:$BJ$2,0),0),"")="",IFERROR(VLOOKUP($B105,Evening_Shift!$B$4:$BJ$62,MATCH(Both_Shift_Roster!H$2,Evening_Shift!$B$2:$BJ$2,0),0),""),IFERROR(VLOOKUP($B105,Morning_Shift!$B$4:$BJ$61,MATCH(Both_Shift_Roster!H$2,Morning_Shift!$B$2:$BJ$2,0),0),""))</f>
        <v>14:30-22:00</v>
      </c>
      <c r="I105" s="2" t="str">
        <f>IF(IFERROR(VLOOKUP($B105,Morning_Shift!$B$4:$BJ$61,MATCH(Both_Shift_Roster!I$2,Morning_Shift!$B$2:$BJ$2,0),0),"")="",IFERROR(VLOOKUP($B105,Evening_Shift!$B$4:$BJ$62,MATCH(Both_Shift_Roster!I$2,Evening_Shift!$B$2:$BJ$2,0),0),""),IFERROR(VLOOKUP($B105,Morning_Shift!$B$4:$BJ$61,MATCH(Both_Shift_Roster!I$2,Morning_Shift!$B$2:$BJ$2,0),0),""))</f>
        <v>14:30-22:00</v>
      </c>
      <c r="J105" s="2" t="str">
        <f>IF(IFERROR(VLOOKUP($B105,Morning_Shift!$B$4:$BJ$61,MATCH(Both_Shift_Roster!J$2,Morning_Shift!$B$2:$BJ$2,0),0),"")="",IFERROR(VLOOKUP($B105,Evening_Shift!$B$4:$BJ$62,MATCH(Both_Shift_Roster!J$2,Evening_Shift!$B$2:$BJ$2,0),0),""),IFERROR(VLOOKUP($B105,Morning_Shift!$B$4:$BJ$61,MATCH(Both_Shift_Roster!J$2,Morning_Shift!$B$2:$BJ$2,0),0),""))</f>
        <v>14:30-22:00</v>
      </c>
      <c r="K105" s="2" t="str">
        <f>IF(IFERROR(VLOOKUP($B105,Morning_Shift!$B$4:$BJ$61,MATCH(Both_Shift_Roster!K$2,Morning_Shift!$B$2:$BJ$2,0),0),"")="",IFERROR(VLOOKUP($B105,Evening_Shift!$B$4:$BJ$62,MATCH(Both_Shift_Roster!K$2,Evening_Shift!$B$2:$BJ$2,0),0),""),IFERROR(VLOOKUP($B105,Morning_Shift!$B$4:$BJ$61,MATCH(Both_Shift_Roster!K$2,Morning_Shift!$B$2:$BJ$2,0),0),""))</f>
        <v>14:30-22:00</v>
      </c>
      <c r="L105" s="2" t="str">
        <f>IF(IFERROR(VLOOKUP($B105,Morning_Shift!$B$4:$BJ$61,MATCH(Both_Shift_Roster!L$2,Morning_Shift!$B$2:$BJ$2,0),0),"")="",IFERROR(VLOOKUP($B105,Evening_Shift!$B$4:$BJ$62,MATCH(Both_Shift_Roster!L$2,Evening_Shift!$B$2:$BJ$2,0),0),""),IFERROR(VLOOKUP($B105,Morning_Shift!$B$4:$BJ$61,MATCH(Both_Shift_Roster!L$2,Morning_Shift!$B$2:$BJ$2,0),0),""))</f>
        <v>14:30-22:00</v>
      </c>
      <c r="M105" s="2" t="str">
        <f>IF(IFERROR(VLOOKUP($B105,Morning_Shift!$B$4:$BJ$61,MATCH(Both_Shift_Roster!M$2,Morning_Shift!$B$2:$BJ$2,0),0),"")="",IFERROR(VLOOKUP($B105,Evening_Shift!$B$4:$BJ$62,MATCH(Both_Shift_Roster!M$2,Evening_Shift!$B$2:$BJ$2,0),0),""),IFERROR(VLOOKUP($B105,Morning_Shift!$B$4:$BJ$61,MATCH(Both_Shift_Roster!M$2,Morning_Shift!$B$2:$BJ$2,0),0),""))</f>
        <v>Agent Choice WO</v>
      </c>
      <c r="N105" s="2">
        <f t="shared" si="41"/>
        <v>1</v>
      </c>
      <c r="O105" s="2">
        <f t="shared" si="42"/>
        <v>0</v>
      </c>
      <c r="P105" s="2">
        <f t="shared" si="43"/>
        <v>0</v>
      </c>
      <c r="Q105" s="2">
        <f t="shared" si="44"/>
        <v>0</v>
      </c>
      <c r="R105" s="2">
        <f t="shared" si="45"/>
        <v>0</v>
      </c>
      <c r="S105" s="2" t="str">
        <f>IF(IFERROR(VLOOKUP($B105,Morning_Shift!$B$4:$BJ$61,MATCH(Both_Shift_Roster!S$2,Morning_Shift!$B$2:$BJ$2,0),0),"")="",IFERROR(VLOOKUP($B105,Evening_Shift!$B$4:$BJ$62,MATCH(Both_Shift_Roster!S$2,Evening_Shift!$B$2:$BJ$2,0),0),""),IFERROR(VLOOKUP($B105,Morning_Shift!$B$4:$BJ$61,MATCH(Both_Shift_Roster!S$2,Morning_Shift!$B$2:$BJ$2,0),0),""))</f>
        <v>14:30-22:00</v>
      </c>
      <c r="T105" s="2" t="str">
        <f>IF(IFERROR(VLOOKUP($B105,Morning_Shift!$B$4:$BJ$61,MATCH(Both_Shift_Roster!T$2,Morning_Shift!$B$2:$BJ$2,0),0),"")="",IFERROR(VLOOKUP($B105,Evening_Shift!$B$4:$BJ$62,MATCH(Both_Shift_Roster!T$2,Evening_Shift!$B$2:$BJ$2,0),0),""),IFERROR(VLOOKUP($B105,Morning_Shift!$B$4:$BJ$61,MATCH(Both_Shift_Roster!T$2,Morning_Shift!$B$2:$BJ$2,0),0),""))</f>
        <v>14:30-22:00</v>
      </c>
      <c r="U105" s="2" t="str">
        <f>IF(IFERROR(VLOOKUP($B105,Morning_Shift!$B$4:$BJ$61,MATCH(Both_Shift_Roster!U$2,Morning_Shift!$B$2:$BJ$2,0),0),"")="",IFERROR(VLOOKUP($B105,Evening_Shift!$B$4:$BJ$62,MATCH(Both_Shift_Roster!U$2,Evening_Shift!$B$2:$BJ$2,0),0),""),IFERROR(VLOOKUP($B105,Morning_Shift!$B$4:$BJ$61,MATCH(Both_Shift_Roster!U$2,Morning_Shift!$B$2:$BJ$2,0),0),""))</f>
        <v>14:30-22:00</v>
      </c>
      <c r="V105" s="2" t="str">
        <f>IF(IFERROR(VLOOKUP($B105,Morning_Shift!$B$4:$BJ$61,MATCH(Both_Shift_Roster!V$2,Morning_Shift!$B$2:$BJ$2,0),0),"")="",IFERROR(VLOOKUP($B105,Evening_Shift!$B$4:$BJ$62,MATCH(Both_Shift_Roster!V$2,Evening_Shift!$B$2:$BJ$2,0),0),""),IFERROR(VLOOKUP($B105,Morning_Shift!$B$4:$BJ$61,MATCH(Both_Shift_Roster!V$2,Morning_Shift!$B$2:$BJ$2,0),0),""))</f>
        <v>14:30-22:00</v>
      </c>
      <c r="W105" s="2" t="str">
        <f>IF(IFERROR(VLOOKUP($B105,Morning_Shift!$B$4:$BJ$61,MATCH(Both_Shift_Roster!W$2,Morning_Shift!$B$2:$BJ$2,0),0),"")="",IFERROR(VLOOKUP($B105,Evening_Shift!$B$4:$BJ$62,MATCH(Both_Shift_Roster!W$2,Evening_Shift!$B$2:$BJ$2,0),0),""),IFERROR(VLOOKUP($B105,Morning_Shift!$B$4:$BJ$61,MATCH(Both_Shift_Roster!W$2,Morning_Shift!$B$2:$BJ$2,0),0),""))</f>
        <v>14:30-22:00</v>
      </c>
      <c r="X105" s="2" t="str">
        <f>IF(IFERROR(VLOOKUP($B105,Morning_Shift!$B$4:$BJ$61,MATCH(Both_Shift_Roster!X$2,Morning_Shift!$B$2:$BJ$2,0),0),"")="",IFERROR(VLOOKUP($B105,Evening_Shift!$B$4:$BJ$62,MATCH(Both_Shift_Roster!X$2,Evening_Shift!$B$2:$BJ$2,0),0),""),IFERROR(VLOOKUP($B105,Morning_Shift!$B$4:$BJ$61,MATCH(Both_Shift_Roster!X$2,Morning_Shift!$B$2:$BJ$2,0),0),""))</f>
        <v>14:30-22:00</v>
      </c>
      <c r="Y105" s="2" t="str">
        <f>IF(IFERROR(VLOOKUP($B105,Morning_Shift!$B$4:$BJ$61,MATCH(Both_Shift_Roster!Y$2,Morning_Shift!$B$2:$BJ$2,0),0),"")="",IFERROR(VLOOKUP($B105,Evening_Shift!$B$4:$BJ$62,MATCH(Both_Shift_Roster!Y$2,Evening_Shift!$B$2:$BJ$2,0),0),""),IFERROR(VLOOKUP($B105,Morning_Shift!$B$4:$BJ$61,MATCH(Both_Shift_Roster!Y$2,Morning_Shift!$B$2:$BJ$2,0),0),""))</f>
        <v>14:30-22:00</v>
      </c>
      <c r="Z105" s="2">
        <f t="shared" si="46"/>
        <v>0</v>
      </c>
      <c r="AA105" s="2">
        <f t="shared" si="47"/>
        <v>0</v>
      </c>
      <c r="AB105" s="2">
        <f t="shared" si="48"/>
        <v>0</v>
      </c>
      <c r="AC105" s="2">
        <f t="shared" si="49"/>
        <v>0</v>
      </c>
      <c r="AD105" s="2">
        <f t="shared" si="50"/>
        <v>0</v>
      </c>
      <c r="AE105" s="2" t="str">
        <f>IF(IFERROR(VLOOKUP($B105,Morning_Shift!$B$4:$BJ$61,MATCH(Both_Shift_Roster!AE$2,Morning_Shift!$B$2:$BJ$2,0),0),"")="",IFERROR(VLOOKUP($B105,Evening_Shift!$B$4:$BJ$62,MATCH(Both_Shift_Roster!AE$2,Evening_Shift!$B$2:$BJ$2,0),0),""),IFERROR(VLOOKUP($B105,Morning_Shift!$B$4:$BJ$61,MATCH(Both_Shift_Roster!AE$2,Morning_Shift!$B$2:$BJ$2,0),0),""))</f>
        <v>14:30-22:00</v>
      </c>
      <c r="AF105" s="2" t="str">
        <f>IF(IFERROR(VLOOKUP($B105,Morning_Shift!$B$4:$BJ$61,MATCH(Both_Shift_Roster!AF$2,Morning_Shift!$B$2:$BJ$2,0),0),"")="",IFERROR(VLOOKUP($B105,Evening_Shift!$B$4:$BJ$62,MATCH(Both_Shift_Roster!AF$2,Evening_Shift!$B$2:$BJ$2,0),0),""),IFERROR(VLOOKUP($B105,Morning_Shift!$B$4:$BJ$61,MATCH(Both_Shift_Roster!AF$2,Morning_Shift!$B$2:$BJ$2,0),0),""))</f>
        <v>14:30-22:00</v>
      </c>
      <c r="AG105" s="2" t="str">
        <f>IF(IFERROR(VLOOKUP($B105,Morning_Shift!$B$4:$BJ$61,MATCH(Both_Shift_Roster!AG$2,Morning_Shift!$B$2:$BJ$2,0),0),"")="",IFERROR(VLOOKUP($B105,Evening_Shift!$B$4:$BJ$62,MATCH(Both_Shift_Roster!AG$2,Evening_Shift!$B$2:$BJ$2,0),0),""),IFERROR(VLOOKUP($B105,Morning_Shift!$B$4:$BJ$61,MATCH(Both_Shift_Roster!AG$2,Morning_Shift!$B$2:$BJ$2,0),0),""))</f>
        <v>14:30-22:00</v>
      </c>
      <c r="AH105" s="2" t="str">
        <f>IF(IFERROR(VLOOKUP($B105,Morning_Shift!$B$4:$BJ$61,MATCH(Both_Shift_Roster!AH$2,Morning_Shift!$B$2:$BJ$2,0),0),"")="",IFERROR(VLOOKUP($B105,Evening_Shift!$B$4:$BJ$62,MATCH(Both_Shift_Roster!AH$2,Evening_Shift!$B$2:$BJ$2,0),0),""),IFERROR(VLOOKUP($B105,Morning_Shift!$B$4:$BJ$61,MATCH(Both_Shift_Roster!AH$2,Morning_Shift!$B$2:$BJ$2,0),0),""))</f>
        <v>14:30-22:00</v>
      </c>
      <c r="AI105" s="2" t="str">
        <f>IF(IFERROR(VLOOKUP($B105,Morning_Shift!$B$4:$BJ$61,MATCH(Both_Shift_Roster!AI$2,Morning_Shift!$B$2:$BJ$2,0),0),"")="",IFERROR(VLOOKUP($B105,Evening_Shift!$B$4:$BJ$62,MATCH(Both_Shift_Roster!AI$2,Evening_Shift!$B$2:$BJ$2,0),0),""),IFERROR(VLOOKUP($B105,Morning_Shift!$B$4:$BJ$61,MATCH(Both_Shift_Roster!AI$2,Morning_Shift!$B$2:$BJ$2,0),0),""))</f>
        <v>Agent Choice WO</v>
      </c>
      <c r="AJ105" s="2" t="str">
        <f>IF(IFERROR(VLOOKUP($B105,Morning_Shift!$B$4:$BJ$61,MATCH(Both_Shift_Roster!AJ$2,Morning_Shift!$B$2:$BJ$2,0),0),"")="",IFERROR(VLOOKUP($B105,Evening_Shift!$B$4:$BJ$62,MATCH(Both_Shift_Roster!AJ$2,Evening_Shift!$B$2:$BJ$2,0),0),""),IFERROR(VLOOKUP($B105,Morning_Shift!$B$4:$BJ$61,MATCH(Both_Shift_Roster!AJ$2,Morning_Shift!$B$2:$BJ$2,0),0),""))</f>
        <v>14:30-22:00</v>
      </c>
      <c r="AK105" s="2" t="str">
        <f>IF(IFERROR(VLOOKUP($B105,Morning_Shift!$B$4:$BJ$61,MATCH(Both_Shift_Roster!AK$2,Morning_Shift!$B$2:$BJ$2,0),0),"")="",IFERROR(VLOOKUP($B105,Evening_Shift!$B$4:$BJ$62,MATCH(Both_Shift_Roster!AK$2,Evening_Shift!$B$2:$BJ$2,0),0),""),IFERROR(VLOOKUP($B105,Morning_Shift!$B$4:$BJ$61,MATCH(Both_Shift_Roster!AK$2,Morning_Shift!$B$2:$BJ$2,0),0),""))</f>
        <v>14:30-22:00</v>
      </c>
      <c r="AL105" s="2">
        <f t="shared" si="51"/>
        <v>1</v>
      </c>
      <c r="AM105" s="2">
        <f t="shared" si="52"/>
        <v>0</v>
      </c>
      <c r="AN105" s="2">
        <f t="shared" si="53"/>
        <v>0</v>
      </c>
      <c r="AO105" s="2">
        <f t="shared" si="54"/>
        <v>0</v>
      </c>
      <c r="AP105" s="2">
        <f t="shared" si="55"/>
        <v>0</v>
      </c>
      <c r="AQ105" s="2" t="str">
        <f>IF(IFERROR(VLOOKUP($B105,Morning_Shift!$B$4:$BJ$61,MATCH(Both_Shift_Roster!AQ$2,Morning_Shift!$B$2:$BJ$2,0),0),"")="",IFERROR(VLOOKUP($B105,Evening_Shift!$B$4:$BJ$62,MATCH(Both_Shift_Roster!AQ$2,Evening_Shift!$B$2:$BJ$2,0),0),""),IFERROR(VLOOKUP($B105,Morning_Shift!$B$4:$BJ$61,MATCH(Both_Shift_Roster!AQ$2,Morning_Shift!$B$2:$BJ$2,0),0),""))</f>
        <v>14:30-22:00</v>
      </c>
      <c r="AR105" s="2" t="str">
        <f>IF(IFERROR(VLOOKUP($B105,Morning_Shift!$B$4:$BJ$61,MATCH(Both_Shift_Roster!AR$2,Morning_Shift!$B$2:$BJ$2,0),0),"")="",IFERROR(VLOOKUP($B105,Evening_Shift!$B$4:$BJ$62,MATCH(Both_Shift_Roster!AR$2,Evening_Shift!$B$2:$BJ$2,0),0),""),IFERROR(VLOOKUP($B105,Morning_Shift!$B$4:$BJ$61,MATCH(Both_Shift_Roster!AR$2,Morning_Shift!$B$2:$BJ$2,0),0),""))</f>
        <v>14:30-22:00</v>
      </c>
      <c r="AS105" s="2" t="str">
        <f>IF(IFERROR(VLOOKUP($B105,Morning_Shift!$B$4:$BJ$61,MATCH(Both_Shift_Roster!AS$2,Morning_Shift!$B$2:$BJ$2,0),0),"")="",IFERROR(VLOOKUP($B105,Evening_Shift!$B$4:$BJ$62,MATCH(Both_Shift_Roster!AS$2,Evening_Shift!$B$2:$BJ$2,0),0),""),IFERROR(VLOOKUP($B105,Morning_Shift!$B$4:$BJ$61,MATCH(Both_Shift_Roster!AS$2,Morning_Shift!$B$2:$BJ$2,0),0),""))</f>
        <v>14:30-22:00</v>
      </c>
      <c r="AT105" s="2" t="str">
        <f>IF(IFERROR(VLOOKUP($B105,Morning_Shift!$B$4:$BJ$61,MATCH(Both_Shift_Roster!AT$2,Morning_Shift!$B$2:$BJ$2,0),0),"")="",IFERROR(VLOOKUP($B105,Evening_Shift!$B$4:$BJ$62,MATCH(Both_Shift_Roster!AT$2,Evening_Shift!$B$2:$BJ$2,0),0),""),IFERROR(VLOOKUP($B105,Morning_Shift!$B$4:$BJ$61,MATCH(Both_Shift_Roster!AT$2,Morning_Shift!$B$2:$BJ$2,0),0),""))</f>
        <v>14:30-22:00</v>
      </c>
      <c r="AU105" s="2" t="str">
        <f>IF(IFERROR(VLOOKUP($B105,Morning_Shift!$B$4:$BJ$61,MATCH(Both_Shift_Roster!AU$2,Morning_Shift!$B$2:$BJ$2,0),0),"")="",IFERROR(VLOOKUP($B105,Evening_Shift!$B$4:$BJ$62,MATCH(Both_Shift_Roster!AU$2,Evening_Shift!$B$2:$BJ$2,0),0),""),IFERROR(VLOOKUP($B105,Morning_Shift!$B$4:$BJ$61,MATCH(Both_Shift_Roster!AU$2,Morning_Shift!$B$2:$BJ$2,0),0),""))</f>
        <v>14:30-22:00</v>
      </c>
      <c r="AV105" s="2" t="str">
        <f>IF(IFERROR(VLOOKUP($B105,Morning_Shift!$B$4:$BJ$61,MATCH(Both_Shift_Roster!AV$2,Morning_Shift!$B$2:$BJ$2,0),0),"")="",IFERROR(VLOOKUP($B105,Evening_Shift!$B$4:$BJ$62,MATCH(Both_Shift_Roster!AV$2,Evening_Shift!$B$2:$BJ$2,0),0),""),IFERROR(VLOOKUP($B105,Morning_Shift!$B$4:$BJ$61,MATCH(Both_Shift_Roster!AV$2,Morning_Shift!$B$2:$BJ$2,0),0),""))</f>
        <v>TL Choice WO</v>
      </c>
      <c r="AW105" s="2" t="str">
        <f>IF(IFERROR(VLOOKUP($B105,Morning_Shift!$B$4:$BJ$61,MATCH(Both_Shift_Roster!AW$2,Morning_Shift!$B$2:$BJ$2,0),0),"")="",IFERROR(VLOOKUP($B105,Evening_Shift!$B$4:$BJ$62,MATCH(Both_Shift_Roster!AW$2,Evening_Shift!$B$2:$BJ$2,0),0),""),IFERROR(VLOOKUP($B105,Morning_Shift!$B$4:$BJ$61,MATCH(Both_Shift_Roster!AW$2,Morning_Shift!$B$2:$BJ$2,0),0),""))</f>
        <v>14:30-22:00</v>
      </c>
      <c r="AX105" s="2">
        <f t="shared" si="56"/>
        <v>0</v>
      </c>
      <c r="AY105" s="2">
        <f t="shared" si="57"/>
        <v>1</v>
      </c>
      <c r="AZ105" s="2">
        <f t="shared" si="58"/>
        <v>0</v>
      </c>
      <c r="BA105" s="2">
        <f t="shared" si="59"/>
        <v>0</v>
      </c>
      <c r="BB105" s="2">
        <f t="shared" si="60"/>
        <v>0</v>
      </c>
      <c r="BC105" s="2" t="str">
        <f>IF(IFERROR(VLOOKUP($B105,Morning_Shift!$B$4:$BJ$61,MATCH(Both_Shift_Roster!BC$2,Morning_Shift!$B$2:$BJ$2,0),0),"")="",IFERROR(VLOOKUP($B105,Evening_Shift!$B$4:$BJ$62,MATCH(Both_Shift_Roster!BC$2,Evening_Shift!$B$2:$BJ$2,0),0),""),IFERROR(VLOOKUP($B105,Morning_Shift!$B$4:$BJ$61,MATCH(Both_Shift_Roster!BC$2,Morning_Shift!$B$2:$BJ$2,0),0),""))</f>
        <v>14:30-22:00</v>
      </c>
      <c r="BD105" s="2" t="str">
        <f>IF(IFERROR(VLOOKUP($B105,Morning_Shift!$B$4:$BJ$61,MATCH(Both_Shift_Roster!BD$2,Morning_Shift!$B$2:$BJ$2,0),0),"")="",IFERROR(VLOOKUP($B105,Evening_Shift!$B$4:$BJ$62,MATCH(Both_Shift_Roster!BD$2,Evening_Shift!$B$2:$BJ$2,0),0),""),IFERROR(VLOOKUP($B105,Morning_Shift!$B$4:$BJ$61,MATCH(Both_Shift_Roster!BD$2,Morning_Shift!$B$2:$BJ$2,0),0),""))</f>
        <v>14:30-22:00</v>
      </c>
      <c r="BE105" s="2" t="str">
        <f>IF(IFERROR(VLOOKUP($B105,Morning_Shift!$B$4:$BJ$61,MATCH(Both_Shift_Roster!BE$2,Morning_Shift!$B$2:$BJ$2,0),0),"")="",IFERROR(VLOOKUP($B105,Evening_Shift!$B$4:$BJ$59,MATCH(Both_Shift_Roster!BE$2,Evening_Shift!$B$2:$BJ$2,0),0),""),IFERROR(VLOOKUP($B105,Morning_Shift!$B$4:$BJ$61,MATCH(Both_Shift_Roster!BE$2,Morning_Shift!$B$2:$BJ$2,0),0),""))</f>
        <v>14:30-22:00</v>
      </c>
      <c r="BF105" s="2">
        <f t="shared" si="61"/>
        <v>0</v>
      </c>
      <c r="BG105" s="2">
        <f t="shared" si="62"/>
        <v>0</v>
      </c>
      <c r="BH105" s="2">
        <f t="shared" si="63"/>
        <v>0</v>
      </c>
      <c r="BI105" s="2">
        <f t="shared" si="64"/>
        <v>0</v>
      </c>
      <c r="BJ105" s="2">
        <f t="shared" si="65"/>
        <v>0</v>
      </c>
    </row>
    <row r="106" spans="1:62">
      <c r="A106" s="17">
        <f t="shared" si="66"/>
        <v>103</v>
      </c>
      <c r="B106" s="16" t="str">
        <f>Evening_Shift!$B48</f>
        <v>Dritm158</v>
      </c>
      <c r="C106" s="21" t="str">
        <f>IF(IFERROR(VLOOKUP(B106,Morning_Shift!B:C,2,0),"")="",IFERROR(VLOOKUP(B106,Evening_Shift!B:C,2,0),""),IFERROR(VLOOKUP(B106,Morning_Shift!B:C,2,0),""))</f>
        <v>Geeta Verma</v>
      </c>
      <c r="D106" s="15" t="str">
        <f>IF(IFERROR(VLOOKUP(B106,Morning_Shift!B:D,3,0),"")="",IFERROR(VLOOKUP(B106,Evening_Shift!B:D,3,0),""),IFERROR(VLOOKUP(B106,Morning_Shift!B:D,3,0),""))</f>
        <v xml:space="preserve">Sanjesh </v>
      </c>
      <c r="E106" s="4" t="str">
        <f>IF(IFERROR(VLOOKUP(B106,Morning_Shift!B:E,4,0),"")="",IFERROR(VLOOKUP(B106,Evening_Shift!B:E,4,0),""),IFERROR(VLOOKUP(B106,Morning_Shift!B:E,4,0),""))</f>
        <v>F</v>
      </c>
      <c r="F106" s="5" t="str">
        <f>IF(IFERROR(VLOOKUP(B106,Morning_Shift!B:F,5,0),"")="",IFERROR(VLOOKUP(B106,Evening_Shift!B:F,5,0),""),IFERROR(VLOOKUP(B106,Morning_Shift!B:F,5,0),""))</f>
        <v>Inbound</v>
      </c>
      <c r="G106" s="2" t="str">
        <f>IF(IFERROR(VLOOKUP($B106,Morning_Shift!$B$4:$BJ$61,MATCH(Both_Shift_Roster!G$2,Morning_Shift!$B$2:$BJ$2,0),0),"")="",IFERROR(VLOOKUP($B106,Evening_Shift!$B$4:$BJ$62,MATCH(Both_Shift_Roster!G$2,Evening_Shift!$B$2:$BJ$2,0),0),""),IFERROR(VLOOKUP($B106,Morning_Shift!$B$4:$BJ$61,MATCH(Both_Shift_Roster!G$2,Morning_Shift!$B$2:$BJ$2,0),0),""))</f>
        <v>14:30-22:00</v>
      </c>
      <c r="H106" s="2" t="str">
        <f>IF(IFERROR(VLOOKUP($B106,Morning_Shift!$B$4:$BJ$61,MATCH(Both_Shift_Roster!H$2,Morning_Shift!$B$2:$BJ$2,0),0),"")="",IFERROR(VLOOKUP($B106,Evening_Shift!$B$4:$BJ$62,MATCH(Both_Shift_Roster!H$2,Evening_Shift!$B$2:$BJ$2,0),0),""),IFERROR(VLOOKUP($B106,Morning_Shift!$B$4:$BJ$61,MATCH(Both_Shift_Roster!H$2,Morning_Shift!$B$2:$BJ$2,0),0),""))</f>
        <v>14:30-22:00</v>
      </c>
      <c r="I106" s="2" t="str">
        <f>IF(IFERROR(VLOOKUP($B106,Morning_Shift!$B$4:$BJ$61,MATCH(Both_Shift_Roster!I$2,Morning_Shift!$B$2:$BJ$2,0),0),"")="",IFERROR(VLOOKUP($B106,Evening_Shift!$B$4:$BJ$62,MATCH(Both_Shift_Roster!I$2,Evening_Shift!$B$2:$BJ$2,0),0),""),IFERROR(VLOOKUP($B106,Morning_Shift!$B$4:$BJ$61,MATCH(Both_Shift_Roster!I$2,Morning_Shift!$B$2:$BJ$2,0),0),""))</f>
        <v>14:30-22:00</v>
      </c>
      <c r="J106" s="2" t="str">
        <f>IF(IFERROR(VLOOKUP($B106,Morning_Shift!$B$4:$BJ$61,MATCH(Both_Shift_Roster!J$2,Morning_Shift!$B$2:$BJ$2,0),0),"")="",IFERROR(VLOOKUP($B106,Evening_Shift!$B$4:$BJ$62,MATCH(Both_Shift_Roster!J$2,Evening_Shift!$B$2:$BJ$2,0),0),""),IFERROR(VLOOKUP($B106,Morning_Shift!$B$4:$BJ$61,MATCH(Both_Shift_Roster!J$2,Morning_Shift!$B$2:$BJ$2,0),0),""))</f>
        <v>Agent Choice WO</v>
      </c>
      <c r="K106" s="2" t="str">
        <f>IF(IFERROR(VLOOKUP($B106,Morning_Shift!$B$4:$BJ$61,MATCH(Both_Shift_Roster!K$2,Morning_Shift!$B$2:$BJ$2,0),0),"")="",IFERROR(VLOOKUP($B106,Evening_Shift!$B$4:$BJ$62,MATCH(Both_Shift_Roster!K$2,Evening_Shift!$B$2:$BJ$2,0),0),""),IFERROR(VLOOKUP($B106,Morning_Shift!$B$4:$BJ$61,MATCH(Both_Shift_Roster!K$2,Morning_Shift!$B$2:$BJ$2,0),0),""))</f>
        <v>14:30-22:00</v>
      </c>
      <c r="L106" s="2" t="str">
        <f>IF(IFERROR(VLOOKUP($B106,Morning_Shift!$B$4:$BJ$61,MATCH(Both_Shift_Roster!L$2,Morning_Shift!$B$2:$BJ$2,0),0),"")="",IFERROR(VLOOKUP($B106,Evening_Shift!$B$4:$BJ$62,MATCH(Both_Shift_Roster!L$2,Evening_Shift!$B$2:$BJ$2,0),0),""),IFERROR(VLOOKUP($B106,Morning_Shift!$B$4:$BJ$61,MATCH(Both_Shift_Roster!L$2,Morning_Shift!$B$2:$BJ$2,0),0),""))</f>
        <v>14:30-22:00</v>
      </c>
      <c r="M106" s="2" t="str">
        <f>IF(IFERROR(VLOOKUP($B106,Morning_Shift!$B$4:$BJ$61,MATCH(Both_Shift_Roster!M$2,Morning_Shift!$B$2:$BJ$2,0),0),"")="",IFERROR(VLOOKUP($B106,Evening_Shift!$B$4:$BJ$62,MATCH(Both_Shift_Roster!M$2,Evening_Shift!$B$2:$BJ$2,0),0),""),IFERROR(VLOOKUP($B106,Morning_Shift!$B$4:$BJ$61,MATCH(Both_Shift_Roster!M$2,Morning_Shift!$B$2:$BJ$2,0),0),""))</f>
        <v>14:30-22:00</v>
      </c>
      <c r="N106" s="2">
        <f t="shared" si="41"/>
        <v>1</v>
      </c>
      <c r="O106" s="2">
        <f t="shared" si="42"/>
        <v>0</v>
      </c>
      <c r="P106" s="2">
        <f t="shared" si="43"/>
        <v>0</v>
      </c>
      <c r="Q106" s="2">
        <f t="shared" si="44"/>
        <v>0</v>
      </c>
      <c r="R106" s="2">
        <f t="shared" si="45"/>
        <v>0</v>
      </c>
      <c r="S106" s="2" t="str">
        <f>IF(IFERROR(VLOOKUP($B106,Morning_Shift!$B$4:$BJ$61,MATCH(Both_Shift_Roster!S$2,Morning_Shift!$B$2:$BJ$2,0),0),"")="",IFERROR(VLOOKUP($B106,Evening_Shift!$B$4:$BJ$62,MATCH(Both_Shift_Roster!S$2,Evening_Shift!$B$2:$BJ$2,0),0),""),IFERROR(VLOOKUP($B106,Morning_Shift!$B$4:$BJ$61,MATCH(Both_Shift_Roster!S$2,Morning_Shift!$B$2:$BJ$2,0),0),""))</f>
        <v>14:30-22:00</v>
      </c>
      <c r="T106" s="2" t="str">
        <f>IF(IFERROR(VLOOKUP($B106,Morning_Shift!$B$4:$BJ$61,MATCH(Both_Shift_Roster!T$2,Morning_Shift!$B$2:$BJ$2,0),0),"")="",IFERROR(VLOOKUP($B106,Evening_Shift!$B$4:$BJ$62,MATCH(Both_Shift_Roster!T$2,Evening_Shift!$B$2:$BJ$2,0),0),""),IFERROR(VLOOKUP($B106,Morning_Shift!$B$4:$BJ$61,MATCH(Both_Shift_Roster!T$2,Morning_Shift!$B$2:$BJ$2,0),0),""))</f>
        <v>14:30-22:00</v>
      </c>
      <c r="U106" s="2" t="str">
        <f>IF(IFERROR(VLOOKUP($B106,Morning_Shift!$B$4:$BJ$61,MATCH(Both_Shift_Roster!U$2,Morning_Shift!$B$2:$BJ$2,0),0),"")="",IFERROR(VLOOKUP($B106,Evening_Shift!$B$4:$BJ$62,MATCH(Both_Shift_Roster!U$2,Evening_Shift!$B$2:$BJ$2,0),0),""),IFERROR(VLOOKUP($B106,Morning_Shift!$B$4:$BJ$61,MATCH(Both_Shift_Roster!U$2,Morning_Shift!$B$2:$BJ$2,0),0),""))</f>
        <v>14:30-22:00</v>
      </c>
      <c r="V106" s="2" t="str">
        <f>IF(IFERROR(VLOOKUP($B106,Morning_Shift!$B$4:$BJ$61,MATCH(Both_Shift_Roster!V$2,Morning_Shift!$B$2:$BJ$2,0),0),"")="",IFERROR(VLOOKUP($B106,Evening_Shift!$B$4:$BJ$62,MATCH(Both_Shift_Roster!V$2,Evening_Shift!$B$2:$BJ$2,0),0),""),IFERROR(VLOOKUP($B106,Morning_Shift!$B$4:$BJ$61,MATCH(Both_Shift_Roster!V$2,Morning_Shift!$B$2:$BJ$2,0),0),""))</f>
        <v>14:30-22:00</v>
      </c>
      <c r="W106" s="2" t="str">
        <f>IF(IFERROR(VLOOKUP($B106,Morning_Shift!$B$4:$BJ$61,MATCH(Both_Shift_Roster!W$2,Morning_Shift!$B$2:$BJ$2,0),0),"")="",IFERROR(VLOOKUP($B106,Evening_Shift!$B$4:$BJ$62,MATCH(Both_Shift_Roster!W$2,Evening_Shift!$B$2:$BJ$2,0),0),""),IFERROR(VLOOKUP($B106,Morning_Shift!$B$4:$BJ$61,MATCH(Both_Shift_Roster!W$2,Morning_Shift!$B$2:$BJ$2,0),0),""))</f>
        <v>14:30-22:00</v>
      </c>
      <c r="X106" s="2" t="str">
        <f>IF(IFERROR(VLOOKUP($B106,Morning_Shift!$B$4:$BJ$61,MATCH(Both_Shift_Roster!X$2,Morning_Shift!$B$2:$BJ$2,0),0),"")="",IFERROR(VLOOKUP($B106,Evening_Shift!$B$4:$BJ$62,MATCH(Both_Shift_Roster!X$2,Evening_Shift!$B$2:$BJ$2,0),0),""),IFERROR(VLOOKUP($B106,Morning_Shift!$B$4:$BJ$61,MATCH(Both_Shift_Roster!X$2,Morning_Shift!$B$2:$BJ$2,0),0),""))</f>
        <v>14:30-22:00</v>
      </c>
      <c r="Y106" s="2" t="str">
        <f>IF(IFERROR(VLOOKUP($B106,Morning_Shift!$B$4:$BJ$61,MATCH(Both_Shift_Roster!Y$2,Morning_Shift!$B$2:$BJ$2,0),0),"")="",IFERROR(VLOOKUP($B106,Evening_Shift!$B$4:$BJ$62,MATCH(Both_Shift_Roster!Y$2,Evening_Shift!$B$2:$BJ$2,0),0),""),IFERROR(VLOOKUP($B106,Morning_Shift!$B$4:$BJ$61,MATCH(Both_Shift_Roster!Y$2,Morning_Shift!$B$2:$BJ$2,0),0),""))</f>
        <v>14:30-22:00</v>
      </c>
      <c r="Z106" s="2">
        <f t="shared" si="46"/>
        <v>0</v>
      </c>
      <c r="AA106" s="2">
        <f t="shared" si="47"/>
        <v>0</v>
      </c>
      <c r="AB106" s="2">
        <f t="shared" si="48"/>
        <v>0</v>
      </c>
      <c r="AC106" s="2">
        <f t="shared" si="49"/>
        <v>0</v>
      </c>
      <c r="AD106" s="2">
        <f t="shared" si="50"/>
        <v>0</v>
      </c>
      <c r="AE106" s="2" t="str">
        <f>IF(IFERROR(VLOOKUP($B106,Morning_Shift!$B$4:$BJ$61,MATCH(Both_Shift_Roster!AE$2,Morning_Shift!$B$2:$BJ$2,0),0),"")="",IFERROR(VLOOKUP($B106,Evening_Shift!$B$4:$BJ$62,MATCH(Both_Shift_Roster!AE$2,Evening_Shift!$B$2:$BJ$2,0),0),""),IFERROR(VLOOKUP($B106,Morning_Shift!$B$4:$BJ$61,MATCH(Both_Shift_Roster!AE$2,Morning_Shift!$B$2:$BJ$2,0),0),""))</f>
        <v>14:30-22:00</v>
      </c>
      <c r="AF106" s="2" t="str">
        <f>IF(IFERROR(VLOOKUP($B106,Morning_Shift!$B$4:$BJ$61,MATCH(Both_Shift_Roster!AF$2,Morning_Shift!$B$2:$BJ$2,0),0),"")="",IFERROR(VLOOKUP($B106,Evening_Shift!$B$4:$BJ$62,MATCH(Both_Shift_Roster!AF$2,Evening_Shift!$B$2:$BJ$2,0),0),""),IFERROR(VLOOKUP($B106,Morning_Shift!$B$4:$BJ$61,MATCH(Both_Shift_Roster!AF$2,Morning_Shift!$B$2:$BJ$2,0),0),""))</f>
        <v>Agent Choice WO</v>
      </c>
      <c r="AG106" s="2" t="str">
        <f>IF(IFERROR(VLOOKUP($B106,Morning_Shift!$B$4:$BJ$61,MATCH(Both_Shift_Roster!AG$2,Morning_Shift!$B$2:$BJ$2,0),0),"")="",IFERROR(VLOOKUP($B106,Evening_Shift!$B$4:$BJ$62,MATCH(Both_Shift_Roster!AG$2,Evening_Shift!$B$2:$BJ$2,0),0),""),IFERROR(VLOOKUP($B106,Morning_Shift!$B$4:$BJ$61,MATCH(Both_Shift_Roster!AG$2,Morning_Shift!$B$2:$BJ$2,0),0),""))</f>
        <v>14:30-22:00</v>
      </c>
      <c r="AH106" s="2" t="str">
        <f>IF(IFERROR(VLOOKUP($B106,Morning_Shift!$B$4:$BJ$61,MATCH(Both_Shift_Roster!AH$2,Morning_Shift!$B$2:$BJ$2,0),0),"")="",IFERROR(VLOOKUP($B106,Evening_Shift!$B$4:$BJ$62,MATCH(Both_Shift_Roster!AH$2,Evening_Shift!$B$2:$BJ$2,0),0),""),IFERROR(VLOOKUP($B106,Morning_Shift!$B$4:$BJ$61,MATCH(Both_Shift_Roster!AH$2,Morning_Shift!$B$2:$BJ$2,0),0),""))</f>
        <v>14:30-22:00</v>
      </c>
      <c r="AI106" s="2" t="str">
        <f>IF(IFERROR(VLOOKUP($B106,Morning_Shift!$B$4:$BJ$61,MATCH(Both_Shift_Roster!AI$2,Morning_Shift!$B$2:$BJ$2,0),0),"")="",IFERROR(VLOOKUP($B106,Evening_Shift!$B$4:$BJ$62,MATCH(Both_Shift_Roster!AI$2,Evening_Shift!$B$2:$BJ$2,0),0),""),IFERROR(VLOOKUP($B106,Morning_Shift!$B$4:$BJ$61,MATCH(Both_Shift_Roster!AI$2,Morning_Shift!$B$2:$BJ$2,0),0),""))</f>
        <v>14:30-22:00</v>
      </c>
      <c r="AJ106" s="2" t="str">
        <f>IF(IFERROR(VLOOKUP($B106,Morning_Shift!$B$4:$BJ$61,MATCH(Both_Shift_Roster!AJ$2,Morning_Shift!$B$2:$BJ$2,0),0),"")="",IFERROR(VLOOKUP($B106,Evening_Shift!$B$4:$BJ$62,MATCH(Both_Shift_Roster!AJ$2,Evening_Shift!$B$2:$BJ$2,0),0),""),IFERROR(VLOOKUP($B106,Morning_Shift!$B$4:$BJ$61,MATCH(Both_Shift_Roster!AJ$2,Morning_Shift!$B$2:$BJ$2,0),0),""))</f>
        <v>Agent Choice WO</v>
      </c>
      <c r="AK106" s="2" t="str">
        <f>IF(IFERROR(VLOOKUP($B106,Morning_Shift!$B$4:$BJ$61,MATCH(Both_Shift_Roster!AK$2,Morning_Shift!$B$2:$BJ$2,0),0),"")="",IFERROR(VLOOKUP($B106,Evening_Shift!$B$4:$BJ$62,MATCH(Both_Shift_Roster!AK$2,Evening_Shift!$B$2:$BJ$2,0),0),""),IFERROR(VLOOKUP($B106,Morning_Shift!$B$4:$BJ$61,MATCH(Both_Shift_Roster!AK$2,Morning_Shift!$B$2:$BJ$2,0),0),""))</f>
        <v>14:30-22:00</v>
      </c>
      <c r="AL106" s="2">
        <f t="shared" si="51"/>
        <v>2</v>
      </c>
      <c r="AM106" s="2">
        <f t="shared" si="52"/>
        <v>0</v>
      </c>
      <c r="AN106" s="2">
        <f t="shared" si="53"/>
        <v>0</v>
      </c>
      <c r="AO106" s="2">
        <f t="shared" si="54"/>
        <v>0</v>
      </c>
      <c r="AP106" s="2">
        <f t="shared" si="55"/>
        <v>0</v>
      </c>
      <c r="AQ106" s="2" t="str">
        <f>IF(IFERROR(VLOOKUP($B106,Morning_Shift!$B$4:$BJ$61,MATCH(Both_Shift_Roster!AQ$2,Morning_Shift!$B$2:$BJ$2,0),0),"")="",IFERROR(VLOOKUP($B106,Evening_Shift!$B$4:$BJ$62,MATCH(Both_Shift_Roster!AQ$2,Evening_Shift!$B$2:$BJ$2,0),0),""),IFERROR(VLOOKUP($B106,Morning_Shift!$B$4:$BJ$61,MATCH(Both_Shift_Roster!AQ$2,Morning_Shift!$B$2:$BJ$2,0),0),""))</f>
        <v>14:30-22:00</v>
      </c>
      <c r="AR106" s="2" t="str">
        <f>IF(IFERROR(VLOOKUP($B106,Morning_Shift!$B$4:$BJ$61,MATCH(Both_Shift_Roster!AR$2,Morning_Shift!$B$2:$BJ$2,0),0),"")="",IFERROR(VLOOKUP($B106,Evening_Shift!$B$4:$BJ$62,MATCH(Both_Shift_Roster!AR$2,Evening_Shift!$B$2:$BJ$2,0),0),""),IFERROR(VLOOKUP($B106,Morning_Shift!$B$4:$BJ$61,MATCH(Both_Shift_Roster!AR$2,Morning_Shift!$B$2:$BJ$2,0),0),""))</f>
        <v>14:30-22:00</v>
      </c>
      <c r="AS106" s="2" t="str">
        <f>IF(IFERROR(VLOOKUP($B106,Morning_Shift!$B$4:$BJ$61,MATCH(Both_Shift_Roster!AS$2,Morning_Shift!$B$2:$BJ$2,0),0),"")="",IFERROR(VLOOKUP($B106,Evening_Shift!$B$4:$BJ$62,MATCH(Both_Shift_Roster!AS$2,Evening_Shift!$B$2:$BJ$2,0),0),""),IFERROR(VLOOKUP($B106,Morning_Shift!$B$4:$BJ$61,MATCH(Both_Shift_Roster!AS$2,Morning_Shift!$B$2:$BJ$2,0),0),""))</f>
        <v>14:30-22:00</v>
      </c>
      <c r="AT106" s="2" t="str">
        <f>IF(IFERROR(VLOOKUP($B106,Morning_Shift!$B$4:$BJ$61,MATCH(Both_Shift_Roster!AT$2,Morning_Shift!$B$2:$BJ$2,0),0),"")="",IFERROR(VLOOKUP($B106,Evening_Shift!$B$4:$BJ$62,MATCH(Both_Shift_Roster!AT$2,Evening_Shift!$B$2:$BJ$2,0),0),""),IFERROR(VLOOKUP($B106,Morning_Shift!$B$4:$BJ$61,MATCH(Both_Shift_Roster!AT$2,Morning_Shift!$B$2:$BJ$2,0),0),""))</f>
        <v>14:30-22:00</v>
      </c>
      <c r="AU106" s="2" t="str">
        <f>IF(IFERROR(VLOOKUP($B106,Morning_Shift!$B$4:$BJ$61,MATCH(Both_Shift_Roster!AU$2,Morning_Shift!$B$2:$BJ$2,0),0),"")="",IFERROR(VLOOKUP($B106,Evening_Shift!$B$4:$BJ$62,MATCH(Both_Shift_Roster!AU$2,Evening_Shift!$B$2:$BJ$2,0),0),""),IFERROR(VLOOKUP($B106,Morning_Shift!$B$4:$BJ$61,MATCH(Both_Shift_Roster!AU$2,Morning_Shift!$B$2:$BJ$2,0),0),""))</f>
        <v>14:30-22:00</v>
      </c>
      <c r="AV106" s="2" t="str">
        <f>IF(IFERROR(VLOOKUP($B106,Morning_Shift!$B$4:$BJ$61,MATCH(Both_Shift_Roster!AV$2,Morning_Shift!$B$2:$BJ$2,0),0),"")="",IFERROR(VLOOKUP($B106,Evening_Shift!$B$4:$BJ$62,MATCH(Both_Shift_Roster!AV$2,Evening_Shift!$B$2:$BJ$2,0),0),""),IFERROR(VLOOKUP($B106,Morning_Shift!$B$4:$BJ$61,MATCH(Both_Shift_Roster!AV$2,Morning_Shift!$B$2:$BJ$2,0),0),""))</f>
        <v>Agent Choice WO</v>
      </c>
      <c r="AW106" s="2" t="str">
        <f>IF(IFERROR(VLOOKUP($B106,Morning_Shift!$B$4:$BJ$61,MATCH(Both_Shift_Roster!AW$2,Morning_Shift!$B$2:$BJ$2,0),0),"")="",IFERROR(VLOOKUP($B106,Evening_Shift!$B$4:$BJ$62,MATCH(Both_Shift_Roster!AW$2,Evening_Shift!$B$2:$BJ$2,0),0),""),IFERROR(VLOOKUP($B106,Morning_Shift!$B$4:$BJ$61,MATCH(Both_Shift_Roster!AW$2,Morning_Shift!$B$2:$BJ$2,0),0),""))</f>
        <v>14:30-22:00</v>
      </c>
      <c r="AX106" s="2">
        <f t="shared" si="56"/>
        <v>1</v>
      </c>
      <c r="AY106" s="2">
        <f t="shared" si="57"/>
        <v>0</v>
      </c>
      <c r="AZ106" s="2">
        <f t="shared" si="58"/>
        <v>0</v>
      </c>
      <c r="BA106" s="2">
        <f t="shared" si="59"/>
        <v>0</v>
      </c>
      <c r="BB106" s="2">
        <f t="shared" si="60"/>
        <v>0</v>
      </c>
      <c r="BC106" s="2" t="str">
        <f>IF(IFERROR(VLOOKUP($B106,Morning_Shift!$B$4:$BJ$61,MATCH(Both_Shift_Roster!BC$2,Morning_Shift!$B$2:$BJ$2,0),0),"")="",IFERROR(VLOOKUP($B106,Evening_Shift!$B$4:$BJ$62,MATCH(Both_Shift_Roster!BC$2,Evening_Shift!$B$2:$BJ$2,0),0),""),IFERROR(VLOOKUP($B106,Morning_Shift!$B$4:$BJ$61,MATCH(Both_Shift_Roster!BC$2,Morning_Shift!$B$2:$BJ$2,0),0),""))</f>
        <v>14:30-22:00</v>
      </c>
      <c r="BD106" s="2" t="str">
        <f>IF(IFERROR(VLOOKUP($B106,Morning_Shift!$B$4:$BJ$61,MATCH(Both_Shift_Roster!BD$2,Morning_Shift!$B$2:$BJ$2,0),0),"")="",IFERROR(VLOOKUP($B106,Evening_Shift!$B$4:$BJ$62,MATCH(Both_Shift_Roster!BD$2,Evening_Shift!$B$2:$BJ$2,0),0),""),IFERROR(VLOOKUP($B106,Morning_Shift!$B$4:$BJ$61,MATCH(Both_Shift_Roster!BD$2,Morning_Shift!$B$2:$BJ$2,0),0),""))</f>
        <v>14:30-22:00</v>
      </c>
      <c r="BE106" s="2" t="str">
        <f>IF(IFERROR(VLOOKUP($B106,Morning_Shift!$B$4:$BJ$61,MATCH(Both_Shift_Roster!BE$2,Morning_Shift!$B$2:$BJ$2,0),0),"")="",IFERROR(VLOOKUP($B106,Evening_Shift!$B$4:$BJ$59,MATCH(Both_Shift_Roster!BE$2,Evening_Shift!$B$2:$BJ$2,0),0),""),IFERROR(VLOOKUP($B106,Morning_Shift!$B$4:$BJ$61,MATCH(Both_Shift_Roster!BE$2,Morning_Shift!$B$2:$BJ$2,0),0),""))</f>
        <v>14:30-22:00</v>
      </c>
      <c r="BF106" s="2">
        <f t="shared" si="61"/>
        <v>0</v>
      </c>
      <c r="BG106" s="2">
        <f t="shared" si="62"/>
        <v>0</v>
      </c>
      <c r="BH106" s="2">
        <f t="shared" si="63"/>
        <v>0</v>
      </c>
      <c r="BI106" s="2">
        <f t="shared" si="64"/>
        <v>0</v>
      </c>
      <c r="BJ106" s="2">
        <f t="shared" si="65"/>
        <v>0</v>
      </c>
    </row>
    <row r="107" spans="1:62">
      <c r="A107" s="17">
        <f t="shared" si="66"/>
        <v>104</v>
      </c>
      <c r="B107" s="16" t="str">
        <f>Evening_Shift!$B49</f>
        <v>Dritm159</v>
      </c>
      <c r="C107" s="21" t="str">
        <f>IF(IFERROR(VLOOKUP(B107,Morning_Shift!B:C,2,0),"")="",IFERROR(VLOOKUP(B107,Evening_Shift!B:C,2,0),""),IFERROR(VLOOKUP(B107,Morning_Shift!B:C,2,0),""))</f>
        <v>Shivani Parihar</v>
      </c>
      <c r="D107" s="15" t="str">
        <f>IF(IFERROR(VLOOKUP(B107,Morning_Shift!B:D,3,0),"")="",IFERROR(VLOOKUP(B107,Evening_Shift!B:D,3,0),""),IFERROR(VLOOKUP(B107,Morning_Shift!B:D,3,0),""))</f>
        <v xml:space="preserve">Sanjesh </v>
      </c>
      <c r="E107" s="4" t="str">
        <f>IF(IFERROR(VLOOKUP(B107,Morning_Shift!B:E,4,0),"")="",IFERROR(VLOOKUP(B107,Evening_Shift!B:E,4,0),""),IFERROR(VLOOKUP(B107,Morning_Shift!B:E,4,0),""))</f>
        <v>F</v>
      </c>
      <c r="F107" s="5" t="str">
        <f>IF(IFERROR(VLOOKUP(B107,Morning_Shift!B:F,5,0),"")="",IFERROR(VLOOKUP(B107,Evening_Shift!B:F,5,0),""),IFERROR(VLOOKUP(B107,Morning_Shift!B:F,5,0),""))</f>
        <v>Inbound</v>
      </c>
      <c r="G107" s="2" t="str">
        <f>IF(IFERROR(VLOOKUP($B107,Morning_Shift!$B$4:$BJ$61,MATCH(Both_Shift_Roster!G$2,Morning_Shift!$B$2:$BJ$2,0),0),"")="",IFERROR(VLOOKUP($B107,Evening_Shift!$B$4:$BJ$62,MATCH(Both_Shift_Roster!G$2,Evening_Shift!$B$2:$BJ$2,0),0),""),IFERROR(VLOOKUP($B107,Morning_Shift!$B$4:$BJ$61,MATCH(Both_Shift_Roster!G$2,Morning_Shift!$B$2:$BJ$2,0),0),""))</f>
        <v>14:30-22:00</v>
      </c>
      <c r="H107" s="2" t="str">
        <f>IF(IFERROR(VLOOKUP($B107,Morning_Shift!$B$4:$BJ$61,MATCH(Both_Shift_Roster!H$2,Morning_Shift!$B$2:$BJ$2,0),0),"")="",IFERROR(VLOOKUP($B107,Evening_Shift!$B$4:$BJ$62,MATCH(Both_Shift_Roster!H$2,Evening_Shift!$B$2:$BJ$2,0),0),""),IFERROR(VLOOKUP($B107,Morning_Shift!$B$4:$BJ$61,MATCH(Both_Shift_Roster!H$2,Morning_Shift!$B$2:$BJ$2,0),0),""))</f>
        <v>14:30-22:00</v>
      </c>
      <c r="I107" s="2" t="str">
        <f>IF(IFERROR(VLOOKUP($B107,Morning_Shift!$B$4:$BJ$61,MATCH(Both_Shift_Roster!I$2,Morning_Shift!$B$2:$BJ$2,0),0),"")="",IFERROR(VLOOKUP($B107,Evening_Shift!$B$4:$BJ$62,MATCH(Both_Shift_Roster!I$2,Evening_Shift!$B$2:$BJ$2,0),0),""),IFERROR(VLOOKUP($B107,Morning_Shift!$B$4:$BJ$61,MATCH(Both_Shift_Roster!I$2,Morning_Shift!$B$2:$BJ$2,0),0),""))</f>
        <v>14:30-22:00</v>
      </c>
      <c r="J107" s="2" t="str">
        <f>IF(IFERROR(VLOOKUP($B107,Morning_Shift!$B$4:$BJ$61,MATCH(Both_Shift_Roster!J$2,Morning_Shift!$B$2:$BJ$2,0),0),"")="",IFERROR(VLOOKUP($B107,Evening_Shift!$B$4:$BJ$62,MATCH(Both_Shift_Roster!J$2,Evening_Shift!$B$2:$BJ$2,0),0),""),IFERROR(VLOOKUP($B107,Morning_Shift!$B$4:$BJ$61,MATCH(Both_Shift_Roster!J$2,Morning_Shift!$B$2:$BJ$2,0),0),""))</f>
        <v>14:30-22:00</v>
      </c>
      <c r="K107" s="2" t="str">
        <f>IF(IFERROR(VLOOKUP($B107,Morning_Shift!$B$4:$BJ$61,MATCH(Both_Shift_Roster!K$2,Morning_Shift!$B$2:$BJ$2,0),0),"")="",IFERROR(VLOOKUP($B107,Evening_Shift!$B$4:$BJ$62,MATCH(Both_Shift_Roster!K$2,Evening_Shift!$B$2:$BJ$2,0),0),""),IFERROR(VLOOKUP($B107,Morning_Shift!$B$4:$BJ$61,MATCH(Both_Shift_Roster!K$2,Morning_Shift!$B$2:$BJ$2,0),0),""))</f>
        <v>14:30-22:00</v>
      </c>
      <c r="L107" s="2" t="str">
        <f>IF(IFERROR(VLOOKUP($B107,Morning_Shift!$B$4:$BJ$61,MATCH(Both_Shift_Roster!L$2,Morning_Shift!$B$2:$BJ$2,0),0),"")="",IFERROR(VLOOKUP($B107,Evening_Shift!$B$4:$BJ$62,MATCH(Both_Shift_Roster!L$2,Evening_Shift!$B$2:$BJ$2,0),0),""),IFERROR(VLOOKUP($B107,Morning_Shift!$B$4:$BJ$61,MATCH(Both_Shift_Roster!L$2,Morning_Shift!$B$2:$BJ$2,0),0),""))</f>
        <v>14:30-22:00</v>
      </c>
      <c r="M107" s="2" t="str">
        <f>IF(IFERROR(VLOOKUP($B107,Morning_Shift!$B$4:$BJ$61,MATCH(Both_Shift_Roster!M$2,Morning_Shift!$B$2:$BJ$2,0),0),"")="",IFERROR(VLOOKUP($B107,Evening_Shift!$B$4:$BJ$62,MATCH(Both_Shift_Roster!M$2,Evening_Shift!$B$2:$BJ$2,0),0),""),IFERROR(VLOOKUP($B107,Morning_Shift!$B$4:$BJ$61,MATCH(Both_Shift_Roster!M$2,Morning_Shift!$B$2:$BJ$2,0),0),""))</f>
        <v>14:30-22:00</v>
      </c>
      <c r="N107" s="2">
        <f t="shared" si="41"/>
        <v>0</v>
      </c>
      <c r="O107" s="2">
        <f t="shared" si="42"/>
        <v>0</v>
      </c>
      <c r="P107" s="2">
        <f t="shared" si="43"/>
        <v>0</v>
      </c>
      <c r="Q107" s="2">
        <f t="shared" si="44"/>
        <v>0</v>
      </c>
      <c r="R107" s="2">
        <f t="shared" si="45"/>
        <v>0</v>
      </c>
      <c r="S107" s="2" t="str">
        <f>IF(IFERROR(VLOOKUP($B107,Morning_Shift!$B$4:$BJ$61,MATCH(Both_Shift_Roster!S$2,Morning_Shift!$B$2:$BJ$2,0),0),"")="",IFERROR(VLOOKUP($B107,Evening_Shift!$B$4:$BJ$62,MATCH(Both_Shift_Roster!S$2,Evening_Shift!$B$2:$BJ$2,0),0),""),IFERROR(VLOOKUP($B107,Morning_Shift!$B$4:$BJ$61,MATCH(Both_Shift_Roster!S$2,Morning_Shift!$B$2:$BJ$2,0),0),""))</f>
        <v>Agent Choice WO</v>
      </c>
      <c r="T107" s="2" t="str">
        <f>IF(IFERROR(VLOOKUP($B107,Morning_Shift!$B$4:$BJ$61,MATCH(Both_Shift_Roster!T$2,Morning_Shift!$B$2:$BJ$2,0),0),"")="",IFERROR(VLOOKUP($B107,Evening_Shift!$B$4:$BJ$62,MATCH(Both_Shift_Roster!T$2,Evening_Shift!$B$2:$BJ$2,0),0),""),IFERROR(VLOOKUP($B107,Morning_Shift!$B$4:$BJ$61,MATCH(Both_Shift_Roster!T$2,Morning_Shift!$B$2:$BJ$2,0),0),""))</f>
        <v>14:30-22:00</v>
      </c>
      <c r="U107" s="2" t="str">
        <f>IF(IFERROR(VLOOKUP($B107,Morning_Shift!$B$4:$BJ$61,MATCH(Both_Shift_Roster!U$2,Morning_Shift!$B$2:$BJ$2,0),0),"")="",IFERROR(VLOOKUP($B107,Evening_Shift!$B$4:$BJ$62,MATCH(Both_Shift_Roster!U$2,Evening_Shift!$B$2:$BJ$2,0),0),""),IFERROR(VLOOKUP($B107,Morning_Shift!$B$4:$BJ$61,MATCH(Both_Shift_Roster!U$2,Morning_Shift!$B$2:$BJ$2,0),0),""))</f>
        <v>14:30-22:00</v>
      </c>
      <c r="V107" s="2" t="str">
        <f>IF(IFERROR(VLOOKUP($B107,Morning_Shift!$B$4:$BJ$61,MATCH(Both_Shift_Roster!V$2,Morning_Shift!$B$2:$BJ$2,0),0),"")="",IFERROR(VLOOKUP($B107,Evening_Shift!$B$4:$BJ$62,MATCH(Both_Shift_Roster!V$2,Evening_Shift!$B$2:$BJ$2,0),0),""),IFERROR(VLOOKUP($B107,Morning_Shift!$B$4:$BJ$61,MATCH(Both_Shift_Roster!V$2,Morning_Shift!$B$2:$BJ$2,0),0),""))</f>
        <v>14:30-22:00</v>
      </c>
      <c r="W107" s="2" t="str">
        <f>IF(IFERROR(VLOOKUP($B107,Morning_Shift!$B$4:$BJ$61,MATCH(Both_Shift_Roster!W$2,Morning_Shift!$B$2:$BJ$2,0),0),"")="",IFERROR(VLOOKUP($B107,Evening_Shift!$B$4:$BJ$62,MATCH(Both_Shift_Roster!W$2,Evening_Shift!$B$2:$BJ$2,0),0),""),IFERROR(VLOOKUP($B107,Morning_Shift!$B$4:$BJ$61,MATCH(Both_Shift_Roster!W$2,Morning_Shift!$B$2:$BJ$2,0),0),""))</f>
        <v>14:30-22:00</v>
      </c>
      <c r="X107" s="2" t="str">
        <f>IF(IFERROR(VLOOKUP($B107,Morning_Shift!$B$4:$BJ$61,MATCH(Both_Shift_Roster!X$2,Morning_Shift!$B$2:$BJ$2,0),0),"")="",IFERROR(VLOOKUP($B107,Evening_Shift!$B$4:$BJ$62,MATCH(Both_Shift_Roster!X$2,Evening_Shift!$B$2:$BJ$2,0),0),""),IFERROR(VLOOKUP($B107,Morning_Shift!$B$4:$BJ$61,MATCH(Both_Shift_Roster!X$2,Morning_Shift!$B$2:$BJ$2,0),0),""))</f>
        <v>14:30-22:00</v>
      </c>
      <c r="Y107" s="2" t="str">
        <f>IF(IFERROR(VLOOKUP($B107,Morning_Shift!$B$4:$BJ$61,MATCH(Both_Shift_Roster!Y$2,Morning_Shift!$B$2:$BJ$2,0),0),"")="",IFERROR(VLOOKUP($B107,Evening_Shift!$B$4:$BJ$62,MATCH(Both_Shift_Roster!Y$2,Evening_Shift!$B$2:$BJ$2,0),0),""),IFERROR(VLOOKUP($B107,Morning_Shift!$B$4:$BJ$61,MATCH(Both_Shift_Roster!Y$2,Morning_Shift!$B$2:$BJ$2,0),0),""))</f>
        <v>Agent Choice WO</v>
      </c>
      <c r="Z107" s="2">
        <f t="shared" si="46"/>
        <v>2</v>
      </c>
      <c r="AA107" s="2">
        <f t="shared" si="47"/>
        <v>0</v>
      </c>
      <c r="AB107" s="2">
        <f t="shared" si="48"/>
        <v>0</v>
      </c>
      <c r="AC107" s="2">
        <f t="shared" si="49"/>
        <v>0</v>
      </c>
      <c r="AD107" s="2">
        <f t="shared" si="50"/>
        <v>0</v>
      </c>
      <c r="AE107" s="2" t="str">
        <f>IF(IFERROR(VLOOKUP($B107,Morning_Shift!$B$4:$BJ$61,MATCH(Both_Shift_Roster!AE$2,Morning_Shift!$B$2:$BJ$2,0),0),"")="",IFERROR(VLOOKUP($B107,Evening_Shift!$B$4:$BJ$62,MATCH(Both_Shift_Roster!AE$2,Evening_Shift!$B$2:$BJ$2,0),0),""),IFERROR(VLOOKUP($B107,Morning_Shift!$B$4:$BJ$61,MATCH(Both_Shift_Roster!AE$2,Morning_Shift!$B$2:$BJ$2,0),0),""))</f>
        <v>Agent Choice WO</v>
      </c>
      <c r="AF107" s="2" t="str">
        <f>IF(IFERROR(VLOOKUP($B107,Morning_Shift!$B$4:$BJ$61,MATCH(Both_Shift_Roster!AF$2,Morning_Shift!$B$2:$BJ$2,0),0),"")="",IFERROR(VLOOKUP($B107,Evening_Shift!$B$4:$BJ$62,MATCH(Both_Shift_Roster!AF$2,Evening_Shift!$B$2:$BJ$2,0),0),""),IFERROR(VLOOKUP($B107,Morning_Shift!$B$4:$BJ$61,MATCH(Both_Shift_Roster!AF$2,Morning_Shift!$B$2:$BJ$2,0),0),""))</f>
        <v>14:30-22:00</v>
      </c>
      <c r="AG107" s="2" t="str">
        <f>IF(IFERROR(VLOOKUP($B107,Morning_Shift!$B$4:$BJ$61,MATCH(Both_Shift_Roster!AG$2,Morning_Shift!$B$2:$BJ$2,0),0),"")="",IFERROR(VLOOKUP($B107,Evening_Shift!$B$4:$BJ$62,MATCH(Both_Shift_Roster!AG$2,Evening_Shift!$B$2:$BJ$2,0),0),""),IFERROR(VLOOKUP($B107,Morning_Shift!$B$4:$BJ$61,MATCH(Both_Shift_Roster!AG$2,Morning_Shift!$B$2:$BJ$2,0),0),""))</f>
        <v>14:30-22:00</v>
      </c>
      <c r="AH107" s="2" t="str">
        <f>IF(IFERROR(VLOOKUP($B107,Morning_Shift!$B$4:$BJ$61,MATCH(Both_Shift_Roster!AH$2,Morning_Shift!$B$2:$BJ$2,0),0),"")="",IFERROR(VLOOKUP($B107,Evening_Shift!$B$4:$BJ$62,MATCH(Both_Shift_Roster!AH$2,Evening_Shift!$B$2:$BJ$2,0),0),""),IFERROR(VLOOKUP($B107,Morning_Shift!$B$4:$BJ$61,MATCH(Both_Shift_Roster!AH$2,Morning_Shift!$B$2:$BJ$2,0),0),""))</f>
        <v>14:30-22:00</v>
      </c>
      <c r="AI107" s="2" t="str">
        <f>IF(IFERROR(VLOOKUP($B107,Morning_Shift!$B$4:$BJ$61,MATCH(Both_Shift_Roster!AI$2,Morning_Shift!$B$2:$BJ$2,0),0),"")="",IFERROR(VLOOKUP($B107,Evening_Shift!$B$4:$BJ$62,MATCH(Both_Shift_Roster!AI$2,Evening_Shift!$B$2:$BJ$2,0),0),""),IFERROR(VLOOKUP($B107,Morning_Shift!$B$4:$BJ$61,MATCH(Both_Shift_Roster!AI$2,Morning_Shift!$B$2:$BJ$2,0),0),""))</f>
        <v>14:30-22:00</v>
      </c>
      <c r="AJ107" s="2" t="str">
        <f>IF(IFERROR(VLOOKUP($B107,Morning_Shift!$B$4:$BJ$61,MATCH(Both_Shift_Roster!AJ$2,Morning_Shift!$B$2:$BJ$2,0),0),"")="",IFERROR(VLOOKUP($B107,Evening_Shift!$B$4:$BJ$62,MATCH(Both_Shift_Roster!AJ$2,Evening_Shift!$B$2:$BJ$2,0),0),""),IFERROR(VLOOKUP($B107,Morning_Shift!$B$4:$BJ$61,MATCH(Both_Shift_Roster!AJ$2,Morning_Shift!$B$2:$BJ$2,0),0),""))</f>
        <v>14:30-22:00</v>
      </c>
      <c r="AK107" s="2" t="str">
        <f>IF(IFERROR(VLOOKUP($B107,Morning_Shift!$B$4:$BJ$61,MATCH(Both_Shift_Roster!AK$2,Morning_Shift!$B$2:$BJ$2,0),0),"")="",IFERROR(VLOOKUP($B107,Evening_Shift!$B$4:$BJ$62,MATCH(Both_Shift_Roster!AK$2,Evening_Shift!$B$2:$BJ$2,0),0),""),IFERROR(VLOOKUP($B107,Morning_Shift!$B$4:$BJ$61,MATCH(Both_Shift_Roster!AK$2,Morning_Shift!$B$2:$BJ$2,0),0),""))</f>
        <v>14:30-22:00</v>
      </c>
      <c r="AL107" s="2">
        <f t="shared" si="51"/>
        <v>1</v>
      </c>
      <c r="AM107" s="2">
        <f t="shared" si="52"/>
        <v>0</v>
      </c>
      <c r="AN107" s="2">
        <f t="shared" si="53"/>
        <v>0</v>
      </c>
      <c r="AO107" s="2">
        <f t="shared" si="54"/>
        <v>0</v>
      </c>
      <c r="AP107" s="2">
        <f t="shared" si="55"/>
        <v>0</v>
      </c>
      <c r="AQ107" s="2" t="str">
        <f>IF(IFERROR(VLOOKUP($B107,Morning_Shift!$B$4:$BJ$61,MATCH(Both_Shift_Roster!AQ$2,Morning_Shift!$B$2:$BJ$2,0),0),"")="",IFERROR(VLOOKUP($B107,Evening_Shift!$B$4:$BJ$62,MATCH(Both_Shift_Roster!AQ$2,Evening_Shift!$B$2:$BJ$2,0),0),""),IFERROR(VLOOKUP($B107,Morning_Shift!$B$4:$BJ$61,MATCH(Both_Shift_Roster!AQ$2,Morning_Shift!$B$2:$BJ$2,0),0),""))</f>
        <v>14:30-22:00</v>
      </c>
      <c r="AR107" s="2" t="str">
        <f>IF(IFERROR(VLOOKUP($B107,Morning_Shift!$B$4:$BJ$61,MATCH(Both_Shift_Roster!AR$2,Morning_Shift!$B$2:$BJ$2,0),0),"")="",IFERROR(VLOOKUP($B107,Evening_Shift!$B$4:$BJ$62,MATCH(Both_Shift_Roster!AR$2,Evening_Shift!$B$2:$BJ$2,0),0),""),IFERROR(VLOOKUP($B107,Morning_Shift!$B$4:$BJ$61,MATCH(Both_Shift_Roster!AR$2,Morning_Shift!$B$2:$BJ$2,0),0),""))</f>
        <v>14:30-22:00</v>
      </c>
      <c r="AS107" s="2" t="str">
        <f>IF(IFERROR(VLOOKUP($B107,Morning_Shift!$B$4:$BJ$61,MATCH(Both_Shift_Roster!AS$2,Morning_Shift!$B$2:$BJ$2,0),0),"")="",IFERROR(VLOOKUP($B107,Evening_Shift!$B$4:$BJ$62,MATCH(Both_Shift_Roster!AS$2,Evening_Shift!$B$2:$BJ$2,0),0),""),IFERROR(VLOOKUP($B107,Morning_Shift!$B$4:$BJ$61,MATCH(Both_Shift_Roster!AS$2,Morning_Shift!$B$2:$BJ$2,0),0),""))</f>
        <v>14:30-22:00</v>
      </c>
      <c r="AT107" s="2" t="str">
        <f>IF(IFERROR(VLOOKUP($B107,Morning_Shift!$B$4:$BJ$61,MATCH(Both_Shift_Roster!AT$2,Morning_Shift!$B$2:$BJ$2,0),0),"")="",IFERROR(VLOOKUP($B107,Evening_Shift!$B$4:$BJ$62,MATCH(Both_Shift_Roster!AT$2,Evening_Shift!$B$2:$BJ$2,0),0),""),IFERROR(VLOOKUP($B107,Morning_Shift!$B$4:$BJ$61,MATCH(Both_Shift_Roster!AT$2,Morning_Shift!$B$2:$BJ$2,0),0),""))</f>
        <v>14:30-22:00</v>
      </c>
      <c r="AU107" s="2" t="str">
        <f>IF(IFERROR(VLOOKUP($B107,Morning_Shift!$B$4:$BJ$61,MATCH(Both_Shift_Roster!AU$2,Morning_Shift!$B$2:$BJ$2,0),0),"")="",IFERROR(VLOOKUP($B107,Evening_Shift!$B$4:$BJ$62,MATCH(Both_Shift_Roster!AU$2,Evening_Shift!$B$2:$BJ$2,0),0),""),IFERROR(VLOOKUP($B107,Morning_Shift!$B$4:$BJ$61,MATCH(Both_Shift_Roster!AU$2,Morning_Shift!$B$2:$BJ$2,0),0),""))</f>
        <v>14:30-22:00</v>
      </c>
      <c r="AV107" s="2" t="str">
        <f>IF(IFERROR(VLOOKUP($B107,Morning_Shift!$B$4:$BJ$61,MATCH(Both_Shift_Roster!AV$2,Morning_Shift!$B$2:$BJ$2,0),0),"")="",IFERROR(VLOOKUP($B107,Evening_Shift!$B$4:$BJ$62,MATCH(Both_Shift_Roster!AV$2,Evening_Shift!$B$2:$BJ$2,0),0),""),IFERROR(VLOOKUP($B107,Morning_Shift!$B$4:$BJ$61,MATCH(Both_Shift_Roster!AV$2,Morning_Shift!$B$2:$BJ$2,0),0),""))</f>
        <v>14:30-22:00</v>
      </c>
      <c r="AW107" s="2" t="str">
        <f>IF(IFERROR(VLOOKUP($B107,Morning_Shift!$B$4:$BJ$61,MATCH(Both_Shift_Roster!AW$2,Morning_Shift!$B$2:$BJ$2,0),0),"")="",IFERROR(VLOOKUP($B107,Evening_Shift!$B$4:$BJ$62,MATCH(Both_Shift_Roster!AW$2,Evening_Shift!$B$2:$BJ$2,0),0),""),IFERROR(VLOOKUP($B107,Morning_Shift!$B$4:$BJ$61,MATCH(Both_Shift_Roster!AW$2,Morning_Shift!$B$2:$BJ$2,0),0),""))</f>
        <v>Agent Choice WO</v>
      </c>
      <c r="AX107" s="2">
        <f t="shared" si="56"/>
        <v>1</v>
      </c>
      <c r="AY107" s="2">
        <f t="shared" si="57"/>
        <v>0</v>
      </c>
      <c r="AZ107" s="2">
        <f t="shared" si="58"/>
        <v>0</v>
      </c>
      <c r="BA107" s="2">
        <f t="shared" si="59"/>
        <v>0</v>
      </c>
      <c r="BB107" s="2">
        <f t="shared" si="60"/>
        <v>0</v>
      </c>
      <c r="BC107" s="2" t="str">
        <f>IF(IFERROR(VLOOKUP($B107,Morning_Shift!$B$4:$BJ$61,MATCH(Both_Shift_Roster!BC$2,Morning_Shift!$B$2:$BJ$2,0),0),"")="",IFERROR(VLOOKUP($B107,Evening_Shift!$B$4:$BJ$62,MATCH(Both_Shift_Roster!BC$2,Evening_Shift!$B$2:$BJ$2,0),0),""),IFERROR(VLOOKUP($B107,Morning_Shift!$B$4:$BJ$61,MATCH(Both_Shift_Roster!BC$2,Morning_Shift!$B$2:$BJ$2,0),0),""))</f>
        <v>14:30-22:00</v>
      </c>
      <c r="BD107" s="2" t="str">
        <f>IF(IFERROR(VLOOKUP($B107,Morning_Shift!$B$4:$BJ$61,MATCH(Both_Shift_Roster!BD$2,Morning_Shift!$B$2:$BJ$2,0),0),"")="",IFERROR(VLOOKUP($B107,Evening_Shift!$B$4:$BJ$62,MATCH(Both_Shift_Roster!BD$2,Evening_Shift!$B$2:$BJ$2,0),0),""),IFERROR(VLOOKUP($B107,Morning_Shift!$B$4:$BJ$61,MATCH(Both_Shift_Roster!BD$2,Morning_Shift!$B$2:$BJ$2,0),0),""))</f>
        <v>14:30-22:00</v>
      </c>
      <c r="BE107" s="2" t="str">
        <f>IF(IFERROR(VLOOKUP($B107,Morning_Shift!$B$4:$BJ$61,MATCH(Both_Shift_Roster!BE$2,Morning_Shift!$B$2:$BJ$2,0),0),"")="",IFERROR(VLOOKUP($B107,Evening_Shift!$B$4:$BJ$59,MATCH(Both_Shift_Roster!BE$2,Evening_Shift!$B$2:$BJ$2,0),0),""),IFERROR(VLOOKUP($B107,Morning_Shift!$B$4:$BJ$61,MATCH(Both_Shift_Roster!BE$2,Morning_Shift!$B$2:$BJ$2,0),0),""))</f>
        <v>14:30-22:00</v>
      </c>
      <c r="BF107" s="2">
        <f t="shared" si="61"/>
        <v>0</v>
      </c>
      <c r="BG107" s="2">
        <f t="shared" si="62"/>
        <v>0</v>
      </c>
      <c r="BH107" s="2">
        <f t="shared" si="63"/>
        <v>0</v>
      </c>
      <c r="BI107" s="2">
        <f t="shared" si="64"/>
        <v>0</v>
      </c>
      <c r="BJ107" s="2">
        <f t="shared" si="65"/>
        <v>0</v>
      </c>
    </row>
    <row r="108" spans="1:62">
      <c r="A108" s="17">
        <f t="shared" si="66"/>
        <v>105</v>
      </c>
      <c r="B108" s="16" t="str">
        <f>Evening_Shift!$B50</f>
        <v>Dritm160</v>
      </c>
      <c r="C108" s="21" t="str">
        <f>IF(IFERROR(VLOOKUP(B108,Morning_Shift!B:C,2,0),"")="",IFERROR(VLOOKUP(B108,Evening_Shift!B:C,2,0),""),IFERROR(VLOOKUP(B108,Morning_Shift!B:C,2,0),""))</f>
        <v xml:space="preserve">Deepika Kumari </v>
      </c>
      <c r="D108" s="15" t="str">
        <f>IF(IFERROR(VLOOKUP(B108,Morning_Shift!B:D,3,0),"")="",IFERROR(VLOOKUP(B108,Evening_Shift!B:D,3,0),""),IFERROR(VLOOKUP(B108,Morning_Shift!B:D,3,0),""))</f>
        <v xml:space="preserve">Sanjesh </v>
      </c>
      <c r="E108" s="4" t="str">
        <f>IF(IFERROR(VLOOKUP(B108,Morning_Shift!B:E,4,0),"")="",IFERROR(VLOOKUP(B108,Evening_Shift!B:E,4,0),""),IFERROR(VLOOKUP(B108,Morning_Shift!B:E,4,0),""))</f>
        <v>F</v>
      </c>
      <c r="F108" s="5" t="str">
        <f>IF(IFERROR(VLOOKUP(B108,Morning_Shift!B:F,5,0),"")="",IFERROR(VLOOKUP(B108,Evening_Shift!B:F,5,0),""),IFERROR(VLOOKUP(B108,Morning_Shift!B:F,5,0),""))</f>
        <v>Inbound</v>
      </c>
      <c r="G108" s="2" t="str">
        <f>IF(IFERROR(VLOOKUP($B108,Morning_Shift!$B$4:$BJ$61,MATCH(Both_Shift_Roster!G$2,Morning_Shift!$B$2:$BJ$2,0),0),"")="",IFERROR(VLOOKUP($B108,Evening_Shift!$B$4:$BJ$62,MATCH(Both_Shift_Roster!G$2,Evening_Shift!$B$2:$BJ$2,0),0),""),IFERROR(VLOOKUP($B108,Morning_Shift!$B$4:$BJ$61,MATCH(Both_Shift_Roster!G$2,Morning_Shift!$B$2:$BJ$2,0),0),""))</f>
        <v>14:30-22:00</v>
      </c>
      <c r="H108" s="2" t="str">
        <f>IF(IFERROR(VLOOKUP($B108,Morning_Shift!$B$4:$BJ$61,MATCH(Both_Shift_Roster!H$2,Morning_Shift!$B$2:$BJ$2,0),0),"")="",IFERROR(VLOOKUP($B108,Evening_Shift!$B$4:$BJ$62,MATCH(Both_Shift_Roster!H$2,Evening_Shift!$B$2:$BJ$2,0),0),""),IFERROR(VLOOKUP($B108,Morning_Shift!$B$4:$BJ$61,MATCH(Both_Shift_Roster!H$2,Morning_Shift!$B$2:$BJ$2,0),0),""))</f>
        <v>14:30-22:00</v>
      </c>
      <c r="I108" s="2" t="str">
        <f>IF(IFERROR(VLOOKUP($B108,Morning_Shift!$B$4:$BJ$61,MATCH(Both_Shift_Roster!I$2,Morning_Shift!$B$2:$BJ$2,0),0),"")="",IFERROR(VLOOKUP($B108,Evening_Shift!$B$4:$BJ$62,MATCH(Both_Shift_Roster!I$2,Evening_Shift!$B$2:$BJ$2,0),0),""),IFERROR(VLOOKUP($B108,Morning_Shift!$B$4:$BJ$61,MATCH(Both_Shift_Roster!I$2,Morning_Shift!$B$2:$BJ$2,0),0),""))</f>
        <v>Agent Choice WO</v>
      </c>
      <c r="J108" s="2" t="str">
        <f>IF(IFERROR(VLOOKUP($B108,Morning_Shift!$B$4:$BJ$61,MATCH(Both_Shift_Roster!J$2,Morning_Shift!$B$2:$BJ$2,0),0),"")="",IFERROR(VLOOKUP($B108,Evening_Shift!$B$4:$BJ$62,MATCH(Both_Shift_Roster!J$2,Evening_Shift!$B$2:$BJ$2,0),0),""),IFERROR(VLOOKUP($B108,Morning_Shift!$B$4:$BJ$61,MATCH(Both_Shift_Roster!J$2,Morning_Shift!$B$2:$BJ$2,0),0),""))</f>
        <v>14:30-22:00</v>
      </c>
      <c r="K108" s="2" t="str">
        <f>IF(IFERROR(VLOOKUP($B108,Morning_Shift!$B$4:$BJ$61,MATCH(Both_Shift_Roster!K$2,Morning_Shift!$B$2:$BJ$2,0),0),"")="",IFERROR(VLOOKUP($B108,Evening_Shift!$B$4:$BJ$62,MATCH(Both_Shift_Roster!K$2,Evening_Shift!$B$2:$BJ$2,0),0),""),IFERROR(VLOOKUP($B108,Morning_Shift!$B$4:$BJ$61,MATCH(Both_Shift_Roster!K$2,Morning_Shift!$B$2:$BJ$2,0),0),""))</f>
        <v>14:30-22:00</v>
      </c>
      <c r="L108" s="2" t="str">
        <f>IF(IFERROR(VLOOKUP($B108,Morning_Shift!$B$4:$BJ$61,MATCH(Both_Shift_Roster!L$2,Morning_Shift!$B$2:$BJ$2,0),0),"")="",IFERROR(VLOOKUP($B108,Evening_Shift!$B$4:$BJ$62,MATCH(Both_Shift_Roster!L$2,Evening_Shift!$B$2:$BJ$2,0),0),""),IFERROR(VLOOKUP($B108,Morning_Shift!$B$4:$BJ$61,MATCH(Both_Shift_Roster!L$2,Morning_Shift!$B$2:$BJ$2,0),0),""))</f>
        <v>14:30-22:00</v>
      </c>
      <c r="M108" s="2" t="str">
        <f>IF(IFERROR(VLOOKUP($B108,Morning_Shift!$B$4:$BJ$61,MATCH(Both_Shift_Roster!M$2,Morning_Shift!$B$2:$BJ$2,0),0),"")="",IFERROR(VLOOKUP($B108,Evening_Shift!$B$4:$BJ$62,MATCH(Both_Shift_Roster!M$2,Evening_Shift!$B$2:$BJ$2,0),0),""),IFERROR(VLOOKUP($B108,Morning_Shift!$B$4:$BJ$61,MATCH(Both_Shift_Roster!M$2,Morning_Shift!$B$2:$BJ$2,0),0),""))</f>
        <v>14:30-22:00</v>
      </c>
      <c r="N108" s="2">
        <f t="shared" si="41"/>
        <v>1</v>
      </c>
      <c r="O108" s="2">
        <f t="shared" si="42"/>
        <v>0</v>
      </c>
      <c r="P108" s="2">
        <f t="shared" si="43"/>
        <v>0</v>
      </c>
      <c r="Q108" s="2">
        <f t="shared" si="44"/>
        <v>0</v>
      </c>
      <c r="R108" s="2">
        <f t="shared" si="45"/>
        <v>0</v>
      </c>
      <c r="S108" s="2" t="str">
        <f>IF(IFERROR(VLOOKUP($B108,Morning_Shift!$B$4:$BJ$61,MATCH(Both_Shift_Roster!S$2,Morning_Shift!$B$2:$BJ$2,0),0),"")="",IFERROR(VLOOKUP($B108,Evening_Shift!$B$4:$BJ$62,MATCH(Both_Shift_Roster!S$2,Evening_Shift!$B$2:$BJ$2,0),0),""),IFERROR(VLOOKUP($B108,Morning_Shift!$B$4:$BJ$61,MATCH(Both_Shift_Roster!S$2,Morning_Shift!$B$2:$BJ$2,0),0),""))</f>
        <v>14:30-22:00</v>
      </c>
      <c r="T108" s="2" t="str">
        <f>IF(IFERROR(VLOOKUP($B108,Morning_Shift!$B$4:$BJ$61,MATCH(Both_Shift_Roster!T$2,Morning_Shift!$B$2:$BJ$2,0),0),"")="",IFERROR(VLOOKUP($B108,Evening_Shift!$B$4:$BJ$62,MATCH(Both_Shift_Roster!T$2,Evening_Shift!$B$2:$BJ$2,0),0),""),IFERROR(VLOOKUP($B108,Morning_Shift!$B$4:$BJ$61,MATCH(Both_Shift_Roster!T$2,Morning_Shift!$B$2:$BJ$2,0),0),""))</f>
        <v>14:30-22:00</v>
      </c>
      <c r="U108" s="2" t="str">
        <f>IF(IFERROR(VLOOKUP($B108,Morning_Shift!$B$4:$BJ$61,MATCH(Both_Shift_Roster!U$2,Morning_Shift!$B$2:$BJ$2,0),0),"")="",IFERROR(VLOOKUP($B108,Evening_Shift!$B$4:$BJ$62,MATCH(Both_Shift_Roster!U$2,Evening_Shift!$B$2:$BJ$2,0),0),""),IFERROR(VLOOKUP($B108,Morning_Shift!$B$4:$BJ$61,MATCH(Both_Shift_Roster!U$2,Morning_Shift!$B$2:$BJ$2,0),0),""))</f>
        <v>14:30-22:00</v>
      </c>
      <c r="V108" s="2" t="str">
        <f>IF(IFERROR(VLOOKUP($B108,Morning_Shift!$B$4:$BJ$61,MATCH(Both_Shift_Roster!V$2,Morning_Shift!$B$2:$BJ$2,0),0),"")="",IFERROR(VLOOKUP($B108,Evening_Shift!$B$4:$BJ$62,MATCH(Both_Shift_Roster!V$2,Evening_Shift!$B$2:$BJ$2,0),0),""),IFERROR(VLOOKUP($B108,Morning_Shift!$B$4:$BJ$61,MATCH(Both_Shift_Roster!V$2,Morning_Shift!$B$2:$BJ$2,0),0),""))</f>
        <v>14:30-22:00</v>
      </c>
      <c r="W108" s="2" t="str">
        <f>IF(IFERROR(VLOOKUP($B108,Morning_Shift!$B$4:$BJ$61,MATCH(Both_Shift_Roster!W$2,Morning_Shift!$B$2:$BJ$2,0),0),"")="",IFERROR(VLOOKUP($B108,Evening_Shift!$B$4:$BJ$62,MATCH(Both_Shift_Roster!W$2,Evening_Shift!$B$2:$BJ$2,0),0),""),IFERROR(VLOOKUP($B108,Morning_Shift!$B$4:$BJ$61,MATCH(Both_Shift_Roster!W$2,Morning_Shift!$B$2:$BJ$2,0),0),""))</f>
        <v>Agent Choice WO</v>
      </c>
      <c r="X108" s="2" t="str">
        <f>IF(IFERROR(VLOOKUP($B108,Morning_Shift!$B$4:$BJ$61,MATCH(Both_Shift_Roster!X$2,Morning_Shift!$B$2:$BJ$2,0),0),"")="",IFERROR(VLOOKUP($B108,Evening_Shift!$B$4:$BJ$62,MATCH(Both_Shift_Roster!X$2,Evening_Shift!$B$2:$BJ$2,0),0),""),IFERROR(VLOOKUP($B108,Morning_Shift!$B$4:$BJ$61,MATCH(Both_Shift_Roster!X$2,Morning_Shift!$B$2:$BJ$2,0),0),""))</f>
        <v>14:30-22:00</v>
      </c>
      <c r="Y108" s="2" t="str">
        <f>IF(IFERROR(VLOOKUP($B108,Morning_Shift!$B$4:$BJ$61,MATCH(Both_Shift_Roster!Y$2,Morning_Shift!$B$2:$BJ$2,0),0),"")="",IFERROR(VLOOKUP($B108,Evening_Shift!$B$4:$BJ$62,MATCH(Both_Shift_Roster!Y$2,Evening_Shift!$B$2:$BJ$2,0),0),""),IFERROR(VLOOKUP($B108,Morning_Shift!$B$4:$BJ$61,MATCH(Both_Shift_Roster!Y$2,Morning_Shift!$B$2:$BJ$2,0),0),""))</f>
        <v>14:30-22:00</v>
      </c>
      <c r="Z108" s="2">
        <f t="shared" si="46"/>
        <v>1</v>
      </c>
      <c r="AA108" s="2">
        <f t="shared" si="47"/>
        <v>0</v>
      </c>
      <c r="AB108" s="2">
        <f t="shared" si="48"/>
        <v>0</v>
      </c>
      <c r="AC108" s="2">
        <f t="shared" si="49"/>
        <v>0</v>
      </c>
      <c r="AD108" s="2">
        <f t="shared" si="50"/>
        <v>0</v>
      </c>
      <c r="AE108" s="2" t="str">
        <f>IF(IFERROR(VLOOKUP($B108,Morning_Shift!$B$4:$BJ$61,MATCH(Both_Shift_Roster!AE$2,Morning_Shift!$B$2:$BJ$2,0),0),"")="",IFERROR(VLOOKUP($B108,Evening_Shift!$B$4:$BJ$62,MATCH(Both_Shift_Roster!AE$2,Evening_Shift!$B$2:$BJ$2,0),0),""),IFERROR(VLOOKUP($B108,Morning_Shift!$B$4:$BJ$61,MATCH(Both_Shift_Roster!AE$2,Morning_Shift!$B$2:$BJ$2,0),0),""))</f>
        <v>14:30-22:00</v>
      </c>
      <c r="AF108" s="2" t="str">
        <f>IF(IFERROR(VLOOKUP($B108,Morning_Shift!$B$4:$BJ$61,MATCH(Both_Shift_Roster!AF$2,Morning_Shift!$B$2:$BJ$2,0),0),"")="",IFERROR(VLOOKUP($B108,Evening_Shift!$B$4:$BJ$62,MATCH(Both_Shift_Roster!AF$2,Evening_Shift!$B$2:$BJ$2,0),0),""),IFERROR(VLOOKUP($B108,Morning_Shift!$B$4:$BJ$61,MATCH(Both_Shift_Roster!AF$2,Morning_Shift!$B$2:$BJ$2,0),0),""))</f>
        <v>14:30-22:00</v>
      </c>
      <c r="AG108" s="2" t="str">
        <f>IF(IFERROR(VLOOKUP($B108,Morning_Shift!$B$4:$BJ$61,MATCH(Both_Shift_Roster!AG$2,Morning_Shift!$B$2:$BJ$2,0),0),"")="",IFERROR(VLOOKUP($B108,Evening_Shift!$B$4:$BJ$62,MATCH(Both_Shift_Roster!AG$2,Evening_Shift!$B$2:$BJ$2,0),0),""),IFERROR(VLOOKUP($B108,Morning_Shift!$B$4:$BJ$61,MATCH(Both_Shift_Roster!AG$2,Morning_Shift!$B$2:$BJ$2,0),0),""))</f>
        <v>14:30-22:00</v>
      </c>
      <c r="AH108" s="2" t="str">
        <f>IF(IFERROR(VLOOKUP($B108,Morning_Shift!$B$4:$BJ$61,MATCH(Both_Shift_Roster!AH$2,Morning_Shift!$B$2:$BJ$2,0),0),"")="",IFERROR(VLOOKUP($B108,Evening_Shift!$B$4:$BJ$62,MATCH(Both_Shift_Roster!AH$2,Evening_Shift!$B$2:$BJ$2,0),0),""),IFERROR(VLOOKUP($B108,Morning_Shift!$B$4:$BJ$61,MATCH(Both_Shift_Roster!AH$2,Morning_Shift!$B$2:$BJ$2,0),0),""))</f>
        <v>14:30-22:00</v>
      </c>
      <c r="AI108" s="2" t="str">
        <f>IF(IFERROR(VLOOKUP($B108,Morning_Shift!$B$4:$BJ$61,MATCH(Both_Shift_Roster!AI$2,Morning_Shift!$B$2:$BJ$2,0),0),"")="",IFERROR(VLOOKUP($B108,Evening_Shift!$B$4:$BJ$62,MATCH(Both_Shift_Roster!AI$2,Evening_Shift!$B$2:$BJ$2,0),0),""),IFERROR(VLOOKUP($B108,Morning_Shift!$B$4:$BJ$61,MATCH(Both_Shift_Roster!AI$2,Morning_Shift!$B$2:$BJ$2,0),0),""))</f>
        <v>14:30-22:00</v>
      </c>
      <c r="AJ108" s="2" t="str">
        <f>IF(IFERROR(VLOOKUP($B108,Morning_Shift!$B$4:$BJ$61,MATCH(Both_Shift_Roster!AJ$2,Morning_Shift!$B$2:$BJ$2,0),0),"")="",IFERROR(VLOOKUP($B108,Evening_Shift!$B$4:$BJ$62,MATCH(Both_Shift_Roster!AJ$2,Evening_Shift!$B$2:$BJ$2,0),0),""),IFERROR(VLOOKUP($B108,Morning_Shift!$B$4:$BJ$61,MATCH(Both_Shift_Roster!AJ$2,Morning_Shift!$B$2:$BJ$2,0),0),""))</f>
        <v>Agent Choice WO</v>
      </c>
      <c r="AK108" s="2" t="str">
        <f>IF(IFERROR(VLOOKUP($B108,Morning_Shift!$B$4:$BJ$61,MATCH(Both_Shift_Roster!AK$2,Morning_Shift!$B$2:$BJ$2,0),0),"")="",IFERROR(VLOOKUP($B108,Evening_Shift!$B$4:$BJ$62,MATCH(Both_Shift_Roster!AK$2,Evening_Shift!$B$2:$BJ$2,0),0),""),IFERROR(VLOOKUP($B108,Morning_Shift!$B$4:$BJ$61,MATCH(Both_Shift_Roster!AK$2,Morning_Shift!$B$2:$BJ$2,0),0),""))</f>
        <v>Agent Choice WO</v>
      </c>
      <c r="AL108" s="2">
        <f t="shared" si="51"/>
        <v>2</v>
      </c>
      <c r="AM108" s="2">
        <f t="shared" si="52"/>
        <v>0</v>
      </c>
      <c r="AN108" s="2">
        <f t="shared" si="53"/>
        <v>0</v>
      </c>
      <c r="AO108" s="2">
        <f t="shared" si="54"/>
        <v>0</v>
      </c>
      <c r="AP108" s="2">
        <f t="shared" si="55"/>
        <v>0</v>
      </c>
      <c r="AQ108" s="2" t="str">
        <f>IF(IFERROR(VLOOKUP($B108,Morning_Shift!$B$4:$BJ$61,MATCH(Both_Shift_Roster!AQ$2,Morning_Shift!$B$2:$BJ$2,0),0),"")="",IFERROR(VLOOKUP($B108,Evening_Shift!$B$4:$BJ$62,MATCH(Both_Shift_Roster!AQ$2,Evening_Shift!$B$2:$BJ$2,0),0),""),IFERROR(VLOOKUP($B108,Morning_Shift!$B$4:$BJ$61,MATCH(Both_Shift_Roster!AQ$2,Morning_Shift!$B$2:$BJ$2,0),0),""))</f>
        <v>LP</v>
      </c>
      <c r="AR108" s="2" t="str">
        <f>IF(IFERROR(VLOOKUP($B108,Morning_Shift!$B$4:$BJ$61,MATCH(Both_Shift_Roster!AR$2,Morning_Shift!$B$2:$BJ$2,0),0),"")="",IFERROR(VLOOKUP($B108,Evening_Shift!$B$4:$BJ$62,MATCH(Both_Shift_Roster!AR$2,Evening_Shift!$B$2:$BJ$2,0),0),""),IFERROR(VLOOKUP($B108,Morning_Shift!$B$4:$BJ$61,MATCH(Both_Shift_Roster!AR$2,Morning_Shift!$B$2:$BJ$2,0),0),""))</f>
        <v>14:30-22:00</v>
      </c>
      <c r="AS108" s="2" t="str">
        <f>IF(IFERROR(VLOOKUP($B108,Morning_Shift!$B$4:$BJ$61,MATCH(Both_Shift_Roster!AS$2,Morning_Shift!$B$2:$BJ$2,0),0),"")="",IFERROR(VLOOKUP($B108,Evening_Shift!$B$4:$BJ$62,MATCH(Both_Shift_Roster!AS$2,Evening_Shift!$B$2:$BJ$2,0),0),""),IFERROR(VLOOKUP($B108,Morning_Shift!$B$4:$BJ$61,MATCH(Both_Shift_Roster!AS$2,Morning_Shift!$B$2:$BJ$2,0),0),""))</f>
        <v>14:30-22:00</v>
      </c>
      <c r="AT108" s="2" t="str">
        <f>IF(IFERROR(VLOOKUP($B108,Morning_Shift!$B$4:$BJ$61,MATCH(Both_Shift_Roster!AT$2,Morning_Shift!$B$2:$BJ$2,0),0),"")="",IFERROR(VLOOKUP($B108,Evening_Shift!$B$4:$BJ$62,MATCH(Both_Shift_Roster!AT$2,Evening_Shift!$B$2:$BJ$2,0),0),""),IFERROR(VLOOKUP($B108,Morning_Shift!$B$4:$BJ$61,MATCH(Both_Shift_Roster!AT$2,Morning_Shift!$B$2:$BJ$2,0),0),""))</f>
        <v>14:30-22:00</v>
      </c>
      <c r="AU108" s="2" t="str">
        <f>IF(IFERROR(VLOOKUP($B108,Morning_Shift!$B$4:$BJ$61,MATCH(Both_Shift_Roster!AU$2,Morning_Shift!$B$2:$BJ$2,0),0),"")="",IFERROR(VLOOKUP($B108,Evening_Shift!$B$4:$BJ$62,MATCH(Both_Shift_Roster!AU$2,Evening_Shift!$B$2:$BJ$2,0),0),""),IFERROR(VLOOKUP($B108,Morning_Shift!$B$4:$BJ$61,MATCH(Both_Shift_Roster!AU$2,Morning_Shift!$B$2:$BJ$2,0),0),""))</f>
        <v>14:30-22:00</v>
      </c>
      <c r="AV108" s="2" t="str">
        <f>IF(IFERROR(VLOOKUP($B108,Morning_Shift!$B$4:$BJ$61,MATCH(Both_Shift_Roster!AV$2,Morning_Shift!$B$2:$BJ$2,0),0),"")="",IFERROR(VLOOKUP($B108,Evening_Shift!$B$4:$BJ$62,MATCH(Both_Shift_Roster!AV$2,Evening_Shift!$B$2:$BJ$2,0),0),""),IFERROR(VLOOKUP($B108,Morning_Shift!$B$4:$BJ$61,MATCH(Both_Shift_Roster!AV$2,Morning_Shift!$B$2:$BJ$2,0),0),""))</f>
        <v>14:30-22:00</v>
      </c>
      <c r="AW108" s="2" t="str">
        <f>IF(IFERROR(VLOOKUP($B108,Morning_Shift!$B$4:$BJ$61,MATCH(Both_Shift_Roster!AW$2,Morning_Shift!$B$2:$BJ$2,0),0),"")="",IFERROR(VLOOKUP($B108,Evening_Shift!$B$4:$BJ$62,MATCH(Both_Shift_Roster!AW$2,Evening_Shift!$B$2:$BJ$2,0),0),""),IFERROR(VLOOKUP($B108,Morning_Shift!$B$4:$BJ$61,MATCH(Both_Shift_Roster!AW$2,Morning_Shift!$B$2:$BJ$2,0),0),""))</f>
        <v>14:30-22:00</v>
      </c>
      <c r="AX108" s="2">
        <f t="shared" si="56"/>
        <v>0</v>
      </c>
      <c r="AY108" s="2">
        <f t="shared" si="57"/>
        <v>0</v>
      </c>
      <c r="AZ108" s="2">
        <f t="shared" si="58"/>
        <v>0</v>
      </c>
      <c r="BA108" s="2">
        <f t="shared" si="59"/>
        <v>0</v>
      </c>
      <c r="BB108" s="2">
        <f t="shared" si="60"/>
        <v>1</v>
      </c>
      <c r="BC108" s="2" t="str">
        <f>IF(IFERROR(VLOOKUP($B108,Morning_Shift!$B$4:$BJ$61,MATCH(Both_Shift_Roster!BC$2,Morning_Shift!$B$2:$BJ$2,0),0),"")="",IFERROR(VLOOKUP($B108,Evening_Shift!$B$4:$BJ$62,MATCH(Both_Shift_Roster!BC$2,Evening_Shift!$B$2:$BJ$2,0),0),""),IFERROR(VLOOKUP($B108,Morning_Shift!$B$4:$BJ$61,MATCH(Both_Shift_Roster!BC$2,Morning_Shift!$B$2:$BJ$2,0),0),""))</f>
        <v>14:30-22:00</v>
      </c>
      <c r="BD108" s="2" t="str">
        <f>IF(IFERROR(VLOOKUP($B108,Morning_Shift!$B$4:$BJ$61,MATCH(Both_Shift_Roster!BD$2,Morning_Shift!$B$2:$BJ$2,0),0),"")="",IFERROR(VLOOKUP($B108,Evening_Shift!$B$4:$BJ$62,MATCH(Both_Shift_Roster!BD$2,Evening_Shift!$B$2:$BJ$2,0),0),""),IFERROR(VLOOKUP($B108,Morning_Shift!$B$4:$BJ$61,MATCH(Both_Shift_Roster!BD$2,Morning_Shift!$B$2:$BJ$2,0),0),""))</f>
        <v>14:30-22:00</v>
      </c>
      <c r="BE108" s="2" t="str">
        <f>IF(IFERROR(VLOOKUP($B108,Morning_Shift!$B$4:$BJ$61,MATCH(Both_Shift_Roster!BE$2,Morning_Shift!$B$2:$BJ$2,0),0),"")="",IFERROR(VLOOKUP($B108,Evening_Shift!$B$4:$BJ$59,MATCH(Both_Shift_Roster!BE$2,Evening_Shift!$B$2:$BJ$2,0),0),""),IFERROR(VLOOKUP($B108,Morning_Shift!$B$4:$BJ$61,MATCH(Both_Shift_Roster!BE$2,Morning_Shift!$B$2:$BJ$2,0),0),""))</f>
        <v>14:30-22:00</v>
      </c>
      <c r="BF108" s="2">
        <f t="shared" si="61"/>
        <v>0</v>
      </c>
      <c r="BG108" s="2">
        <f t="shared" si="62"/>
        <v>0</v>
      </c>
      <c r="BH108" s="2">
        <f t="shared" si="63"/>
        <v>0</v>
      </c>
      <c r="BI108" s="2">
        <f t="shared" si="64"/>
        <v>0</v>
      </c>
      <c r="BJ108" s="2">
        <f t="shared" si="65"/>
        <v>0</v>
      </c>
    </row>
    <row r="109" spans="1:62" ht="15" customHeight="1">
      <c r="A109" s="17">
        <f t="shared" si="66"/>
        <v>106</v>
      </c>
      <c r="B109" s="16" t="str">
        <f>Evening_Shift!$B51</f>
        <v>Dritm161</v>
      </c>
      <c r="C109" s="21" t="str">
        <f>IF(IFERROR(VLOOKUP(B109,Morning_Shift!B:C,2,0),"")="",IFERROR(VLOOKUP(B109,Evening_Shift!B:C,2,0),""),IFERROR(VLOOKUP(B109,Morning_Shift!B:C,2,0),""))</f>
        <v xml:space="preserve">Niketna </v>
      </c>
      <c r="D109" s="15" t="str">
        <f>IF(IFERROR(VLOOKUP(B109,Morning_Shift!B:D,3,0),"")="",IFERROR(VLOOKUP(B109,Evening_Shift!B:D,3,0),""),IFERROR(VLOOKUP(B109,Morning_Shift!B:D,3,0),""))</f>
        <v xml:space="preserve">Sanjesh </v>
      </c>
      <c r="E109" s="4" t="str">
        <f>IF(IFERROR(VLOOKUP(B109,Morning_Shift!B:E,4,0),"")="",IFERROR(VLOOKUP(B109,Evening_Shift!B:E,4,0),""),IFERROR(VLOOKUP(B109,Morning_Shift!B:E,4,0),""))</f>
        <v>F</v>
      </c>
      <c r="F109" s="5" t="str">
        <f>IF(IFERROR(VLOOKUP(B109,Morning_Shift!B:F,5,0),"")="",IFERROR(VLOOKUP(B109,Evening_Shift!B:F,5,0),""),IFERROR(VLOOKUP(B109,Morning_Shift!B:F,5,0),""))</f>
        <v>Inbound</v>
      </c>
      <c r="G109" s="2" t="str">
        <f>IF(IFERROR(VLOOKUP($B109,Morning_Shift!$B$4:$BJ$61,MATCH(Both_Shift_Roster!G$2,Morning_Shift!$B$2:$BJ$2,0),0),"")="",IFERROR(VLOOKUP($B109,Evening_Shift!$B$4:$BJ$62,MATCH(Both_Shift_Roster!G$2,Evening_Shift!$B$2:$BJ$2,0),0),""),IFERROR(VLOOKUP($B109,Morning_Shift!$B$4:$BJ$61,MATCH(Both_Shift_Roster!G$2,Morning_Shift!$B$2:$BJ$2,0),0),""))</f>
        <v>14:30-22:00</v>
      </c>
      <c r="H109" s="2" t="str">
        <f>IF(IFERROR(VLOOKUP($B109,Morning_Shift!$B$4:$BJ$61,MATCH(Both_Shift_Roster!H$2,Morning_Shift!$B$2:$BJ$2,0),0),"")="",IFERROR(VLOOKUP($B109,Evening_Shift!$B$4:$BJ$62,MATCH(Both_Shift_Roster!H$2,Evening_Shift!$B$2:$BJ$2,0),0),""),IFERROR(VLOOKUP($B109,Morning_Shift!$B$4:$BJ$61,MATCH(Both_Shift_Roster!H$2,Morning_Shift!$B$2:$BJ$2,0),0),""))</f>
        <v>14:30-22:00</v>
      </c>
      <c r="I109" s="2" t="str">
        <f>IF(IFERROR(VLOOKUP($B109,Morning_Shift!$B$4:$BJ$61,MATCH(Both_Shift_Roster!I$2,Morning_Shift!$B$2:$BJ$2,0),0),"")="",IFERROR(VLOOKUP($B109,Evening_Shift!$B$4:$BJ$62,MATCH(Both_Shift_Roster!I$2,Evening_Shift!$B$2:$BJ$2,0),0),""),IFERROR(VLOOKUP($B109,Morning_Shift!$B$4:$BJ$61,MATCH(Both_Shift_Roster!I$2,Morning_Shift!$B$2:$BJ$2,0),0),""))</f>
        <v>14:30-22:00</v>
      </c>
      <c r="J109" s="2" t="str">
        <f>IF(IFERROR(VLOOKUP($B109,Morning_Shift!$B$4:$BJ$61,MATCH(Both_Shift_Roster!J$2,Morning_Shift!$B$2:$BJ$2,0),0),"")="",IFERROR(VLOOKUP($B109,Evening_Shift!$B$4:$BJ$62,MATCH(Both_Shift_Roster!J$2,Evening_Shift!$B$2:$BJ$2,0),0),""),IFERROR(VLOOKUP($B109,Morning_Shift!$B$4:$BJ$61,MATCH(Both_Shift_Roster!J$2,Morning_Shift!$B$2:$BJ$2,0),0),""))</f>
        <v>14:30-22:00</v>
      </c>
      <c r="K109" s="2" t="str">
        <f>IF(IFERROR(VLOOKUP($B109,Morning_Shift!$B$4:$BJ$61,MATCH(Both_Shift_Roster!K$2,Morning_Shift!$B$2:$BJ$2,0),0),"")="",IFERROR(VLOOKUP($B109,Evening_Shift!$B$4:$BJ$62,MATCH(Both_Shift_Roster!K$2,Evening_Shift!$B$2:$BJ$2,0),0),""),IFERROR(VLOOKUP($B109,Morning_Shift!$B$4:$BJ$61,MATCH(Both_Shift_Roster!K$2,Morning_Shift!$B$2:$BJ$2,0),0),""))</f>
        <v>14:30-22:00</v>
      </c>
      <c r="L109" s="2" t="str">
        <f>IF(IFERROR(VLOOKUP($B109,Morning_Shift!$B$4:$BJ$61,MATCH(Both_Shift_Roster!L$2,Morning_Shift!$B$2:$BJ$2,0),0),"")="",IFERROR(VLOOKUP($B109,Evening_Shift!$B$4:$BJ$62,MATCH(Both_Shift_Roster!L$2,Evening_Shift!$B$2:$BJ$2,0),0),""),IFERROR(VLOOKUP($B109,Morning_Shift!$B$4:$BJ$61,MATCH(Both_Shift_Roster!L$2,Morning_Shift!$B$2:$BJ$2,0),0),""))</f>
        <v>14:30-22:00</v>
      </c>
      <c r="M109" s="2" t="str">
        <f>IF(IFERROR(VLOOKUP($B109,Morning_Shift!$B$4:$BJ$61,MATCH(Both_Shift_Roster!M$2,Morning_Shift!$B$2:$BJ$2,0),0),"")="",IFERROR(VLOOKUP($B109,Evening_Shift!$B$4:$BJ$62,MATCH(Both_Shift_Roster!M$2,Evening_Shift!$B$2:$BJ$2,0),0),""),IFERROR(VLOOKUP($B109,Morning_Shift!$B$4:$BJ$61,MATCH(Both_Shift_Roster!M$2,Morning_Shift!$B$2:$BJ$2,0),0),""))</f>
        <v>14:30-22:00</v>
      </c>
      <c r="N109" s="2">
        <f t="shared" si="41"/>
        <v>0</v>
      </c>
      <c r="O109" s="2">
        <f t="shared" si="42"/>
        <v>0</v>
      </c>
      <c r="P109" s="2">
        <f t="shared" si="43"/>
        <v>0</v>
      </c>
      <c r="Q109" s="2">
        <f t="shared" si="44"/>
        <v>0</v>
      </c>
      <c r="R109" s="2">
        <f t="shared" si="45"/>
        <v>0</v>
      </c>
      <c r="S109" s="2" t="str">
        <f>IF(IFERROR(VLOOKUP($B109,Morning_Shift!$B$4:$BJ$61,MATCH(Both_Shift_Roster!S$2,Morning_Shift!$B$2:$BJ$2,0),0),"")="",IFERROR(VLOOKUP($B109,Evening_Shift!$B$4:$BJ$62,MATCH(Both_Shift_Roster!S$2,Evening_Shift!$B$2:$BJ$2,0),0),""),IFERROR(VLOOKUP($B109,Morning_Shift!$B$4:$BJ$61,MATCH(Both_Shift_Roster!S$2,Morning_Shift!$B$2:$BJ$2,0),0),""))</f>
        <v>14:30-22:00</v>
      </c>
      <c r="T109" s="2" t="str">
        <f>IF(IFERROR(VLOOKUP($B109,Morning_Shift!$B$4:$BJ$61,MATCH(Both_Shift_Roster!T$2,Morning_Shift!$B$2:$BJ$2,0),0),"")="",IFERROR(VLOOKUP($B109,Evening_Shift!$B$4:$BJ$62,MATCH(Both_Shift_Roster!T$2,Evening_Shift!$B$2:$BJ$2,0),0),""),IFERROR(VLOOKUP($B109,Morning_Shift!$B$4:$BJ$61,MATCH(Both_Shift_Roster!T$2,Morning_Shift!$B$2:$BJ$2,0),0),""))</f>
        <v>Agent Choice WO</v>
      </c>
      <c r="U109" s="2" t="str">
        <f>IF(IFERROR(VLOOKUP($B109,Morning_Shift!$B$4:$BJ$61,MATCH(Both_Shift_Roster!U$2,Morning_Shift!$B$2:$BJ$2,0),0),"")="",IFERROR(VLOOKUP($B109,Evening_Shift!$B$4:$BJ$62,MATCH(Both_Shift_Roster!U$2,Evening_Shift!$B$2:$BJ$2,0),0),""),IFERROR(VLOOKUP($B109,Morning_Shift!$B$4:$BJ$61,MATCH(Both_Shift_Roster!U$2,Morning_Shift!$B$2:$BJ$2,0),0),""))</f>
        <v>Agent Choice WO</v>
      </c>
      <c r="V109" s="2" t="str">
        <f>IF(IFERROR(VLOOKUP($B109,Morning_Shift!$B$4:$BJ$61,MATCH(Both_Shift_Roster!V$2,Morning_Shift!$B$2:$BJ$2,0),0),"")="",IFERROR(VLOOKUP($B109,Evening_Shift!$B$4:$BJ$62,MATCH(Both_Shift_Roster!V$2,Evening_Shift!$B$2:$BJ$2,0),0),""),IFERROR(VLOOKUP($B109,Morning_Shift!$B$4:$BJ$61,MATCH(Both_Shift_Roster!V$2,Morning_Shift!$B$2:$BJ$2,0),0),""))</f>
        <v>Agent Choice WO</v>
      </c>
      <c r="W109" s="2" t="str">
        <f>IF(IFERROR(VLOOKUP($B109,Morning_Shift!$B$4:$BJ$61,MATCH(Both_Shift_Roster!W$2,Morning_Shift!$B$2:$BJ$2,0),0),"")="",IFERROR(VLOOKUP($B109,Evening_Shift!$B$4:$BJ$62,MATCH(Both_Shift_Roster!W$2,Evening_Shift!$B$2:$BJ$2,0),0),""),IFERROR(VLOOKUP($B109,Morning_Shift!$B$4:$BJ$61,MATCH(Both_Shift_Roster!W$2,Morning_Shift!$B$2:$BJ$2,0),0),""))</f>
        <v>14:30-22:00</v>
      </c>
      <c r="X109" s="2" t="str">
        <f>IF(IFERROR(VLOOKUP($B109,Morning_Shift!$B$4:$BJ$61,MATCH(Both_Shift_Roster!X$2,Morning_Shift!$B$2:$BJ$2,0),0),"")="",IFERROR(VLOOKUP($B109,Evening_Shift!$B$4:$BJ$62,MATCH(Both_Shift_Roster!X$2,Evening_Shift!$B$2:$BJ$2,0),0),""),IFERROR(VLOOKUP($B109,Morning_Shift!$B$4:$BJ$61,MATCH(Both_Shift_Roster!X$2,Morning_Shift!$B$2:$BJ$2,0),0),""))</f>
        <v>14:30-22:00</v>
      </c>
      <c r="Y109" s="2" t="str">
        <f>IF(IFERROR(VLOOKUP($B109,Morning_Shift!$B$4:$BJ$61,MATCH(Both_Shift_Roster!Y$2,Morning_Shift!$B$2:$BJ$2,0),0),"")="",IFERROR(VLOOKUP($B109,Evening_Shift!$B$4:$BJ$62,MATCH(Both_Shift_Roster!Y$2,Evening_Shift!$B$2:$BJ$2,0),0),""),IFERROR(VLOOKUP($B109,Morning_Shift!$B$4:$BJ$61,MATCH(Both_Shift_Roster!Y$2,Morning_Shift!$B$2:$BJ$2,0),0),""))</f>
        <v>14:30-22:00</v>
      </c>
      <c r="Z109" s="2">
        <f t="shared" si="46"/>
        <v>3</v>
      </c>
      <c r="AA109" s="2">
        <f t="shared" si="47"/>
        <v>0</v>
      </c>
      <c r="AB109" s="2">
        <f t="shared" si="48"/>
        <v>0</v>
      </c>
      <c r="AC109" s="2">
        <f t="shared" si="49"/>
        <v>0</v>
      </c>
      <c r="AD109" s="2">
        <f t="shared" si="50"/>
        <v>0</v>
      </c>
      <c r="AE109" s="2" t="str">
        <f>IF(IFERROR(VLOOKUP($B109,Morning_Shift!$B$4:$BJ$61,MATCH(Both_Shift_Roster!AE$2,Morning_Shift!$B$2:$BJ$2,0),0),"")="",IFERROR(VLOOKUP($B109,Evening_Shift!$B$4:$BJ$62,MATCH(Both_Shift_Roster!AE$2,Evening_Shift!$B$2:$BJ$2,0),0),""),IFERROR(VLOOKUP($B109,Morning_Shift!$B$4:$BJ$61,MATCH(Both_Shift_Roster!AE$2,Morning_Shift!$B$2:$BJ$2,0),0),""))</f>
        <v>14:30-22:00</v>
      </c>
      <c r="AF109" s="2" t="str">
        <f>IF(IFERROR(VLOOKUP($B109,Morning_Shift!$B$4:$BJ$61,MATCH(Both_Shift_Roster!AF$2,Morning_Shift!$B$2:$BJ$2,0),0),"")="",IFERROR(VLOOKUP($B109,Evening_Shift!$B$4:$BJ$62,MATCH(Both_Shift_Roster!AF$2,Evening_Shift!$B$2:$BJ$2,0),0),""),IFERROR(VLOOKUP($B109,Morning_Shift!$B$4:$BJ$61,MATCH(Both_Shift_Roster!AF$2,Morning_Shift!$B$2:$BJ$2,0),0),""))</f>
        <v>14:30-22:00</v>
      </c>
      <c r="AG109" s="2" t="str">
        <f>IF(IFERROR(VLOOKUP($B109,Morning_Shift!$B$4:$BJ$61,MATCH(Both_Shift_Roster!AG$2,Morning_Shift!$B$2:$BJ$2,0),0),"")="",IFERROR(VLOOKUP($B109,Evening_Shift!$B$4:$BJ$62,MATCH(Both_Shift_Roster!AG$2,Evening_Shift!$B$2:$BJ$2,0),0),""),IFERROR(VLOOKUP($B109,Morning_Shift!$B$4:$BJ$61,MATCH(Both_Shift_Roster!AG$2,Morning_Shift!$B$2:$BJ$2,0),0),""))</f>
        <v>14:30-22:00</v>
      </c>
      <c r="AH109" s="2" t="str">
        <f>IF(IFERROR(VLOOKUP($B109,Morning_Shift!$B$4:$BJ$61,MATCH(Both_Shift_Roster!AH$2,Morning_Shift!$B$2:$BJ$2,0),0),"")="",IFERROR(VLOOKUP($B109,Evening_Shift!$B$4:$BJ$62,MATCH(Both_Shift_Roster!AH$2,Evening_Shift!$B$2:$BJ$2,0),0),""),IFERROR(VLOOKUP($B109,Morning_Shift!$B$4:$BJ$61,MATCH(Both_Shift_Roster!AH$2,Morning_Shift!$B$2:$BJ$2,0),0),""))</f>
        <v>14:30-22:00</v>
      </c>
      <c r="AI109" s="2" t="str">
        <f>IF(IFERROR(VLOOKUP($B109,Morning_Shift!$B$4:$BJ$61,MATCH(Both_Shift_Roster!AI$2,Morning_Shift!$B$2:$BJ$2,0),0),"")="",IFERROR(VLOOKUP($B109,Evening_Shift!$B$4:$BJ$62,MATCH(Both_Shift_Roster!AI$2,Evening_Shift!$B$2:$BJ$2,0),0),""),IFERROR(VLOOKUP($B109,Morning_Shift!$B$4:$BJ$61,MATCH(Both_Shift_Roster!AI$2,Morning_Shift!$B$2:$BJ$2,0),0),""))</f>
        <v>14:30-22:00</v>
      </c>
      <c r="AJ109" s="2" t="str">
        <f>IF(IFERROR(VLOOKUP($B109,Morning_Shift!$B$4:$BJ$61,MATCH(Both_Shift_Roster!AJ$2,Morning_Shift!$B$2:$BJ$2,0),0),"")="",IFERROR(VLOOKUP($B109,Evening_Shift!$B$4:$BJ$62,MATCH(Both_Shift_Roster!AJ$2,Evening_Shift!$B$2:$BJ$2,0),0),""),IFERROR(VLOOKUP($B109,Morning_Shift!$B$4:$BJ$61,MATCH(Both_Shift_Roster!AJ$2,Morning_Shift!$B$2:$BJ$2,0),0),""))</f>
        <v>14:30-22:00</v>
      </c>
      <c r="AK109" s="2" t="str">
        <f>IF(IFERROR(VLOOKUP($B109,Morning_Shift!$B$4:$BJ$61,MATCH(Both_Shift_Roster!AK$2,Morning_Shift!$B$2:$BJ$2,0),0),"")="",IFERROR(VLOOKUP($B109,Evening_Shift!$B$4:$BJ$62,MATCH(Both_Shift_Roster!AK$2,Evening_Shift!$B$2:$BJ$2,0),0),""),IFERROR(VLOOKUP($B109,Morning_Shift!$B$4:$BJ$61,MATCH(Both_Shift_Roster!AK$2,Morning_Shift!$B$2:$BJ$2,0),0),""))</f>
        <v>14:30-22:00</v>
      </c>
      <c r="AL109" s="2">
        <f t="shared" si="51"/>
        <v>0</v>
      </c>
      <c r="AM109" s="2">
        <f t="shared" si="52"/>
        <v>0</v>
      </c>
      <c r="AN109" s="2">
        <f t="shared" si="53"/>
        <v>0</v>
      </c>
      <c r="AO109" s="2">
        <f t="shared" si="54"/>
        <v>0</v>
      </c>
      <c r="AP109" s="2">
        <f t="shared" si="55"/>
        <v>0</v>
      </c>
      <c r="AQ109" s="2" t="str">
        <f>IF(IFERROR(VLOOKUP($B109,Morning_Shift!$B$4:$BJ$61,MATCH(Both_Shift_Roster!AQ$2,Morning_Shift!$B$2:$BJ$2,0),0),"")="",IFERROR(VLOOKUP($B109,Evening_Shift!$B$4:$BJ$62,MATCH(Both_Shift_Roster!AQ$2,Evening_Shift!$B$2:$BJ$2,0),0),""),IFERROR(VLOOKUP($B109,Morning_Shift!$B$4:$BJ$61,MATCH(Both_Shift_Roster!AQ$2,Morning_Shift!$B$2:$BJ$2,0),0),""))</f>
        <v>14:30-22:00</v>
      </c>
      <c r="AR109" s="2" t="str">
        <f>IF(IFERROR(VLOOKUP($B109,Morning_Shift!$B$4:$BJ$61,MATCH(Both_Shift_Roster!AR$2,Morning_Shift!$B$2:$BJ$2,0),0),"")="",IFERROR(VLOOKUP($B109,Evening_Shift!$B$4:$BJ$62,MATCH(Both_Shift_Roster!AR$2,Evening_Shift!$B$2:$BJ$2,0),0),""),IFERROR(VLOOKUP($B109,Morning_Shift!$B$4:$BJ$61,MATCH(Both_Shift_Roster!AR$2,Morning_Shift!$B$2:$BJ$2,0),0),""))</f>
        <v>Agent Choice WO</v>
      </c>
      <c r="AS109" s="2" t="str">
        <f>IF(IFERROR(VLOOKUP($B109,Morning_Shift!$B$4:$BJ$61,MATCH(Both_Shift_Roster!AS$2,Morning_Shift!$B$2:$BJ$2,0),0),"")="",IFERROR(VLOOKUP($B109,Evening_Shift!$B$4:$BJ$62,MATCH(Both_Shift_Roster!AS$2,Evening_Shift!$B$2:$BJ$2,0),0),""),IFERROR(VLOOKUP($B109,Morning_Shift!$B$4:$BJ$61,MATCH(Both_Shift_Roster!AS$2,Morning_Shift!$B$2:$BJ$2,0),0),""))</f>
        <v>Agent Choice WO</v>
      </c>
      <c r="AT109" s="2" t="str">
        <f>IF(IFERROR(VLOOKUP($B109,Morning_Shift!$B$4:$BJ$61,MATCH(Both_Shift_Roster!AT$2,Morning_Shift!$B$2:$BJ$2,0),0),"")="",IFERROR(VLOOKUP($B109,Evening_Shift!$B$4:$BJ$62,MATCH(Both_Shift_Roster!AT$2,Evening_Shift!$B$2:$BJ$2,0),0),""),IFERROR(VLOOKUP($B109,Morning_Shift!$B$4:$BJ$61,MATCH(Both_Shift_Roster!AT$2,Morning_Shift!$B$2:$BJ$2,0),0),""))</f>
        <v>14:30-22:00</v>
      </c>
      <c r="AU109" s="2" t="str">
        <f>IF(IFERROR(VLOOKUP($B109,Morning_Shift!$B$4:$BJ$61,MATCH(Both_Shift_Roster!AU$2,Morning_Shift!$B$2:$BJ$2,0),0),"")="",IFERROR(VLOOKUP($B109,Evening_Shift!$B$4:$BJ$62,MATCH(Both_Shift_Roster!AU$2,Evening_Shift!$B$2:$BJ$2,0),0),""),IFERROR(VLOOKUP($B109,Morning_Shift!$B$4:$BJ$61,MATCH(Both_Shift_Roster!AU$2,Morning_Shift!$B$2:$BJ$2,0),0),""))</f>
        <v>14:30-22:00</v>
      </c>
      <c r="AV109" s="2" t="str">
        <f>IF(IFERROR(VLOOKUP($B109,Morning_Shift!$B$4:$BJ$61,MATCH(Both_Shift_Roster!AV$2,Morning_Shift!$B$2:$BJ$2,0),0),"")="",IFERROR(VLOOKUP($B109,Evening_Shift!$B$4:$BJ$62,MATCH(Both_Shift_Roster!AV$2,Evening_Shift!$B$2:$BJ$2,0),0),""),IFERROR(VLOOKUP($B109,Morning_Shift!$B$4:$BJ$61,MATCH(Both_Shift_Roster!AV$2,Morning_Shift!$B$2:$BJ$2,0),0),""))</f>
        <v>14:30-22:00</v>
      </c>
      <c r="AW109" s="2" t="str">
        <f>IF(IFERROR(VLOOKUP($B109,Morning_Shift!$B$4:$BJ$61,MATCH(Both_Shift_Roster!AW$2,Morning_Shift!$B$2:$BJ$2,0),0),"")="",IFERROR(VLOOKUP($B109,Evening_Shift!$B$4:$BJ$62,MATCH(Both_Shift_Roster!AW$2,Evening_Shift!$B$2:$BJ$2,0),0),""),IFERROR(VLOOKUP($B109,Morning_Shift!$B$4:$BJ$61,MATCH(Both_Shift_Roster!AW$2,Morning_Shift!$B$2:$BJ$2,0),0),""))</f>
        <v>14:30-22:00</v>
      </c>
      <c r="AX109" s="2">
        <f t="shared" si="56"/>
        <v>2</v>
      </c>
      <c r="AY109" s="2">
        <f t="shared" si="57"/>
        <v>0</v>
      </c>
      <c r="AZ109" s="2">
        <f t="shared" si="58"/>
        <v>0</v>
      </c>
      <c r="BA109" s="2">
        <f t="shared" si="59"/>
        <v>0</v>
      </c>
      <c r="BB109" s="2">
        <f t="shared" si="60"/>
        <v>0</v>
      </c>
      <c r="BC109" s="2" t="str">
        <f>IF(IFERROR(VLOOKUP($B109,Morning_Shift!$B$4:$BJ$61,MATCH(Both_Shift_Roster!BC$2,Morning_Shift!$B$2:$BJ$2,0),0),"")="",IFERROR(VLOOKUP($B109,Evening_Shift!$B$4:$BJ$62,MATCH(Both_Shift_Roster!BC$2,Evening_Shift!$B$2:$BJ$2,0),0),""),IFERROR(VLOOKUP($B109,Morning_Shift!$B$4:$BJ$61,MATCH(Both_Shift_Roster!BC$2,Morning_Shift!$B$2:$BJ$2,0),0),""))</f>
        <v>14:30-22:00</v>
      </c>
      <c r="BD109" s="2" t="str">
        <f>IF(IFERROR(VLOOKUP($B109,Morning_Shift!$B$4:$BJ$61,MATCH(Both_Shift_Roster!BD$2,Morning_Shift!$B$2:$BJ$2,0),0),"")="",IFERROR(VLOOKUP($B109,Evening_Shift!$B$4:$BJ$62,MATCH(Both_Shift_Roster!BD$2,Evening_Shift!$B$2:$BJ$2,0),0),""),IFERROR(VLOOKUP($B109,Morning_Shift!$B$4:$BJ$61,MATCH(Both_Shift_Roster!BD$2,Morning_Shift!$B$2:$BJ$2,0),0),""))</f>
        <v>14:30-22:00</v>
      </c>
      <c r="BE109" s="2" t="str">
        <f>IF(IFERROR(VLOOKUP($B109,Morning_Shift!$B$4:$BJ$61,MATCH(Both_Shift_Roster!BE$2,Morning_Shift!$B$2:$BJ$2,0),0),"")="",IFERROR(VLOOKUP($B109,Evening_Shift!$B$4:$BJ$59,MATCH(Both_Shift_Roster!BE$2,Evening_Shift!$B$2:$BJ$2,0),0),""),IFERROR(VLOOKUP($B109,Morning_Shift!$B$4:$BJ$61,MATCH(Both_Shift_Roster!BE$2,Morning_Shift!$B$2:$BJ$2,0),0),""))</f>
        <v>14:30-22:00</v>
      </c>
      <c r="BF109" s="2">
        <f t="shared" si="61"/>
        <v>0</v>
      </c>
      <c r="BG109" s="2">
        <f t="shared" si="62"/>
        <v>0</v>
      </c>
      <c r="BH109" s="2">
        <f t="shared" si="63"/>
        <v>0</v>
      </c>
      <c r="BI109" s="2">
        <f t="shared" si="64"/>
        <v>0</v>
      </c>
      <c r="BJ109" s="2">
        <f t="shared" si="65"/>
        <v>0</v>
      </c>
    </row>
    <row r="110" spans="1:62" ht="15" customHeight="1">
      <c r="A110" s="17">
        <f t="shared" si="66"/>
        <v>107</v>
      </c>
      <c r="B110" s="16" t="str">
        <f>Evening_Shift!$B52</f>
        <v>Dritm162</v>
      </c>
      <c r="C110" s="21" t="str">
        <f>IF(IFERROR(VLOOKUP(B110,Morning_Shift!B:C,2,0),"")="",IFERROR(VLOOKUP(B110,Evening_Shift!B:C,2,0),""),IFERROR(VLOOKUP(B110,Morning_Shift!B:C,2,0),""))</f>
        <v>Muskan</v>
      </c>
      <c r="D110" s="15" t="str">
        <f>IF(IFERROR(VLOOKUP(B110,Morning_Shift!B:D,3,0),"")="",IFERROR(VLOOKUP(B110,Evening_Shift!B:D,3,0),""),IFERROR(VLOOKUP(B110,Morning_Shift!B:D,3,0),""))</f>
        <v xml:space="preserve">Sanjesh </v>
      </c>
      <c r="E110" s="4" t="str">
        <f>IF(IFERROR(VLOOKUP(B110,Morning_Shift!B:E,4,0),"")="",IFERROR(VLOOKUP(B110,Evening_Shift!B:E,4,0),""),IFERROR(VLOOKUP(B110,Morning_Shift!B:E,4,0),""))</f>
        <v>F</v>
      </c>
      <c r="F110" s="5" t="str">
        <f>IF(IFERROR(VLOOKUP(B110,Morning_Shift!B:F,5,0),"")="",IFERROR(VLOOKUP(B110,Evening_Shift!B:F,5,0),""),IFERROR(VLOOKUP(B110,Morning_Shift!B:F,5,0),""))</f>
        <v>Inbound</v>
      </c>
      <c r="G110" s="2" t="str">
        <f>IF(IFERROR(VLOOKUP($B110,Morning_Shift!$B$4:$BJ$61,MATCH(Both_Shift_Roster!G$2,Morning_Shift!$B$2:$BJ$2,0),0),"")="",IFERROR(VLOOKUP($B110,Evening_Shift!$B$4:$BJ$62,MATCH(Both_Shift_Roster!G$2,Evening_Shift!$B$2:$BJ$2,0),0),""),IFERROR(VLOOKUP($B110,Morning_Shift!$B$4:$BJ$61,MATCH(Both_Shift_Roster!G$2,Morning_Shift!$B$2:$BJ$2,0),0),""))</f>
        <v>14:30-22:00</v>
      </c>
      <c r="H110" s="2" t="str">
        <f>IF(IFERROR(VLOOKUP($B110,Morning_Shift!$B$4:$BJ$61,MATCH(Both_Shift_Roster!H$2,Morning_Shift!$B$2:$BJ$2,0),0),"")="",IFERROR(VLOOKUP($B110,Evening_Shift!$B$4:$BJ$62,MATCH(Both_Shift_Roster!H$2,Evening_Shift!$B$2:$BJ$2,0),0),""),IFERROR(VLOOKUP($B110,Morning_Shift!$B$4:$BJ$61,MATCH(Both_Shift_Roster!H$2,Morning_Shift!$B$2:$BJ$2,0),0),""))</f>
        <v>14:30-22:00</v>
      </c>
      <c r="I110" s="2" t="str">
        <f>IF(IFERROR(VLOOKUP($B110,Morning_Shift!$B$4:$BJ$61,MATCH(Both_Shift_Roster!I$2,Morning_Shift!$B$2:$BJ$2,0),0),"")="",IFERROR(VLOOKUP($B110,Evening_Shift!$B$4:$BJ$62,MATCH(Both_Shift_Roster!I$2,Evening_Shift!$B$2:$BJ$2,0),0),""),IFERROR(VLOOKUP($B110,Morning_Shift!$B$4:$BJ$61,MATCH(Both_Shift_Roster!I$2,Morning_Shift!$B$2:$BJ$2,0),0),""))</f>
        <v>14:30-22:00</v>
      </c>
      <c r="J110" s="2" t="str">
        <f>IF(IFERROR(VLOOKUP($B110,Morning_Shift!$B$4:$BJ$61,MATCH(Both_Shift_Roster!J$2,Morning_Shift!$B$2:$BJ$2,0),0),"")="",IFERROR(VLOOKUP($B110,Evening_Shift!$B$4:$BJ$62,MATCH(Both_Shift_Roster!J$2,Evening_Shift!$B$2:$BJ$2,0),0),""),IFERROR(VLOOKUP($B110,Morning_Shift!$B$4:$BJ$61,MATCH(Both_Shift_Roster!J$2,Morning_Shift!$B$2:$BJ$2,0),0),""))</f>
        <v>Agent Choice WO</v>
      </c>
      <c r="K110" s="2" t="str">
        <f>IF(IFERROR(VLOOKUP($B110,Morning_Shift!$B$4:$BJ$61,MATCH(Both_Shift_Roster!K$2,Morning_Shift!$B$2:$BJ$2,0),0),"")="",IFERROR(VLOOKUP($B110,Evening_Shift!$B$4:$BJ$62,MATCH(Both_Shift_Roster!K$2,Evening_Shift!$B$2:$BJ$2,0),0),""),IFERROR(VLOOKUP($B110,Morning_Shift!$B$4:$BJ$61,MATCH(Both_Shift_Roster!K$2,Morning_Shift!$B$2:$BJ$2,0),0),""))</f>
        <v>14:30-22:00</v>
      </c>
      <c r="L110" s="2" t="str">
        <f>IF(IFERROR(VLOOKUP($B110,Morning_Shift!$B$4:$BJ$61,MATCH(Both_Shift_Roster!L$2,Morning_Shift!$B$2:$BJ$2,0),0),"")="",IFERROR(VLOOKUP($B110,Evening_Shift!$B$4:$BJ$62,MATCH(Both_Shift_Roster!L$2,Evening_Shift!$B$2:$BJ$2,0),0),""),IFERROR(VLOOKUP($B110,Morning_Shift!$B$4:$BJ$61,MATCH(Both_Shift_Roster!L$2,Morning_Shift!$B$2:$BJ$2,0),0),""))</f>
        <v>14:30-22:00</v>
      </c>
      <c r="M110" s="2" t="str">
        <f>IF(IFERROR(VLOOKUP($B110,Morning_Shift!$B$4:$BJ$61,MATCH(Both_Shift_Roster!M$2,Morning_Shift!$B$2:$BJ$2,0),0),"")="",IFERROR(VLOOKUP($B110,Evening_Shift!$B$4:$BJ$62,MATCH(Both_Shift_Roster!M$2,Evening_Shift!$B$2:$BJ$2,0),0),""),IFERROR(VLOOKUP($B110,Morning_Shift!$B$4:$BJ$61,MATCH(Both_Shift_Roster!M$2,Morning_Shift!$B$2:$BJ$2,0),0),""))</f>
        <v>14:30-22:00</v>
      </c>
      <c r="N110" s="2">
        <f t="shared" si="41"/>
        <v>1</v>
      </c>
      <c r="O110" s="2">
        <f t="shared" si="42"/>
        <v>0</v>
      </c>
      <c r="P110" s="2">
        <f t="shared" si="43"/>
        <v>0</v>
      </c>
      <c r="Q110" s="2">
        <f t="shared" si="44"/>
        <v>0</v>
      </c>
      <c r="R110" s="2">
        <f t="shared" si="45"/>
        <v>0</v>
      </c>
      <c r="S110" s="2" t="str">
        <f>IF(IFERROR(VLOOKUP($B110,Morning_Shift!$B$4:$BJ$61,MATCH(Both_Shift_Roster!S$2,Morning_Shift!$B$2:$BJ$2,0),0),"")="",IFERROR(VLOOKUP($B110,Evening_Shift!$B$4:$BJ$62,MATCH(Both_Shift_Roster!S$2,Evening_Shift!$B$2:$BJ$2,0),0),""),IFERROR(VLOOKUP($B110,Morning_Shift!$B$4:$BJ$61,MATCH(Both_Shift_Roster!S$2,Morning_Shift!$B$2:$BJ$2,0),0),""))</f>
        <v>14:30-22:00</v>
      </c>
      <c r="T110" s="2" t="str">
        <f>IF(IFERROR(VLOOKUP($B110,Morning_Shift!$B$4:$BJ$61,MATCH(Both_Shift_Roster!T$2,Morning_Shift!$B$2:$BJ$2,0),0),"")="",IFERROR(VLOOKUP($B110,Evening_Shift!$B$4:$BJ$62,MATCH(Both_Shift_Roster!T$2,Evening_Shift!$B$2:$BJ$2,0),0),""),IFERROR(VLOOKUP($B110,Morning_Shift!$B$4:$BJ$61,MATCH(Both_Shift_Roster!T$2,Morning_Shift!$B$2:$BJ$2,0),0),""))</f>
        <v>14:30-22:00</v>
      </c>
      <c r="U110" s="2" t="str">
        <f>IF(IFERROR(VLOOKUP($B110,Morning_Shift!$B$4:$BJ$61,MATCH(Both_Shift_Roster!U$2,Morning_Shift!$B$2:$BJ$2,0),0),"")="",IFERROR(VLOOKUP($B110,Evening_Shift!$B$4:$BJ$62,MATCH(Both_Shift_Roster!U$2,Evening_Shift!$B$2:$BJ$2,0),0),""),IFERROR(VLOOKUP($B110,Morning_Shift!$B$4:$BJ$61,MATCH(Both_Shift_Roster!U$2,Morning_Shift!$B$2:$BJ$2,0),0),""))</f>
        <v>14:30-22:00</v>
      </c>
      <c r="V110" s="2" t="str">
        <f>IF(IFERROR(VLOOKUP($B110,Morning_Shift!$B$4:$BJ$61,MATCH(Both_Shift_Roster!V$2,Morning_Shift!$B$2:$BJ$2,0),0),"")="",IFERROR(VLOOKUP($B110,Evening_Shift!$B$4:$BJ$62,MATCH(Both_Shift_Roster!V$2,Evening_Shift!$B$2:$BJ$2,0),0),""),IFERROR(VLOOKUP($B110,Morning_Shift!$B$4:$BJ$61,MATCH(Both_Shift_Roster!V$2,Morning_Shift!$B$2:$BJ$2,0),0),""))</f>
        <v>Agent Choice WO</v>
      </c>
      <c r="W110" s="2" t="str">
        <f>IF(IFERROR(VLOOKUP($B110,Morning_Shift!$B$4:$BJ$61,MATCH(Both_Shift_Roster!W$2,Morning_Shift!$B$2:$BJ$2,0),0),"")="",IFERROR(VLOOKUP($B110,Evening_Shift!$B$4:$BJ$62,MATCH(Both_Shift_Roster!W$2,Evening_Shift!$B$2:$BJ$2,0),0),""),IFERROR(VLOOKUP($B110,Morning_Shift!$B$4:$BJ$61,MATCH(Both_Shift_Roster!W$2,Morning_Shift!$B$2:$BJ$2,0),0),""))</f>
        <v>Agent Choice WO</v>
      </c>
      <c r="X110" s="2" t="str">
        <f>IF(IFERROR(VLOOKUP($B110,Morning_Shift!$B$4:$BJ$61,MATCH(Both_Shift_Roster!X$2,Morning_Shift!$B$2:$BJ$2,0),0),"")="",IFERROR(VLOOKUP($B110,Evening_Shift!$B$4:$BJ$62,MATCH(Both_Shift_Roster!X$2,Evening_Shift!$B$2:$BJ$2,0),0),""),IFERROR(VLOOKUP($B110,Morning_Shift!$B$4:$BJ$61,MATCH(Both_Shift_Roster!X$2,Morning_Shift!$B$2:$BJ$2,0),0),""))</f>
        <v>14:30-22:00</v>
      </c>
      <c r="Y110" s="2" t="str">
        <f>IF(IFERROR(VLOOKUP($B110,Morning_Shift!$B$4:$BJ$61,MATCH(Both_Shift_Roster!Y$2,Morning_Shift!$B$2:$BJ$2,0),0),"")="",IFERROR(VLOOKUP($B110,Evening_Shift!$B$4:$BJ$62,MATCH(Both_Shift_Roster!Y$2,Evening_Shift!$B$2:$BJ$2,0),0),""),IFERROR(VLOOKUP($B110,Morning_Shift!$B$4:$BJ$61,MATCH(Both_Shift_Roster!Y$2,Morning_Shift!$B$2:$BJ$2,0),0),""))</f>
        <v>14:30-22:00</v>
      </c>
      <c r="Z110" s="2">
        <f t="shared" si="46"/>
        <v>2</v>
      </c>
      <c r="AA110" s="2">
        <f t="shared" si="47"/>
        <v>0</v>
      </c>
      <c r="AB110" s="2">
        <f t="shared" si="48"/>
        <v>0</v>
      </c>
      <c r="AC110" s="2">
        <f t="shared" si="49"/>
        <v>0</v>
      </c>
      <c r="AD110" s="2">
        <f t="shared" si="50"/>
        <v>0</v>
      </c>
      <c r="AE110" s="2" t="str">
        <f>IF(IFERROR(VLOOKUP($B110,Morning_Shift!$B$4:$BJ$61,MATCH(Both_Shift_Roster!AE$2,Morning_Shift!$B$2:$BJ$2,0),0),"")="",IFERROR(VLOOKUP($B110,Evening_Shift!$B$4:$BJ$62,MATCH(Both_Shift_Roster!AE$2,Evening_Shift!$B$2:$BJ$2,0),0),""),IFERROR(VLOOKUP($B110,Morning_Shift!$B$4:$BJ$61,MATCH(Both_Shift_Roster!AE$2,Morning_Shift!$B$2:$BJ$2,0),0),""))</f>
        <v>14:30-22:00</v>
      </c>
      <c r="AF110" s="2" t="str">
        <f>IF(IFERROR(VLOOKUP($B110,Morning_Shift!$B$4:$BJ$61,MATCH(Both_Shift_Roster!AF$2,Morning_Shift!$B$2:$BJ$2,0),0),"")="",IFERROR(VLOOKUP($B110,Evening_Shift!$B$4:$BJ$62,MATCH(Both_Shift_Roster!AF$2,Evening_Shift!$B$2:$BJ$2,0),0),""),IFERROR(VLOOKUP($B110,Morning_Shift!$B$4:$BJ$61,MATCH(Both_Shift_Roster!AF$2,Morning_Shift!$B$2:$BJ$2,0),0),""))</f>
        <v>14:30-22:00</v>
      </c>
      <c r="AG110" s="2" t="str">
        <f>IF(IFERROR(VLOOKUP($B110,Morning_Shift!$B$4:$BJ$61,MATCH(Both_Shift_Roster!AG$2,Morning_Shift!$B$2:$BJ$2,0),0),"")="",IFERROR(VLOOKUP($B110,Evening_Shift!$B$4:$BJ$62,MATCH(Both_Shift_Roster!AG$2,Evening_Shift!$B$2:$BJ$2,0),0),""),IFERROR(VLOOKUP($B110,Morning_Shift!$B$4:$BJ$61,MATCH(Both_Shift_Roster!AG$2,Morning_Shift!$B$2:$BJ$2,0),0),""))</f>
        <v>14:30-22:00</v>
      </c>
      <c r="AH110" s="2" t="str">
        <f>IF(IFERROR(VLOOKUP($B110,Morning_Shift!$B$4:$BJ$61,MATCH(Both_Shift_Roster!AH$2,Morning_Shift!$B$2:$BJ$2,0),0),"")="",IFERROR(VLOOKUP($B110,Evening_Shift!$B$4:$BJ$62,MATCH(Both_Shift_Roster!AH$2,Evening_Shift!$B$2:$BJ$2,0),0),""),IFERROR(VLOOKUP($B110,Morning_Shift!$B$4:$BJ$61,MATCH(Both_Shift_Roster!AH$2,Morning_Shift!$B$2:$BJ$2,0),0),""))</f>
        <v>14:30-22:00</v>
      </c>
      <c r="AI110" s="2" t="str">
        <f>IF(IFERROR(VLOOKUP($B110,Morning_Shift!$B$4:$BJ$61,MATCH(Both_Shift_Roster!AI$2,Morning_Shift!$B$2:$BJ$2,0),0),"")="",IFERROR(VLOOKUP($B110,Evening_Shift!$B$4:$BJ$62,MATCH(Both_Shift_Roster!AI$2,Evening_Shift!$B$2:$BJ$2,0),0),""),IFERROR(VLOOKUP($B110,Morning_Shift!$B$4:$BJ$61,MATCH(Both_Shift_Roster!AI$2,Morning_Shift!$B$2:$BJ$2,0),0),""))</f>
        <v>14:30-22:00</v>
      </c>
      <c r="AJ110" s="2" t="str">
        <f>IF(IFERROR(VLOOKUP($B110,Morning_Shift!$B$4:$BJ$61,MATCH(Both_Shift_Roster!AJ$2,Morning_Shift!$B$2:$BJ$2,0),0),"")="",IFERROR(VLOOKUP($B110,Evening_Shift!$B$4:$BJ$62,MATCH(Both_Shift_Roster!AJ$2,Evening_Shift!$B$2:$BJ$2,0),0),""),IFERROR(VLOOKUP($B110,Morning_Shift!$B$4:$BJ$61,MATCH(Both_Shift_Roster!AJ$2,Morning_Shift!$B$2:$BJ$2,0),0),""))</f>
        <v>Agent Choice WO</v>
      </c>
      <c r="AK110" s="2" t="str">
        <f>IF(IFERROR(VLOOKUP($B110,Morning_Shift!$B$4:$BJ$61,MATCH(Both_Shift_Roster!AK$2,Morning_Shift!$B$2:$BJ$2,0),0),"")="",IFERROR(VLOOKUP($B110,Evening_Shift!$B$4:$BJ$62,MATCH(Both_Shift_Roster!AK$2,Evening_Shift!$B$2:$BJ$2,0),0),""),IFERROR(VLOOKUP($B110,Morning_Shift!$B$4:$BJ$61,MATCH(Both_Shift_Roster!AK$2,Morning_Shift!$B$2:$BJ$2,0),0),""))</f>
        <v>Agent Choice WO</v>
      </c>
      <c r="AL110" s="2">
        <f t="shared" si="51"/>
        <v>2</v>
      </c>
      <c r="AM110" s="2">
        <f t="shared" si="52"/>
        <v>0</v>
      </c>
      <c r="AN110" s="2">
        <f t="shared" si="53"/>
        <v>0</v>
      </c>
      <c r="AO110" s="2">
        <f t="shared" si="54"/>
        <v>0</v>
      </c>
      <c r="AP110" s="2">
        <f t="shared" si="55"/>
        <v>0</v>
      </c>
      <c r="AQ110" s="2" t="str">
        <f>IF(IFERROR(VLOOKUP($B110,Morning_Shift!$B$4:$BJ$61,MATCH(Both_Shift_Roster!AQ$2,Morning_Shift!$B$2:$BJ$2,0),0),"")="",IFERROR(VLOOKUP($B110,Evening_Shift!$B$4:$BJ$62,MATCH(Both_Shift_Roster!AQ$2,Evening_Shift!$B$2:$BJ$2,0),0),""),IFERROR(VLOOKUP($B110,Morning_Shift!$B$4:$BJ$61,MATCH(Both_Shift_Roster!AQ$2,Morning_Shift!$B$2:$BJ$2,0),0),""))</f>
        <v>14:30-22:00</v>
      </c>
      <c r="AR110" s="2" t="str">
        <f>IF(IFERROR(VLOOKUP($B110,Morning_Shift!$B$4:$BJ$61,MATCH(Both_Shift_Roster!AR$2,Morning_Shift!$B$2:$BJ$2,0),0),"")="",IFERROR(VLOOKUP($B110,Evening_Shift!$B$4:$BJ$62,MATCH(Both_Shift_Roster!AR$2,Evening_Shift!$B$2:$BJ$2,0),0),""),IFERROR(VLOOKUP($B110,Morning_Shift!$B$4:$BJ$61,MATCH(Both_Shift_Roster!AR$2,Morning_Shift!$B$2:$BJ$2,0),0),""))</f>
        <v>14:30-22:00</v>
      </c>
      <c r="AS110" s="2" t="str">
        <f>IF(IFERROR(VLOOKUP($B110,Morning_Shift!$B$4:$BJ$61,MATCH(Both_Shift_Roster!AS$2,Morning_Shift!$B$2:$BJ$2,0),0),"")="",IFERROR(VLOOKUP($B110,Evening_Shift!$B$4:$BJ$62,MATCH(Both_Shift_Roster!AS$2,Evening_Shift!$B$2:$BJ$2,0),0),""),IFERROR(VLOOKUP($B110,Morning_Shift!$B$4:$BJ$61,MATCH(Both_Shift_Roster!AS$2,Morning_Shift!$B$2:$BJ$2,0),0),""))</f>
        <v>14:30-22:00</v>
      </c>
      <c r="AT110" s="2" t="str">
        <f>IF(IFERROR(VLOOKUP($B110,Morning_Shift!$B$4:$BJ$61,MATCH(Both_Shift_Roster!AT$2,Morning_Shift!$B$2:$BJ$2,0),0),"")="",IFERROR(VLOOKUP($B110,Evening_Shift!$B$4:$BJ$62,MATCH(Both_Shift_Roster!AT$2,Evening_Shift!$B$2:$BJ$2,0),0),""),IFERROR(VLOOKUP($B110,Morning_Shift!$B$4:$BJ$61,MATCH(Both_Shift_Roster!AT$2,Morning_Shift!$B$2:$BJ$2,0),0),""))</f>
        <v>14:30-22:00</v>
      </c>
      <c r="AU110" s="2" t="str">
        <f>IF(IFERROR(VLOOKUP($B110,Morning_Shift!$B$4:$BJ$61,MATCH(Both_Shift_Roster!AU$2,Morning_Shift!$B$2:$BJ$2,0),0),"")="",IFERROR(VLOOKUP($B110,Evening_Shift!$B$4:$BJ$62,MATCH(Both_Shift_Roster!AU$2,Evening_Shift!$B$2:$BJ$2,0),0),""),IFERROR(VLOOKUP($B110,Morning_Shift!$B$4:$BJ$61,MATCH(Both_Shift_Roster!AU$2,Morning_Shift!$B$2:$BJ$2,0),0),""))</f>
        <v>14:30-22:00</v>
      </c>
      <c r="AV110" s="2" t="str">
        <f>IF(IFERROR(VLOOKUP($B110,Morning_Shift!$B$4:$BJ$61,MATCH(Both_Shift_Roster!AV$2,Morning_Shift!$B$2:$BJ$2,0),0),"")="",IFERROR(VLOOKUP($B110,Evening_Shift!$B$4:$BJ$62,MATCH(Both_Shift_Roster!AV$2,Evening_Shift!$B$2:$BJ$2,0),0),""),IFERROR(VLOOKUP($B110,Morning_Shift!$B$4:$BJ$61,MATCH(Both_Shift_Roster!AV$2,Morning_Shift!$B$2:$BJ$2,0),0),""))</f>
        <v>14:30-22:00</v>
      </c>
      <c r="AW110" s="2" t="str">
        <f>IF(IFERROR(VLOOKUP($B110,Morning_Shift!$B$4:$BJ$61,MATCH(Both_Shift_Roster!AW$2,Morning_Shift!$B$2:$BJ$2,0),0),"")="",IFERROR(VLOOKUP($B110,Evening_Shift!$B$4:$BJ$62,MATCH(Both_Shift_Roster!AW$2,Evening_Shift!$B$2:$BJ$2,0),0),""),IFERROR(VLOOKUP($B110,Morning_Shift!$B$4:$BJ$61,MATCH(Both_Shift_Roster!AW$2,Morning_Shift!$B$2:$BJ$2,0),0),""))</f>
        <v>14:30-22:00</v>
      </c>
      <c r="AX110" s="2">
        <f t="shared" si="56"/>
        <v>0</v>
      </c>
      <c r="AY110" s="2">
        <f t="shared" si="57"/>
        <v>0</v>
      </c>
      <c r="AZ110" s="2">
        <f t="shared" si="58"/>
        <v>0</v>
      </c>
      <c r="BA110" s="2">
        <f t="shared" si="59"/>
        <v>0</v>
      </c>
      <c r="BB110" s="2">
        <f t="shared" si="60"/>
        <v>0</v>
      </c>
      <c r="BC110" s="2" t="str">
        <f>IF(IFERROR(VLOOKUP($B110,Morning_Shift!$B$4:$BJ$61,MATCH(Both_Shift_Roster!BC$2,Morning_Shift!$B$2:$BJ$2,0),0),"")="",IFERROR(VLOOKUP($B110,Evening_Shift!$B$4:$BJ$62,MATCH(Both_Shift_Roster!BC$2,Evening_Shift!$B$2:$BJ$2,0),0),""),IFERROR(VLOOKUP($B110,Morning_Shift!$B$4:$BJ$61,MATCH(Both_Shift_Roster!BC$2,Morning_Shift!$B$2:$BJ$2,0),0),""))</f>
        <v>14:30-22:00</v>
      </c>
      <c r="BD110" s="2" t="str">
        <f>IF(IFERROR(VLOOKUP($B110,Morning_Shift!$B$4:$BJ$61,MATCH(Both_Shift_Roster!BD$2,Morning_Shift!$B$2:$BJ$2,0),0),"")="",IFERROR(VLOOKUP($B110,Evening_Shift!$B$4:$BJ$62,MATCH(Both_Shift_Roster!BD$2,Evening_Shift!$B$2:$BJ$2,0),0),""),IFERROR(VLOOKUP($B110,Morning_Shift!$B$4:$BJ$61,MATCH(Both_Shift_Roster!BD$2,Morning_Shift!$B$2:$BJ$2,0),0),""))</f>
        <v>14:30-22:00</v>
      </c>
      <c r="BE110" s="2" t="str">
        <f>IF(IFERROR(VLOOKUP($B110,Morning_Shift!$B$4:$BJ$61,MATCH(Both_Shift_Roster!BE$2,Morning_Shift!$B$2:$BJ$2,0),0),"")="",IFERROR(VLOOKUP($B110,Evening_Shift!$B$4:$BJ$59,MATCH(Both_Shift_Roster!BE$2,Evening_Shift!$B$2:$BJ$2,0),0),""),IFERROR(VLOOKUP($B110,Morning_Shift!$B$4:$BJ$61,MATCH(Both_Shift_Roster!BE$2,Morning_Shift!$B$2:$BJ$2,0),0),""))</f>
        <v>14:30-22:00</v>
      </c>
      <c r="BF110" s="2">
        <f t="shared" si="61"/>
        <v>0</v>
      </c>
      <c r="BG110" s="2">
        <f t="shared" si="62"/>
        <v>0</v>
      </c>
      <c r="BH110" s="2">
        <f t="shared" si="63"/>
        <v>0</v>
      </c>
      <c r="BI110" s="2">
        <f t="shared" si="64"/>
        <v>0</v>
      </c>
      <c r="BJ110" s="2">
        <f t="shared" si="65"/>
        <v>0</v>
      </c>
    </row>
    <row r="111" spans="1:62" ht="15" customHeight="1">
      <c r="A111" s="17">
        <f t="shared" si="66"/>
        <v>108</v>
      </c>
      <c r="B111" s="16" t="str">
        <f>Evening_Shift!$B53</f>
        <v>Dritm163</v>
      </c>
      <c r="C111" s="21" t="str">
        <f>IF(IFERROR(VLOOKUP(B111,Morning_Shift!B:C,2,0),"")="",IFERROR(VLOOKUP(B111,Evening_Shift!B:C,2,0),""),IFERROR(VLOOKUP(B111,Morning_Shift!B:C,2,0),""))</f>
        <v>Sanjivani Chauhan</v>
      </c>
      <c r="D111" s="15" t="str">
        <f>IF(IFERROR(VLOOKUP(B111,Morning_Shift!B:D,3,0),"")="",IFERROR(VLOOKUP(B111,Evening_Shift!B:D,3,0),""),IFERROR(VLOOKUP(B111,Morning_Shift!B:D,3,0),""))</f>
        <v xml:space="preserve">Sanjesh </v>
      </c>
      <c r="E111" s="4" t="str">
        <f>IF(IFERROR(VLOOKUP(B111,Morning_Shift!B:E,4,0),"")="",IFERROR(VLOOKUP(B111,Evening_Shift!B:E,4,0),""),IFERROR(VLOOKUP(B111,Morning_Shift!B:E,4,0),""))</f>
        <v>F</v>
      </c>
      <c r="F111" s="5" t="str">
        <f>IF(IFERROR(VLOOKUP(B111,Morning_Shift!B:F,5,0),"")="",IFERROR(VLOOKUP(B111,Evening_Shift!B:F,5,0),""),IFERROR(VLOOKUP(B111,Morning_Shift!B:F,5,0),""))</f>
        <v>Inbound</v>
      </c>
      <c r="G111" s="2" t="str">
        <f>IF(IFERROR(VLOOKUP($B111,Morning_Shift!$B$4:$BJ$61,MATCH(Both_Shift_Roster!G$2,Morning_Shift!$B$2:$BJ$2,0),0),"")="",IFERROR(VLOOKUP($B111,Evening_Shift!$B$4:$BJ$62,MATCH(Both_Shift_Roster!G$2,Evening_Shift!$B$2:$BJ$2,0),0),""),IFERROR(VLOOKUP($B111,Morning_Shift!$B$4:$BJ$61,MATCH(Both_Shift_Roster!G$2,Morning_Shift!$B$2:$BJ$2,0),0),""))</f>
        <v>14:30-22:00</v>
      </c>
      <c r="H111" s="2" t="str">
        <f>IF(IFERROR(VLOOKUP($B111,Morning_Shift!$B$4:$BJ$61,MATCH(Both_Shift_Roster!H$2,Morning_Shift!$B$2:$BJ$2,0),0),"")="",IFERROR(VLOOKUP($B111,Evening_Shift!$B$4:$BJ$62,MATCH(Both_Shift_Roster!H$2,Evening_Shift!$B$2:$BJ$2,0),0),""),IFERROR(VLOOKUP($B111,Morning_Shift!$B$4:$BJ$61,MATCH(Both_Shift_Roster!H$2,Morning_Shift!$B$2:$BJ$2,0),0),""))</f>
        <v>14:30-22:00</v>
      </c>
      <c r="I111" s="2" t="str">
        <f>IF(IFERROR(VLOOKUP($B111,Morning_Shift!$B$4:$BJ$61,MATCH(Both_Shift_Roster!I$2,Morning_Shift!$B$2:$BJ$2,0),0),"")="",IFERROR(VLOOKUP($B111,Evening_Shift!$B$4:$BJ$62,MATCH(Both_Shift_Roster!I$2,Evening_Shift!$B$2:$BJ$2,0),0),""),IFERROR(VLOOKUP($B111,Morning_Shift!$B$4:$BJ$61,MATCH(Both_Shift_Roster!I$2,Morning_Shift!$B$2:$BJ$2,0),0),""))</f>
        <v>14:30-22:00</v>
      </c>
      <c r="J111" s="2" t="str">
        <f>IF(IFERROR(VLOOKUP($B111,Morning_Shift!$B$4:$BJ$61,MATCH(Both_Shift_Roster!J$2,Morning_Shift!$B$2:$BJ$2,0),0),"")="",IFERROR(VLOOKUP($B111,Evening_Shift!$B$4:$BJ$62,MATCH(Both_Shift_Roster!J$2,Evening_Shift!$B$2:$BJ$2,0),0),""),IFERROR(VLOOKUP($B111,Morning_Shift!$B$4:$BJ$61,MATCH(Both_Shift_Roster!J$2,Morning_Shift!$B$2:$BJ$2,0),0),""))</f>
        <v>Agent Choice WO</v>
      </c>
      <c r="K111" s="2" t="str">
        <f>IF(IFERROR(VLOOKUP($B111,Morning_Shift!$B$4:$BJ$61,MATCH(Both_Shift_Roster!K$2,Morning_Shift!$B$2:$BJ$2,0),0),"")="",IFERROR(VLOOKUP($B111,Evening_Shift!$B$4:$BJ$62,MATCH(Both_Shift_Roster!K$2,Evening_Shift!$B$2:$BJ$2,0),0),""),IFERROR(VLOOKUP($B111,Morning_Shift!$B$4:$BJ$61,MATCH(Both_Shift_Roster!K$2,Morning_Shift!$B$2:$BJ$2,0),0),""))</f>
        <v>14:30-22:00</v>
      </c>
      <c r="L111" s="2" t="str">
        <f>IF(IFERROR(VLOOKUP($B111,Morning_Shift!$B$4:$BJ$61,MATCH(Both_Shift_Roster!L$2,Morning_Shift!$B$2:$BJ$2,0),0),"")="",IFERROR(VLOOKUP($B111,Evening_Shift!$B$4:$BJ$62,MATCH(Both_Shift_Roster!L$2,Evening_Shift!$B$2:$BJ$2,0),0),""),IFERROR(VLOOKUP($B111,Morning_Shift!$B$4:$BJ$61,MATCH(Both_Shift_Roster!L$2,Morning_Shift!$B$2:$BJ$2,0),0),""))</f>
        <v>14:30-22:00</v>
      </c>
      <c r="M111" s="2" t="str">
        <f>IF(IFERROR(VLOOKUP($B111,Morning_Shift!$B$4:$BJ$61,MATCH(Both_Shift_Roster!M$2,Morning_Shift!$B$2:$BJ$2,0),0),"")="",IFERROR(VLOOKUP($B111,Evening_Shift!$B$4:$BJ$62,MATCH(Both_Shift_Roster!M$2,Evening_Shift!$B$2:$BJ$2,0),0),""),IFERROR(VLOOKUP($B111,Morning_Shift!$B$4:$BJ$61,MATCH(Both_Shift_Roster!M$2,Morning_Shift!$B$2:$BJ$2,0),0),""))</f>
        <v>14:30-22:00</v>
      </c>
      <c r="N111" s="2">
        <f t="shared" si="41"/>
        <v>1</v>
      </c>
      <c r="O111" s="2">
        <f t="shared" si="42"/>
        <v>0</v>
      </c>
      <c r="P111" s="2">
        <f t="shared" si="43"/>
        <v>0</v>
      </c>
      <c r="Q111" s="2">
        <f t="shared" si="44"/>
        <v>0</v>
      </c>
      <c r="R111" s="2">
        <f t="shared" si="45"/>
        <v>0</v>
      </c>
      <c r="S111" s="2" t="str">
        <f>IF(IFERROR(VLOOKUP($B111,Morning_Shift!$B$4:$BJ$61,MATCH(Both_Shift_Roster!S$2,Morning_Shift!$B$2:$BJ$2,0),0),"")="",IFERROR(VLOOKUP($B111,Evening_Shift!$B$4:$BJ$62,MATCH(Both_Shift_Roster!S$2,Evening_Shift!$B$2:$BJ$2,0),0),""),IFERROR(VLOOKUP($B111,Morning_Shift!$B$4:$BJ$61,MATCH(Both_Shift_Roster!S$2,Morning_Shift!$B$2:$BJ$2,0),0),""))</f>
        <v>14:30-22:00</v>
      </c>
      <c r="T111" s="2" t="str">
        <f>IF(IFERROR(VLOOKUP($B111,Morning_Shift!$B$4:$BJ$61,MATCH(Both_Shift_Roster!T$2,Morning_Shift!$B$2:$BJ$2,0),0),"")="",IFERROR(VLOOKUP($B111,Evening_Shift!$B$4:$BJ$62,MATCH(Both_Shift_Roster!T$2,Evening_Shift!$B$2:$BJ$2,0),0),""),IFERROR(VLOOKUP($B111,Morning_Shift!$B$4:$BJ$61,MATCH(Both_Shift_Roster!T$2,Morning_Shift!$B$2:$BJ$2,0),0),""))</f>
        <v>14:30-22:00</v>
      </c>
      <c r="U111" s="2" t="str">
        <f>IF(IFERROR(VLOOKUP($B111,Morning_Shift!$B$4:$BJ$61,MATCH(Both_Shift_Roster!U$2,Morning_Shift!$B$2:$BJ$2,0),0),"")="",IFERROR(VLOOKUP($B111,Evening_Shift!$B$4:$BJ$62,MATCH(Both_Shift_Roster!U$2,Evening_Shift!$B$2:$BJ$2,0),0),""),IFERROR(VLOOKUP($B111,Morning_Shift!$B$4:$BJ$61,MATCH(Both_Shift_Roster!U$2,Morning_Shift!$B$2:$BJ$2,0),0),""))</f>
        <v>14:30-22:00</v>
      </c>
      <c r="V111" s="2" t="str">
        <f>IF(IFERROR(VLOOKUP($B111,Morning_Shift!$B$4:$BJ$61,MATCH(Both_Shift_Roster!V$2,Morning_Shift!$B$2:$BJ$2,0),0),"")="",IFERROR(VLOOKUP($B111,Evening_Shift!$B$4:$BJ$62,MATCH(Both_Shift_Roster!V$2,Evening_Shift!$B$2:$BJ$2,0),0),""),IFERROR(VLOOKUP($B111,Morning_Shift!$B$4:$BJ$61,MATCH(Both_Shift_Roster!V$2,Morning_Shift!$B$2:$BJ$2,0),0),""))</f>
        <v>14:30-22:00</v>
      </c>
      <c r="W111" s="2" t="str">
        <f>IF(IFERROR(VLOOKUP($B111,Morning_Shift!$B$4:$BJ$61,MATCH(Both_Shift_Roster!W$2,Morning_Shift!$B$2:$BJ$2,0),0),"")="",IFERROR(VLOOKUP($B111,Evening_Shift!$B$4:$BJ$62,MATCH(Both_Shift_Roster!W$2,Evening_Shift!$B$2:$BJ$2,0),0),""),IFERROR(VLOOKUP($B111,Morning_Shift!$B$4:$BJ$61,MATCH(Both_Shift_Roster!W$2,Morning_Shift!$B$2:$BJ$2,0),0),""))</f>
        <v>14:30-22:00</v>
      </c>
      <c r="X111" s="2" t="str">
        <f>IF(IFERROR(VLOOKUP($B111,Morning_Shift!$B$4:$BJ$61,MATCH(Both_Shift_Roster!X$2,Morning_Shift!$B$2:$BJ$2,0),0),"")="",IFERROR(VLOOKUP($B111,Evening_Shift!$B$4:$BJ$62,MATCH(Both_Shift_Roster!X$2,Evening_Shift!$B$2:$BJ$2,0),0),""),IFERROR(VLOOKUP($B111,Morning_Shift!$B$4:$BJ$61,MATCH(Both_Shift_Roster!X$2,Morning_Shift!$B$2:$BJ$2,0),0),""))</f>
        <v>14:30-22:00</v>
      </c>
      <c r="Y111" s="2" t="str">
        <f>IF(IFERROR(VLOOKUP($B111,Morning_Shift!$B$4:$BJ$61,MATCH(Both_Shift_Roster!Y$2,Morning_Shift!$B$2:$BJ$2,0),0),"")="",IFERROR(VLOOKUP($B111,Evening_Shift!$B$4:$BJ$62,MATCH(Both_Shift_Roster!Y$2,Evening_Shift!$B$2:$BJ$2,0),0),""),IFERROR(VLOOKUP($B111,Morning_Shift!$B$4:$BJ$61,MATCH(Both_Shift_Roster!Y$2,Morning_Shift!$B$2:$BJ$2,0),0),""))</f>
        <v>14:30-22:00</v>
      </c>
      <c r="Z111" s="2">
        <f t="shared" si="46"/>
        <v>0</v>
      </c>
      <c r="AA111" s="2">
        <f t="shared" si="47"/>
        <v>0</v>
      </c>
      <c r="AB111" s="2">
        <f t="shared" si="48"/>
        <v>0</v>
      </c>
      <c r="AC111" s="2">
        <f t="shared" si="49"/>
        <v>0</v>
      </c>
      <c r="AD111" s="2">
        <f t="shared" si="50"/>
        <v>0</v>
      </c>
      <c r="AE111" s="2" t="str">
        <f>IF(IFERROR(VLOOKUP($B111,Morning_Shift!$B$4:$BJ$61,MATCH(Both_Shift_Roster!AE$2,Morning_Shift!$B$2:$BJ$2,0),0),"")="",IFERROR(VLOOKUP($B111,Evening_Shift!$B$4:$BJ$62,MATCH(Both_Shift_Roster!AE$2,Evening_Shift!$B$2:$BJ$2,0),0),""),IFERROR(VLOOKUP($B111,Morning_Shift!$B$4:$BJ$61,MATCH(Both_Shift_Roster!AE$2,Morning_Shift!$B$2:$BJ$2,0),0),""))</f>
        <v>14:30-22:00</v>
      </c>
      <c r="AF111" s="2" t="str">
        <f>IF(IFERROR(VLOOKUP($B111,Morning_Shift!$B$4:$BJ$61,MATCH(Both_Shift_Roster!AF$2,Morning_Shift!$B$2:$BJ$2,0),0),"")="",IFERROR(VLOOKUP($B111,Evening_Shift!$B$4:$BJ$62,MATCH(Both_Shift_Roster!AF$2,Evening_Shift!$B$2:$BJ$2,0),0),""),IFERROR(VLOOKUP($B111,Morning_Shift!$B$4:$BJ$61,MATCH(Both_Shift_Roster!AF$2,Morning_Shift!$B$2:$BJ$2,0),0),""))</f>
        <v>14:30-22:00</v>
      </c>
      <c r="AG111" s="2" t="str">
        <f>IF(IFERROR(VLOOKUP($B111,Morning_Shift!$B$4:$BJ$61,MATCH(Both_Shift_Roster!AG$2,Morning_Shift!$B$2:$BJ$2,0),0),"")="",IFERROR(VLOOKUP($B111,Evening_Shift!$B$4:$BJ$62,MATCH(Both_Shift_Roster!AG$2,Evening_Shift!$B$2:$BJ$2,0),0),""),IFERROR(VLOOKUP($B111,Morning_Shift!$B$4:$BJ$61,MATCH(Both_Shift_Roster!AG$2,Morning_Shift!$B$2:$BJ$2,0),0),""))</f>
        <v>14:30-22:00</v>
      </c>
      <c r="AH111" s="2" t="str">
        <f>IF(IFERROR(VLOOKUP($B111,Morning_Shift!$B$4:$BJ$61,MATCH(Both_Shift_Roster!AH$2,Morning_Shift!$B$2:$BJ$2,0),0),"")="",IFERROR(VLOOKUP($B111,Evening_Shift!$B$4:$BJ$62,MATCH(Both_Shift_Roster!AH$2,Evening_Shift!$B$2:$BJ$2,0),0),""),IFERROR(VLOOKUP($B111,Morning_Shift!$B$4:$BJ$61,MATCH(Both_Shift_Roster!AH$2,Morning_Shift!$B$2:$BJ$2,0),0),""))</f>
        <v>14:30-22:00</v>
      </c>
      <c r="AI111" s="2" t="str">
        <f>IF(IFERROR(VLOOKUP($B111,Morning_Shift!$B$4:$BJ$61,MATCH(Both_Shift_Roster!AI$2,Morning_Shift!$B$2:$BJ$2,0),0),"")="",IFERROR(VLOOKUP($B111,Evening_Shift!$B$4:$BJ$62,MATCH(Both_Shift_Roster!AI$2,Evening_Shift!$B$2:$BJ$2,0),0),""),IFERROR(VLOOKUP($B111,Morning_Shift!$B$4:$BJ$61,MATCH(Both_Shift_Roster!AI$2,Morning_Shift!$B$2:$BJ$2,0),0),""))</f>
        <v>14:30-22:00</v>
      </c>
      <c r="AJ111" s="2" t="str">
        <f>IF(IFERROR(VLOOKUP($B111,Morning_Shift!$B$4:$BJ$61,MATCH(Both_Shift_Roster!AJ$2,Morning_Shift!$B$2:$BJ$2,0),0),"")="",IFERROR(VLOOKUP($B111,Evening_Shift!$B$4:$BJ$62,MATCH(Both_Shift_Roster!AJ$2,Evening_Shift!$B$2:$BJ$2,0),0),""),IFERROR(VLOOKUP($B111,Morning_Shift!$B$4:$BJ$61,MATCH(Both_Shift_Roster!AJ$2,Morning_Shift!$B$2:$BJ$2,0),0),""))</f>
        <v>Agent Choice WO</v>
      </c>
      <c r="AK111" s="2" t="str">
        <f>IF(IFERROR(VLOOKUP($B111,Morning_Shift!$B$4:$BJ$61,MATCH(Both_Shift_Roster!AK$2,Morning_Shift!$B$2:$BJ$2,0),0),"")="",IFERROR(VLOOKUP($B111,Evening_Shift!$B$4:$BJ$62,MATCH(Both_Shift_Roster!AK$2,Evening_Shift!$B$2:$BJ$2,0),0),""),IFERROR(VLOOKUP($B111,Morning_Shift!$B$4:$BJ$61,MATCH(Both_Shift_Roster!AK$2,Morning_Shift!$B$2:$BJ$2,0),0),""))</f>
        <v>14:30-22:00</v>
      </c>
      <c r="AL111" s="2">
        <f t="shared" si="51"/>
        <v>1</v>
      </c>
      <c r="AM111" s="2">
        <f t="shared" si="52"/>
        <v>0</v>
      </c>
      <c r="AN111" s="2">
        <f t="shared" si="53"/>
        <v>0</v>
      </c>
      <c r="AO111" s="2">
        <f t="shared" si="54"/>
        <v>0</v>
      </c>
      <c r="AP111" s="2">
        <f t="shared" si="55"/>
        <v>0</v>
      </c>
      <c r="AQ111" s="2" t="str">
        <f>IF(IFERROR(VLOOKUP($B111,Morning_Shift!$B$4:$BJ$61,MATCH(Both_Shift_Roster!AQ$2,Morning_Shift!$B$2:$BJ$2,0),0),"")="",IFERROR(VLOOKUP($B111,Evening_Shift!$B$4:$BJ$62,MATCH(Both_Shift_Roster!AQ$2,Evening_Shift!$B$2:$BJ$2,0),0),""),IFERROR(VLOOKUP($B111,Morning_Shift!$B$4:$BJ$61,MATCH(Both_Shift_Roster!AQ$2,Morning_Shift!$B$2:$BJ$2,0),0),""))</f>
        <v>14:30-22:00</v>
      </c>
      <c r="AR111" s="2" t="str">
        <f>IF(IFERROR(VLOOKUP($B111,Morning_Shift!$B$4:$BJ$61,MATCH(Both_Shift_Roster!AR$2,Morning_Shift!$B$2:$BJ$2,0),0),"")="",IFERROR(VLOOKUP($B111,Evening_Shift!$B$4:$BJ$62,MATCH(Both_Shift_Roster!AR$2,Evening_Shift!$B$2:$BJ$2,0),0),""),IFERROR(VLOOKUP($B111,Morning_Shift!$B$4:$BJ$61,MATCH(Both_Shift_Roster!AR$2,Morning_Shift!$B$2:$BJ$2,0),0),""))</f>
        <v>14:30-22:00</v>
      </c>
      <c r="AS111" s="2" t="str">
        <f>IF(IFERROR(VLOOKUP($B111,Morning_Shift!$B$4:$BJ$61,MATCH(Both_Shift_Roster!AS$2,Morning_Shift!$B$2:$BJ$2,0),0),"")="",IFERROR(VLOOKUP($B111,Evening_Shift!$B$4:$BJ$62,MATCH(Both_Shift_Roster!AS$2,Evening_Shift!$B$2:$BJ$2,0),0),""),IFERROR(VLOOKUP($B111,Morning_Shift!$B$4:$BJ$61,MATCH(Both_Shift_Roster!AS$2,Morning_Shift!$B$2:$BJ$2,0),0),""))</f>
        <v>14:30-22:00</v>
      </c>
      <c r="AT111" s="2" t="str">
        <f>IF(IFERROR(VLOOKUP($B111,Morning_Shift!$B$4:$BJ$61,MATCH(Both_Shift_Roster!AT$2,Morning_Shift!$B$2:$BJ$2,0),0),"")="",IFERROR(VLOOKUP($B111,Evening_Shift!$B$4:$BJ$62,MATCH(Both_Shift_Roster!AT$2,Evening_Shift!$B$2:$BJ$2,0),0),""),IFERROR(VLOOKUP($B111,Morning_Shift!$B$4:$BJ$61,MATCH(Both_Shift_Roster!AT$2,Morning_Shift!$B$2:$BJ$2,0),0),""))</f>
        <v>14:30-22:00</v>
      </c>
      <c r="AU111" s="2" t="str">
        <f>IF(IFERROR(VLOOKUP($B111,Morning_Shift!$B$4:$BJ$61,MATCH(Both_Shift_Roster!AU$2,Morning_Shift!$B$2:$BJ$2,0),0),"")="",IFERROR(VLOOKUP($B111,Evening_Shift!$B$4:$BJ$62,MATCH(Both_Shift_Roster!AU$2,Evening_Shift!$B$2:$BJ$2,0),0),""),IFERROR(VLOOKUP($B111,Morning_Shift!$B$4:$BJ$61,MATCH(Both_Shift_Roster!AU$2,Morning_Shift!$B$2:$BJ$2,0),0),""))</f>
        <v>Agent Choice WO</v>
      </c>
      <c r="AV111" s="2" t="str">
        <f>IF(IFERROR(VLOOKUP($B111,Morning_Shift!$B$4:$BJ$61,MATCH(Both_Shift_Roster!AV$2,Morning_Shift!$B$2:$BJ$2,0),0),"")="",IFERROR(VLOOKUP($B111,Evening_Shift!$B$4:$BJ$62,MATCH(Both_Shift_Roster!AV$2,Evening_Shift!$B$2:$BJ$2,0),0),""),IFERROR(VLOOKUP($B111,Morning_Shift!$B$4:$BJ$61,MATCH(Both_Shift_Roster!AV$2,Morning_Shift!$B$2:$BJ$2,0),0),""))</f>
        <v>Agent Choice WO</v>
      </c>
      <c r="AW111" s="2" t="str">
        <f>IF(IFERROR(VLOOKUP($B111,Morning_Shift!$B$4:$BJ$61,MATCH(Both_Shift_Roster!AW$2,Morning_Shift!$B$2:$BJ$2,0),0),"")="",IFERROR(VLOOKUP($B111,Evening_Shift!$B$4:$BJ$62,MATCH(Both_Shift_Roster!AW$2,Evening_Shift!$B$2:$BJ$2,0),0),""),IFERROR(VLOOKUP($B111,Morning_Shift!$B$4:$BJ$61,MATCH(Both_Shift_Roster!AW$2,Morning_Shift!$B$2:$BJ$2,0),0),""))</f>
        <v>14:30-22:00</v>
      </c>
      <c r="AX111" s="2">
        <f t="shared" si="56"/>
        <v>2</v>
      </c>
      <c r="AY111" s="2">
        <f t="shared" si="57"/>
        <v>0</v>
      </c>
      <c r="AZ111" s="2">
        <f t="shared" si="58"/>
        <v>0</v>
      </c>
      <c r="BA111" s="2">
        <f t="shared" si="59"/>
        <v>0</v>
      </c>
      <c r="BB111" s="2">
        <f t="shared" si="60"/>
        <v>0</v>
      </c>
      <c r="BC111" s="2" t="str">
        <f>IF(IFERROR(VLOOKUP($B111,Morning_Shift!$B$4:$BJ$61,MATCH(Both_Shift_Roster!BC$2,Morning_Shift!$B$2:$BJ$2,0),0),"")="",IFERROR(VLOOKUP($B111,Evening_Shift!$B$4:$BJ$62,MATCH(Both_Shift_Roster!BC$2,Evening_Shift!$B$2:$BJ$2,0),0),""),IFERROR(VLOOKUP($B111,Morning_Shift!$B$4:$BJ$61,MATCH(Both_Shift_Roster!BC$2,Morning_Shift!$B$2:$BJ$2,0),0),""))</f>
        <v>14:30-22:00</v>
      </c>
      <c r="BD111" s="2" t="str">
        <f>IF(IFERROR(VLOOKUP($B111,Morning_Shift!$B$4:$BJ$61,MATCH(Both_Shift_Roster!BD$2,Morning_Shift!$B$2:$BJ$2,0),0),"")="",IFERROR(VLOOKUP($B111,Evening_Shift!$B$4:$BJ$62,MATCH(Both_Shift_Roster!BD$2,Evening_Shift!$B$2:$BJ$2,0),0),""),IFERROR(VLOOKUP($B111,Morning_Shift!$B$4:$BJ$61,MATCH(Both_Shift_Roster!BD$2,Morning_Shift!$B$2:$BJ$2,0),0),""))</f>
        <v>14:30-22:00</v>
      </c>
      <c r="BE111" s="2" t="str">
        <f>IF(IFERROR(VLOOKUP($B111,Morning_Shift!$B$4:$BJ$61,MATCH(Both_Shift_Roster!BE$2,Morning_Shift!$B$2:$BJ$2,0),0),"")="",IFERROR(VLOOKUP($B111,Evening_Shift!$B$4:$BJ$59,MATCH(Both_Shift_Roster!BE$2,Evening_Shift!$B$2:$BJ$2,0),0),""),IFERROR(VLOOKUP($B111,Morning_Shift!$B$4:$BJ$61,MATCH(Both_Shift_Roster!BE$2,Morning_Shift!$B$2:$BJ$2,0),0),""))</f>
        <v>14:30-22:00</v>
      </c>
      <c r="BF111" s="2">
        <f t="shared" si="61"/>
        <v>0</v>
      </c>
      <c r="BG111" s="2">
        <f t="shared" si="62"/>
        <v>0</v>
      </c>
      <c r="BH111" s="2">
        <f t="shared" si="63"/>
        <v>0</v>
      </c>
      <c r="BI111" s="2">
        <f t="shared" si="64"/>
        <v>0</v>
      </c>
      <c r="BJ111" s="2">
        <f t="shared" si="65"/>
        <v>0</v>
      </c>
    </row>
    <row r="112" spans="1:62" ht="15" customHeight="1">
      <c r="A112" s="17">
        <f t="shared" si="66"/>
        <v>109</v>
      </c>
      <c r="B112" s="16" t="str">
        <f>Evening_Shift!$B54</f>
        <v>Dritm164</v>
      </c>
      <c r="C112" s="21" t="str">
        <f>IF(IFERROR(VLOOKUP(B112,Morning_Shift!B:C,2,0),"")="",IFERROR(VLOOKUP(B112,Evening_Shift!B:C,2,0),""),IFERROR(VLOOKUP(B112,Morning_Shift!B:C,2,0),""))</f>
        <v>Priyanka Raj</v>
      </c>
      <c r="D112" s="15" t="str">
        <f>IF(IFERROR(VLOOKUP(B112,Morning_Shift!B:D,3,0),"")="",IFERROR(VLOOKUP(B112,Evening_Shift!B:D,3,0),""),IFERROR(VLOOKUP(B112,Morning_Shift!B:D,3,0),""))</f>
        <v xml:space="preserve">Sanjesh </v>
      </c>
      <c r="E112" s="4" t="str">
        <f>IF(IFERROR(VLOOKUP(B112,Morning_Shift!B:E,4,0),"")="",IFERROR(VLOOKUP(B112,Evening_Shift!B:E,4,0),""),IFERROR(VLOOKUP(B112,Morning_Shift!B:E,4,0),""))</f>
        <v>F</v>
      </c>
      <c r="F112" s="5" t="str">
        <f>IF(IFERROR(VLOOKUP(B112,Morning_Shift!B:F,5,0),"")="",IFERROR(VLOOKUP(B112,Evening_Shift!B:F,5,0),""),IFERROR(VLOOKUP(B112,Morning_Shift!B:F,5,0),""))</f>
        <v>Inbound</v>
      </c>
      <c r="G112" s="2" t="str">
        <f>IF(IFERROR(VLOOKUP($B112,Morning_Shift!$B$4:$BJ$61,MATCH(Both_Shift_Roster!G$2,Morning_Shift!$B$2:$BJ$2,0),0),"")="",IFERROR(VLOOKUP($B112,Evening_Shift!$B$4:$BJ$62,MATCH(Both_Shift_Roster!G$2,Evening_Shift!$B$2:$BJ$2,0),0),""),IFERROR(VLOOKUP($B112,Morning_Shift!$B$4:$BJ$61,MATCH(Both_Shift_Roster!G$2,Morning_Shift!$B$2:$BJ$2,0),0),""))</f>
        <v>14:30-22:00</v>
      </c>
      <c r="H112" s="2" t="str">
        <f>IF(IFERROR(VLOOKUP($B112,Morning_Shift!$B$4:$BJ$61,MATCH(Both_Shift_Roster!H$2,Morning_Shift!$B$2:$BJ$2,0),0),"")="",IFERROR(VLOOKUP($B112,Evening_Shift!$B$4:$BJ$62,MATCH(Both_Shift_Roster!H$2,Evening_Shift!$B$2:$BJ$2,0),0),""),IFERROR(VLOOKUP($B112,Morning_Shift!$B$4:$BJ$61,MATCH(Both_Shift_Roster!H$2,Morning_Shift!$B$2:$BJ$2,0),0),""))</f>
        <v>14:30-22:00</v>
      </c>
      <c r="I112" s="2" t="str">
        <f>IF(IFERROR(VLOOKUP($B112,Morning_Shift!$B$4:$BJ$61,MATCH(Both_Shift_Roster!I$2,Morning_Shift!$B$2:$BJ$2,0),0),"")="",IFERROR(VLOOKUP($B112,Evening_Shift!$B$4:$BJ$62,MATCH(Both_Shift_Roster!I$2,Evening_Shift!$B$2:$BJ$2,0),0),""),IFERROR(VLOOKUP($B112,Morning_Shift!$B$4:$BJ$61,MATCH(Both_Shift_Roster!I$2,Morning_Shift!$B$2:$BJ$2,0),0),""))</f>
        <v>Agent Choice WO</v>
      </c>
      <c r="J112" s="2" t="str">
        <f>IF(IFERROR(VLOOKUP($B112,Morning_Shift!$B$4:$BJ$61,MATCH(Both_Shift_Roster!J$2,Morning_Shift!$B$2:$BJ$2,0),0),"")="",IFERROR(VLOOKUP($B112,Evening_Shift!$B$4:$BJ$62,MATCH(Both_Shift_Roster!J$2,Evening_Shift!$B$2:$BJ$2,0),0),""),IFERROR(VLOOKUP($B112,Morning_Shift!$B$4:$BJ$61,MATCH(Both_Shift_Roster!J$2,Morning_Shift!$B$2:$BJ$2,0),0),""))</f>
        <v>Agent Choice WO</v>
      </c>
      <c r="K112" s="2" t="str">
        <f>IF(IFERROR(VLOOKUP($B112,Morning_Shift!$B$4:$BJ$61,MATCH(Both_Shift_Roster!K$2,Morning_Shift!$B$2:$BJ$2,0),0),"")="",IFERROR(VLOOKUP($B112,Evening_Shift!$B$4:$BJ$62,MATCH(Both_Shift_Roster!K$2,Evening_Shift!$B$2:$BJ$2,0),0),""),IFERROR(VLOOKUP($B112,Morning_Shift!$B$4:$BJ$61,MATCH(Both_Shift_Roster!K$2,Morning_Shift!$B$2:$BJ$2,0),0),""))</f>
        <v>Agent Choice WO</v>
      </c>
      <c r="L112" s="2" t="str">
        <f>IF(IFERROR(VLOOKUP($B112,Morning_Shift!$B$4:$BJ$61,MATCH(Both_Shift_Roster!L$2,Morning_Shift!$B$2:$BJ$2,0),0),"")="",IFERROR(VLOOKUP($B112,Evening_Shift!$B$4:$BJ$62,MATCH(Both_Shift_Roster!L$2,Evening_Shift!$B$2:$BJ$2,0),0),""),IFERROR(VLOOKUP($B112,Morning_Shift!$B$4:$BJ$61,MATCH(Both_Shift_Roster!L$2,Morning_Shift!$B$2:$BJ$2,0),0),""))</f>
        <v>Agent Choice WO</v>
      </c>
      <c r="M112" s="2" t="str">
        <f>IF(IFERROR(VLOOKUP($B112,Morning_Shift!$B$4:$BJ$61,MATCH(Both_Shift_Roster!M$2,Morning_Shift!$B$2:$BJ$2,0),0),"")="",IFERROR(VLOOKUP($B112,Evening_Shift!$B$4:$BJ$62,MATCH(Both_Shift_Roster!M$2,Evening_Shift!$B$2:$BJ$2,0),0),""),IFERROR(VLOOKUP($B112,Morning_Shift!$B$4:$BJ$61,MATCH(Both_Shift_Roster!M$2,Morning_Shift!$B$2:$BJ$2,0),0),""))</f>
        <v>LP</v>
      </c>
      <c r="N112" s="2">
        <f t="shared" si="41"/>
        <v>4</v>
      </c>
      <c r="O112" s="2">
        <f t="shared" si="42"/>
        <v>0</v>
      </c>
      <c r="P112" s="2">
        <f t="shared" si="43"/>
        <v>0</v>
      </c>
      <c r="Q112" s="2">
        <f t="shared" si="44"/>
        <v>0</v>
      </c>
      <c r="R112" s="2">
        <f t="shared" si="45"/>
        <v>1</v>
      </c>
      <c r="S112" s="2" t="str">
        <f>IF(IFERROR(VLOOKUP($B112,Morning_Shift!$B$4:$BJ$61,MATCH(Both_Shift_Roster!S$2,Morning_Shift!$B$2:$BJ$2,0),0),"")="",IFERROR(VLOOKUP($B112,Evening_Shift!$B$4:$BJ$62,MATCH(Both_Shift_Roster!S$2,Evening_Shift!$B$2:$BJ$2,0),0),""),IFERROR(VLOOKUP($B112,Morning_Shift!$B$4:$BJ$61,MATCH(Both_Shift_Roster!S$2,Morning_Shift!$B$2:$BJ$2,0),0),""))</f>
        <v>LP</v>
      </c>
      <c r="T112" s="2" t="str">
        <f>IF(IFERROR(VLOOKUP($B112,Morning_Shift!$B$4:$BJ$61,MATCH(Both_Shift_Roster!T$2,Morning_Shift!$B$2:$BJ$2,0),0),"")="",IFERROR(VLOOKUP($B112,Evening_Shift!$B$4:$BJ$62,MATCH(Both_Shift_Roster!T$2,Evening_Shift!$B$2:$BJ$2,0),0),""),IFERROR(VLOOKUP($B112,Morning_Shift!$B$4:$BJ$61,MATCH(Both_Shift_Roster!T$2,Morning_Shift!$B$2:$BJ$2,0),0),""))</f>
        <v>LP</v>
      </c>
      <c r="U112" s="2" t="str">
        <f>IF(IFERROR(VLOOKUP($B112,Morning_Shift!$B$4:$BJ$61,MATCH(Both_Shift_Roster!U$2,Morning_Shift!$B$2:$BJ$2,0),0),"")="",IFERROR(VLOOKUP($B112,Evening_Shift!$B$4:$BJ$62,MATCH(Both_Shift_Roster!U$2,Evening_Shift!$B$2:$BJ$2,0),0),""),IFERROR(VLOOKUP($B112,Morning_Shift!$B$4:$BJ$61,MATCH(Both_Shift_Roster!U$2,Morning_Shift!$B$2:$BJ$2,0),0),""))</f>
        <v>LP</v>
      </c>
      <c r="V112" s="2" t="str">
        <f>IF(IFERROR(VLOOKUP($B112,Morning_Shift!$B$4:$BJ$61,MATCH(Both_Shift_Roster!V$2,Morning_Shift!$B$2:$BJ$2,0),0),"")="",IFERROR(VLOOKUP($B112,Evening_Shift!$B$4:$BJ$62,MATCH(Both_Shift_Roster!V$2,Evening_Shift!$B$2:$BJ$2,0),0),""),IFERROR(VLOOKUP($B112,Morning_Shift!$B$4:$BJ$61,MATCH(Both_Shift_Roster!V$2,Morning_Shift!$B$2:$BJ$2,0),0),""))</f>
        <v>LP</v>
      </c>
      <c r="W112" s="2" t="str">
        <f>IF(IFERROR(VLOOKUP($B112,Morning_Shift!$B$4:$BJ$61,MATCH(Both_Shift_Roster!W$2,Morning_Shift!$B$2:$BJ$2,0),0),"")="",IFERROR(VLOOKUP($B112,Evening_Shift!$B$4:$BJ$62,MATCH(Both_Shift_Roster!W$2,Evening_Shift!$B$2:$BJ$2,0),0),""),IFERROR(VLOOKUP($B112,Morning_Shift!$B$4:$BJ$61,MATCH(Both_Shift_Roster!W$2,Morning_Shift!$B$2:$BJ$2,0),0),""))</f>
        <v>LP</v>
      </c>
      <c r="X112" s="2" t="str">
        <f>IF(IFERROR(VLOOKUP($B112,Morning_Shift!$B$4:$BJ$61,MATCH(Both_Shift_Roster!X$2,Morning_Shift!$B$2:$BJ$2,0),0),"")="",IFERROR(VLOOKUP($B112,Evening_Shift!$B$4:$BJ$62,MATCH(Both_Shift_Roster!X$2,Evening_Shift!$B$2:$BJ$2,0),0),""),IFERROR(VLOOKUP($B112,Morning_Shift!$B$4:$BJ$61,MATCH(Both_Shift_Roster!X$2,Morning_Shift!$B$2:$BJ$2,0),0),""))</f>
        <v>LP</v>
      </c>
      <c r="Y112" s="2" t="str">
        <f>IF(IFERROR(VLOOKUP($B112,Morning_Shift!$B$4:$BJ$61,MATCH(Both_Shift_Roster!Y$2,Morning_Shift!$B$2:$BJ$2,0),0),"")="",IFERROR(VLOOKUP($B112,Evening_Shift!$B$4:$BJ$62,MATCH(Both_Shift_Roster!Y$2,Evening_Shift!$B$2:$BJ$2,0),0),""),IFERROR(VLOOKUP($B112,Morning_Shift!$B$4:$BJ$61,MATCH(Both_Shift_Roster!Y$2,Morning_Shift!$B$2:$BJ$2,0),0),""))</f>
        <v>LP</v>
      </c>
      <c r="Z112" s="2">
        <f t="shared" si="46"/>
        <v>0</v>
      </c>
      <c r="AA112" s="2">
        <f t="shared" si="47"/>
        <v>0</v>
      </c>
      <c r="AB112" s="2">
        <f t="shared" si="48"/>
        <v>0</v>
      </c>
      <c r="AC112" s="2">
        <f t="shared" si="49"/>
        <v>0</v>
      </c>
      <c r="AD112" s="2">
        <f t="shared" si="50"/>
        <v>7</v>
      </c>
      <c r="AE112" s="2" t="str">
        <f>IF(IFERROR(VLOOKUP($B112,Morning_Shift!$B$4:$BJ$61,MATCH(Both_Shift_Roster!AE$2,Morning_Shift!$B$2:$BJ$2,0),0),"")="",IFERROR(VLOOKUP($B112,Evening_Shift!$B$4:$BJ$62,MATCH(Both_Shift_Roster!AE$2,Evening_Shift!$B$2:$BJ$2,0),0),""),IFERROR(VLOOKUP($B112,Morning_Shift!$B$4:$BJ$61,MATCH(Both_Shift_Roster!AE$2,Morning_Shift!$B$2:$BJ$2,0),0),""))</f>
        <v>LP</v>
      </c>
      <c r="AF112" s="2" t="str">
        <f>IF(IFERROR(VLOOKUP($B112,Morning_Shift!$B$4:$BJ$61,MATCH(Both_Shift_Roster!AF$2,Morning_Shift!$B$2:$BJ$2,0),0),"")="",IFERROR(VLOOKUP($B112,Evening_Shift!$B$4:$BJ$62,MATCH(Both_Shift_Roster!AF$2,Evening_Shift!$B$2:$BJ$2,0),0),""),IFERROR(VLOOKUP($B112,Morning_Shift!$B$4:$BJ$61,MATCH(Both_Shift_Roster!AF$2,Morning_Shift!$B$2:$BJ$2,0),0),""))</f>
        <v>LP</v>
      </c>
      <c r="AG112" s="2" t="str">
        <f>IF(IFERROR(VLOOKUP($B112,Morning_Shift!$B$4:$BJ$61,MATCH(Both_Shift_Roster!AG$2,Morning_Shift!$B$2:$BJ$2,0),0),"")="",IFERROR(VLOOKUP($B112,Evening_Shift!$B$4:$BJ$62,MATCH(Both_Shift_Roster!AG$2,Evening_Shift!$B$2:$BJ$2,0),0),""),IFERROR(VLOOKUP($B112,Morning_Shift!$B$4:$BJ$61,MATCH(Both_Shift_Roster!AG$2,Morning_Shift!$B$2:$BJ$2,0),0),""))</f>
        <v>LP</v>
      </c>
      <c r="AH112" s="2" t="str">
        <f>IF(IFERROR(VLOOKUP($B112,Morning_Shift!$B$4:$BJ$61,MATCH(Both_Shift_Roster!AH$2,Morning_Shift!$B$2:$BJ$2,0),0),"")="",IFERROR(VLOOKUP($B112,Evening_Shift!$B$4:$BJ$62,MATCH(Both_Shift_Roster!AH$2,Evening_Shift!$B$2:$BJ$2,0),0),""),IFERROR(VLOOKUP($B112,Morning_Shift!$B$4:$BJ$61,MATCH(Both_Shift_Roster!AH$2,Morning_Shift!$B$2:$BJ$2,0),0),""))</f>
        <v>14:30-22:00</v>
      </c>
      <c r="AI112" s="2" t="str">
        <f>IF(IFERROR(VLOOKUP($B112,Morning_Shift!$B$4:$BJ$61,MATCH(Both_Shift_Roster!AI$2,Morning_Shift!$B$2:$BJ$2,0),0),"")="",IFERROR(VLOOKUP($B112,Evening_Shift!$B$4:$BJ$62,MATCH(Both_Shift_Roster!AI$2,Evening_Shift!$B$2:$BJ$2,0),0),""),IFERROR(VLOOKUP($B112,Morning_Shift!$B$4:$BJ$61,MATCH(Both_Shift_Roster!AI$2,Morning_Shift!$B$2:$BJ$2,0),0),""))</f>
        <v>14:30-22:00</v>
      </c>
      <c r="AJ112" s="2" t="str">
        <f>IF(IFERROR(VLOOKUP($B112,Morning_Shift!$B$4:$BJ$61,MATCH(Both_Shift_Roster!AJ$2,Morning_Shift!$B$2:$BJ$2,0),0),"")="",IFERROR(VLOOKUP($B112,Evening_Shift!$B$4:$BJ$62,MATCH(Both_Shift_Roster!AJ$2,Evening_Shift!$B$2:$BJ$2,0),0),""),IFERROR(VLOOKUP($B112,Morning_Shift!$B$4:$BJ$61,MATCH(Both_Shift_Roster!AJ$2,Morning_Shift!$B$2:$BJ$2,0),0),""))</f>
        <v>14:30-22:00</v>
      </c>
      <c r="AK112" s="2" t="str">
        <f>IF(IFERROR(VLOOKUP($B112,Morning_Shift!$B$4:$BJ$61,MATCH(Both_Shift_Roster!AK$2,Morning_Shift!$B$2:$BJ$2,0),0),"")="",IFERROR(VLOOKUP($B112,Evening_Shift!$B$4:$BJ$62,MATCH(Both_Shift_Roster!AK$2,Evening_Shift!$B$2:$BJ$2,0),0),""),IFERROR(VLOOKUP($B112,Morning_Shift!$B$4:$BJ$61,MATCH(Both_Shift_Roster!AK$2,Morning_Shift!$B$2:$BJ$2,0),0),""))</f>
        <v>14:30-22:00</v>
      </c>
      <c r="AL112" s="2">
        <f t="shared" si="51"/>
        <v>0</v>
      </c>
      <c r="AM112" s="2">
        <f t="shared" si="52"/>
        <v>0</v>
      </c>
      <c r="AN112" s="2">
        <f t="shared" si="53"/>
        <v>0</v>
      </c>
      <c r="AO112" s="2">
        <f t="shared" si="54"/>
        <v>0</v>
      </c>
      <c r="AP112" s="2">
        <f t="shared" si="55"/>
        <v>3</v>
      </c>
      <c r="AQ112" s="2" t="str">
        <f>IF(IFERROR(VLOOKUP($B112,Morning_Shift!$B$4:$BJ$61,MATCH(Both_Shift_Roster!AQ$2,Morning_Shift!$B$2:$BJ$2,0),0),"")="",IFERROR(VLOOKUP($B112,Evening_Shift!$B$4:$BJ$62,MATCH(Both_Shift_Roster!AQ$2,Evening_Shift!$B$2:$BJ$2,0),0),""),IFERROR(VLOOKUP($B112,Morning_Shift!$B$4:$BJ$61,MATCH(Both_Shift_Roster!AQ$2,Morning_Shift!$B$2:$BJ$2,0),0),""))</f>
        <v>14:30-22:00</v>
      </c>
      <c r="AR112" s="2" t="str">
        <f>IF(IFERROR(VLOOKUP($B112,Morning_Shift!$B$4:$BJ$61,MATCH(Both_Shift_Roster!AR$2,Morning_Shift!$B$2:$BJ$2,0),0),"")="",IFERROR(VLOOKUP($B112,Evening_Shift!$B$4:$BJ$62,MATCH(Both_Shift_Roster!AR$2,Evening_Shift!$B$2:$BJ$2,0),0),""),IFERROR(VLOOKUP($B112,Morning_Shift!$B$4:$BJ$61,MATCH(Both_Shift_Roster!AR$2,Morning_Shift!$B$2:$BJ$2,0),0),""))</f>
        <v>14:30-22:00</v>
      </c>
      <c r="AS112" s="2" t="str">
        <f>IF(IFERROR(VLOOKUP($B112,Morning_Shift!$B$4:$BJ$61,MATCH(Both_Shift_Roster!AS$2,Morning_Shift!$B$2:$BJ$2,0),0),"")="",IFERROR(VLOOKUP($B112,Evening_Shift!$B$4:$BJ$62,MATCH(Both_Shift_Roster!AS$2,Evening_Shift!$B$2:$BJ$2,0),0),""),IFERROR(VLOOKUP($B112,Morning_Shift!$B$4:$BJ$61,MATCH(Both_Shift_Roster!AS$2,Morning_Shift!$B$2:$BJ$2,0),0),""))</f>
        <v>14:30-22:00</v>
      </c>
      <c r="AT112" s="2" t="str">
        <f>IF(IFERROR(VLOOKUP($B112,Morning_Shift!$B$4:$BJ$61,MATCH(Both_Shift_Roster!AT$2,Morning_Shift!$B$2:$BJ$2,0),0),"")="",IFERROR(VLOOKUP($B112,Evening_Shift!$B$4:$BJ$62,MATCH(Both_Shift_Roster!AT$2,Evening_Shift!$B$2:$BJ$2,0),0),""),IFERROR(VLOOKUP($B112,Morning_Shift!$B$4:$BJ$61,MATCH(Both_Shift_Roster!AT$2,Morning_Shift!$B$2:$BJ$2,0),0),""))</f>
        <v>14:30-22:00</v>
      </c>
      <c r="AU112" s="2" t="str">
        <f>IF(IFERROR(VLOOKUP($B112,Morning_Shift!$B$4:$BJ$61,MATCH(Both_Shift_Roster!AU$2,Morning_Shift!$B$2:$BJ$2,0),0),"")="",IFERROR(VLOOKUP($B112,Evening_Shift!$B$4:$BJ$62,MATCH(Both_Shift_Roster!AU$2,Evening_Shift!$B$2:$BJ$2,0),0),""),IFERROR(VLOOKUP($B112,Morning_Shift!$B$4:$BJ$61,MATCH(Both_Shift_Roster!AU$2,Morning_Shift!$B$2:$BJ$2,0),0),""))</f>
        <v>14:30-22:00</v>
      </c>
      <c r="AV112" s="2" t="str">
        <f>IF(IFERROR(VLOOKUP($B112,Morning_Shift!$B$4:$BJ$61,MATCH(Both_Shift_Roster!AV$2,Morning_Shift!$B$2:$BJ$2,0),0),"")="",IFERROR(VLOOKUP($B112,Evening_Shift!$B$4:$BJ$62,MATCH(Both_Shift_Roster!AV$2,Evening_Shift!$B$2:$BJ$2,0),0),""),IFERROR(VLOOKUP($B112,Morning_Shift!$B$4:$BJ$61,MATCH(Both_Shift_Roster!AV$2,Morning_Shift!$B$2:$BJ$2,0),0),""))</f>
        <v>14:30-22:00</v>
      </c>
      <c r="AW112" s="2" t="str">
        <f>IF(IFERROR(VLOOKUP($B112,Morning_Shift!$B$4:$BJ$61,MATCH(Both_Shift_Roster!AW$2,Morning_Shift!$B$2:$BJ$2,0),0),"")="",IFERROR(VLOOKUP($B112,Evening_Shift!$B$4:$BJ$62,MATCH(Both_Shift_Roster!AW$2,Evening_Shift!$B$2:$BJ$2,0),0),""),IFERROR(VLOOKUP($B112,Morning_Shift!$B$4:$BJ$61,MATCH(Both_Shift_Roster!AW$2,Morning_Shift!$B$2:$BJ$2,0),0),""))</f>
        <v>14:30-22:00</v>
      </c>
      <c r="AX112" s="2">
        <f t="shared" si="56"/>
        <v>0</v>
      </c>
      <c r="AY112" s="2">
        <f t="shared" si="57"/>
        <v>0</v>
      </c>
      <c r="AZ112" s="2">
        <f t="shared" si="58"/>
        <v>0</v>
      </c>
      <c r="BA112" s="2">
        <f t="shared" si="59"/>
        <v>0</v>
      </c>
      <c r="BB112" s="2">
        <f t="shared" si="60"/>
        <v>0</v>
      </c>
      <c r="BC112" s="2" t="str">
        <f>IF(IFERROR(VLOOKUP($B112,Morning_Shift!$B$4:$BJ$61,MATCH(Both_Shift_Roster!BC$2,Morning_Shift!$B$2:$BJ$2,0),0),"")="",IFERROR(VLOOKUP($B112,Evening_Shift!$B$4:$BJ$62,MATCH(Both_Shift_Roster!BC$2,Evening_Shift!$B$2:$BJ$2,0),0),""),IFERROR(VLOOKUP($B112,Morning_Shift!$B$4:$BJ$61,MATCH(Both_Shift_Roster!BC$2,Morning_Shift!$B$2:$BJ$2,0),0),""))</f>
        <v>14:30-22:00</v>
      </c>
      <c r="BD112" s="2" t="str">
        <f>IF(IFERROR(VLOOKUP($B112,Morning_Shift!$B$4:$BJ$61,MATCH(Both_Shift_Roster!BD$2,Morning_Shift!$B$2:$BJ$2,0),0),"")="",IFERROR(VLOOKUP($B112,Evening_Shift!$B$4:$BJ$62,MATCH(Both_Shift_Roster!BD$2,Evening_Shift!$B$2:$BJ$2,0),0),""),IFERROR(VLOOKUP($B112,Morning_Shift!$B$4:$BJ$61,MATCH(Both_Shift_Roster!BD$2,Morning_Shift!$B$2:$BJ$2,0),0),""))</f>
        <v>14:30-22:00</v>
      </c>
      <c r="BE112" s="2" t="str">
        <f>IF(IFERROR(VLOOKUP($B112,Morning_Shift!$B$4:$BJ$61,MATCH(Both_Shift_Roster!BE$2,Morning_Shift!$B$2:$BJ$2,0),0),"")="",IFERROR(VLOOKUP($B112,Evening_Shift!$B$4:$BJ$59,MATCH(Both_Shift_Roster!BE$2,Evening_Shift!$B$2:$BJ$2,0),0),""),IFERROR(VLOOKUP($B112,Morning_Shift!$B$4:$BJ$61,MATCH(Both_Shift_Roster!BE$2,Morning_Shift!$B$2:$BJ$2,0),0),""))</f>
        <v>14:30-22:00</v>
      </c>
      <c r="BF112" s="2">
        <f t="shared" si="61"/>
        <v>0</v>
      </c>
      <c r="BG112" s="2">
        <f t="shared" si="62"/>
        <v>0</v>
      </c>
      <c r="BH112" s="2">
        <f t="shared" si="63"/>
        <v>0</v>
      </c>
      <c r="BI112" s="2">
        <f t="shared" si="64"/>
        <v>0</v>
      </c>
      <c r="BJ112" s="2">
        <f t="shared" si="65"/>
        <v>0</v>
      </c>
    </row>
    <row r="113" spans="1:62" ht="15" customHeight="1">
      <c r="A113" s="17">
        <f t="shared" si="66"/>
        <v>110</v>
      </c>
      <c r="B113" s="16" t="str">
        <f>Evening_Shift!$B55</f>
        <v>Dritm167</v>
      </c>
      <c r="C113" s="21" t="str">
        <f>IF(IFERROR(VLOOKUP(B113,Morning_Shift!B:C,2,0),"")="",IFERROR(VLOOKUP(B113,Evening_Shift!B:C,2,0),""),IFERROR(VLOOKUP(B113,Morning_Shift!B:C,2,0),""))</f>
        <v>Jagariti</v>
      </c>
      <c r="D113" s="15" t="str">
        <f>IF(IFERROR(VLOOKUP(B113,Morning_Shift!B:D,3,0),"")="",IFERROR(VLOOKUP(B113,Evening_Shift!B:D,3,0),""),IFERROR(VLOOKUP(B113,Morning_Shift!B:D,3,0),""))</f>
        <v xml:space="preserve">Sanjesh </v>
      </c>
      <c r="E113" s="4" t="str">
        <f>IF(IFERROR(VLOOKUP(B113,Morning_Shift!B:E,4,0),"")="",IFERROR(VLOOKUP(B113,Evening_Shift!B:E,4,0),""),IFERROR(VLOOKUP(B113,Morning_Shift!B:E,4,0),""))</f>
        <v>F</v>
      </c>
      <c r="F113" s="5" t="str">
        <f>IF(IFERROR(VLOOKUP(B113,Morning_Shift!B:F,5,0),"")="",IFERROR(VLOOKUP(B113,Evening_Shift!B:F,5,0),""),IFERROR(VLOOKUP(B113,Morning_Shift!B:F,5,0),""))</f>
        <v>Inbound</v>
      </c>
      <c r="G113" s="2" t="str">
        <f>IF(IFERROR(VLOOKUP($B113,Morning_Shift!$B$4:$BJ$61,MATCH(Both_Shift_Roster!G$2,Morning_Shift!$B$2:$BJ$2,0),0),"")="",IFERROR(VLOOKUP($B113,Evening_Shift!$B$4:$BJ$62,MATCH(Both_Shift_Roster!G$2,Evening_Shift!$B$2:$BJ$2,0),0),""),IFERROR(VLOOKUP($B113,Morning_Shift!$B$4:$BJ$61,MATCH(Both_Shift_Roster!G$2,Morning_Shift!$B$2:$BJ$2,0),0),""))</f>
        <v>14:30-22:00</v>
      </c>
      <c r="H113" s="2" t="str">
        <f>IF(IFERROR(VLOOKUP($B113,Morning_Shift!$B$4:$BJ$61,MATCH(Both_Shift_Roster!H$2,Morning_Shift!$B$2:$BJ$2,0),0),"")="",IFERROR(VLOOKUP($B113,Evening_Shift!$B$4:$BJ$62,MATCH(Both_Shift_Roster!H$2,Evening_Shift!$B$2:$BJ$2,0),0),""),IFERROR(VLOOKUP($B113,Morning_Shift!$B$4:$BJ$61,MATCH(Both_Shift_Roster!H$2,Morning_Shift!$B$2:$BJ$2,0),0),""))</f>
        <v>14:30-22:00</v>
      </c>
      <c r="I113" s="2" t="str">
        <f>IF(IFERROR(VLOOKUP($B113,Morning_Shift!$B$4:$BJ$61,MATCH(Both_Shift_Roster!I$2,Morning_Shift!$B$2:$BJ$2,0),0),"")="",IFERROR(VLOOKUP($B113,Evening_Shift!$B$4:$BJ$62,MATCH(Both_Shift_Roster!I$2,Evening_Shift!$B$2:$BJ$2,0),0),""),IFERROR(VLOOKUP($B113,Morning_Shift!$B$4:$BJ$61,MATCH(Both_Shift_Roster!I$2,Morning_Shift!$B$2:$BJ$2,0),0),""))</f>
        <v>14:30-22:00</v>
      </c>
      <c r="J113" s="2" t="str">
        <f>IF(IFERROR(VLOOKUP($B113,Morning_Shift!$B$4:$BJ$61,MATCH(Both_Shift_Roster!J$2,Morning_Shift!$B$2:$BJ$2,0),0),"")="",IFERROR(VLOOKUP($B113,Evening_Shift!$B$4:$BJ$62,MATCH(Both_Shift_Roster!J$2,Evening_Shift!$B$2:$BJ$2,0),0),""),IFERROR(VLOOKUP($B113,Morning_Shift!$B$4:$BJ$61,MATCH(Both_Shift_Roster!J$2,Morning_Shift!$B$2:$BJ$2,0),0),""))</f>
        <v>14:30-22:00</v>
      </c>
      <c r="K113" s="2" t="str">
        <f>IF(IFERROR(VLOOKUP($B113,Morning_Shift!$B$4:$BJ$61,MATCH(Both_Shift_Roster!K$2,Morning_Shift!$B$2:$BJ$2,0),0),"")="",IFERROR(VLOOKUP($B113,Evening_Shift!$B$4:$BJ$62,MATCH(Both_Shift_Roster!K$2,Evening_Shift!$B$2:$BJ$2,0),0),""),IFERROR(VLOOKUP($B113,Morning_Shift!$B$4:$BJ$61,MATCH(Both_Shift_Roster!K$2,Morning_Shift!$B$2:$BJ$2,0),0),""))</f>
        <v>14:30-22:00</v>
      </c>
      <c r="L113" s="2" t="str">
        <f>IF(IFERROR(VLOOKUP($B113,Morning_Shift!$B$4:$BJ$61,MATCH(Both_Shift_Roster!L$2,Morning_Shift!$B$2:$BJ$2,0),0),"")="",IFERROR(VLOOKUP($B113,Evening_Shift!$B$4:$BJ$62,MATCH(Both_Shift_Roster!L$2,Evening_Shift!$B$2:$BJ$2,0),0),""),IFERROR(VLOOKUP($B113,Morning_Shift!$B$4:$BJ$61,MATCH(Both_Shift_Roster!L$2,Morning_Shift!$B$2:$BJ$2,0),0),""))</f>
        <v>14:30-22:00</v>
      </c>
      <c r="M113" s="2" t="str">
        <f>IF(IFERROR(VLOOKUP($B113,Morning_Shift!$B$4:$BJ$61,MATCH(Both_Shift_Roster!M$2,Morning_Shift!$B$2:$BJ$2,0),0),"")="",IFERROR(VLOOKUP($B113,Evening_Shift!$B$4:$BJ$62,MATCH(Both_Shift_Roster!M$2,Evening_Shift!$B$2:$BJ$2,0),0),""),IFERROR(VLOOKUP($B113,Morning_Shift!$B$4:$BJ$61,MATCH(Both_Shift_Roster!M$2,Morning_Shift!$B$2:$BJ$2,0),0),""))</f>
        <v>Agent Choice WO</v>
      </c>
      <c r="N113" s="2">
        <f t="shared" si="41"/>
        <v>1</v>
      </c>
      <c r="O113" s="2">
        <f t="shared" si="42"/>
        <v>0</v>
      </c>
      <c r="P113" s="2">
        <f t="shared" si="43"/>
        <v>0</v>
      </c>
      <c r="Q113" s="2">
        <f t="shared" si="44"/>
        <v>0</v>
      </c>
      <c r="R113" s="2">
        <f t="shared" si="45"/>
        <v>0</v>
      </c>
      <c r="S113" s="2" t="str">
        <f>IF(IFERROR(VLOOKUP($B113,Morning_Shift!$B$4:$BJ$61,MATCH(Both_Shift_Roster!S$2,Morning_Shift!$B$2:$BJ$2,0),0),"")="",IFERROR(VLOOKUP($B113,Evening_Shift!$B$4:$BJ$62,MATCH(Both_Shift_Roster!S$2,Evening_Shift!$B$2:$BJ$2,0),0),""),IFERROR(VLOOKUP($B113,Morning_Shift!$B$4:$BJ$61,MATCH(Both_Shift_Roster!S$2,Morning_Shift!$B$2:$BJ$2,0),0),""))</f>
        <v>Agent Choice WO</v>
      </c>
      <c r="T113" s="2" t="str">
        <f>IF(IFERROR(VLOOKUP($B113,Morning_Shift!$B$4:$BJ$61,MATCH(Both_Shift_Roster!T$2,Morning_Shift!$B$2:$BJ$2,0),0),"")="",IFERROR(VLOOKUP($B113,Evening_Shift!$B$4:$BJ$62,MATCH(Both_Shift_Roster!T$2,Evening_Shift!$B$2:$BJ$2,0),0),""),IFERROR(VLOOKUP($B113,Morning_Shift!$B$4:$BJ$61,MATCH(Both_Shift_Roster!T$2,Morning_Shift!$B$2:$BJ$2,0),0),""))</f>
        <v>Agent Choice WO</v>
      </c>
      <c r="U113" s="2" t="str">
        <f>IF(IFERROR(VLOOKUP($B113,Morning_Shift!$B$4:$BJ$61,MATCH(Both_Shift_Roster!U$2,Morning_Shift!$B$2:$BJ$2,0),0),"")="",IFERROR(VLOOKUP($B113,Evening_Shift!$B$4:$BJ$62,MATCH(Both_Shift_Roster!U$2,Evening_Shift!$B$2:$BJ$2,0),0),""),IFERROR(VLOOKUP($B113,Morning_Shift!$B$4:$BJ$61,MATCH(Both_Shift_Roster!U$2,Morning_Shift!$B$2:$BJ$2,0),0),""))</f>
        <v>Agent Choice WO</v>
      </c>
      <c r="V113" s="2" t="str">
        <f>IF(IFERROR(VLOOKUP($B113,Morning_Shift!$B$4:$BJ$61,MATCH(Both_Shift_Roster!V$2,Morning_Shift!$B$2:$BJ$2,0),0),"")="",IFERROR(VLOOKUP($B113,Evening_Shift!$B$4:$BJ$62,MATCH(Both_Shift_Roster!V$2,Evening_Shift!$B$2:$BJ$2,0),0),""),IFERROR(VLOOKUP($B113,Morning_Shift!$B$4:$BJ$61,MATCH(Both_Shift_Roster!V$2,Morning_Shift!$B$2:$BJ$2,0),0),""))</f>
        <v>LP</v>
      </c>
      <c r="W113" s="2" t="str">
        <f>IF(IFERROR(VLOOKUP($B113,Morning_Shift!$B$4:$BJ$61,MATCH(Both_Shift_Roster!W$2,Morning_Shift!$B$2:$BJ$2,0),0),"")="",IFERROR(VLOOKUP($B113,Evening_Shift!$B$4:$BJ$62,MATCH(Both_Shift_Roster!W$2,Evening_Shift!$B$2:$BJ$2,0),0),""),IFERROR(VLOOKUP($B113,Morning_Shift!$B$4:$BJ$61,MATCH(Both_Shift_Roster!W$2,Morning_Shift!$B$2:$BJ$2,0),0),""))</f>
        <v>14:30-22:00</v>
      </c>
      <c r="X113" s="2" t="str">
        <f>IF(IFERROR(VLOOKUP($B113,Morning_Shift!$B$4:$BJ$61,MATCH(Both_Shift_Roster!X$2,Morning_Shift!$B$2:$BJ$2,0),0),"")="",IFERROR(VLOOKUP($B113,Evening_Shift!$B$4:$BJ$62,MATCH(Both_Shift_Roster!X$2,Evening_Shift!$B$2:$BJ$2,0),0),""),IFERROR(VLOOKUP($B113,Morning_Shift!$B$4:$BJ$61,MATCH(Both_Shift_Roster!X$2,Morning_Shift!$B$2:$BJ$2,0),0),""))</f>
        <v>14:30-22:00</v>
      </c>
      <c r="Y113" s="2" t="str">
        <f>IF(IFERROR(VLOOKUP($B113,Morning_Shift!$B$4:$BJ$61,MATCH(Both_Shift_Roster!Y$2,Morning_Shift!$B$2:$BJ$2,0),0),"")="",IFERROR(VLOOKUP($B113,Evening_Shift!$B$4:$BJ$62,MATCH(Both_Shift_Roster!Y$2,Evening_Shift!$B$2:$BJ$2,0),0),""),IFERROR(VLOOKUP($B113,Morning_Shift!$B$4:$BJ$61,MATCH(Both_Shift_Roster!Y$2,Morning_Shift!$B$2:$BJ$2,0),0),""))</f>
        <v>14:30-22:00</v>
      </c>
      <c r="Z113" s="2">
        <f t="shared" si="46"/>
        <v>3</v>
      </c>
      <c r="AA113" s="2">
        <f t="shared" si="47"/>
        <v>0</v>
      </c>
      <c r="AB113" s="2">
        <f t="shared" si="48"/>
        <v>0</v>
      </c>
      <c r="AC113" s="2">
        <f t="shared" si="49"/>
        <v>0</v>
      </c>
      <c r="AD113" s="2">
        <f t="shared" si="50"/>
        <v>1</v>
      </c>
      <c r="AE113" s="2" t="str">
        <f>IF(IFERROR(VLOOKUP($B113,Morning_Shift!$B$4:$BJ$61,MATCH(Both_Shift_Roster!AE$2,Morning_Shift!$B$2:$BJ$2,0),0),"")="",IFERROR(VLOOKUP($B113,Evening_Shift!$B$4:$BJ$62,MATCH(Both_Shift_Roster!AE$2,Evening_Shift!$B$2:$BJ$2,0),0),""),IFERROR(VLOOKUP($B113,Morning_Shift!$B$4:$BJ$61,MATCH(Both_Shift_Roster!AE$2,Morning_Shift!$B$2:$BJ$2,0),0),""))</f>
        <v>14:30-22:00</v>
      </c>
      <c r="AF113" s="2" t="str">
        <f>IF(IFERROR(VLOOKUP($B113,Morning_Shift!$B$4:$BJ$61,MATCH(Both_Shift_Roster!AF$2,Morning_Shift!$B$2:$BJ$2,0),0),"")="",IFERROR(VLOOKUP($B113,Evening_Shift!$B$4:$BJ$62,MATCH(Both_Shift_Roster!AF$2,Evening_Shift!$B$2:$BJ$2,0),0),""),IFERROR(VLOOKUP($B113,Morning_Shift!$B$4:$BJ$61,MATCH(Both_Shift_Roster!AF$2,Morning_Shift!$B$2:$BJ$2,0),0),""))</f>
        <v>14:30-22:00</v>
      </c>
      <c r="AG113" s="2" t="str">
        <f>IF(IFERROR(VLOOKUP($B113,Morning_Shift!$B$4:$BJ$61,MATCH(Both_Shift_Roster!AG$2,Morning_Shift!$B$2:$BJ$2,0),0),"")="",IFERROR(VLOOKUP($B113,Evening_Shift!$B$4:$BJ$62,MATCH(Both_Shift_Roster!AG$2,Evening_Shift!$B$2:$BJ$2,0),0),""),IFERROR(VLOOKUP($B113,Morning_Shift!$B$4:$BJ$61,MATCH(Both_Shift_Roster!AG$2,Morning_Shift!$B$2:$BJ$2,0),0),""))</f>
        <v>14:30-22:00</v>
      </c>
      <c r="AH113" s="2" t="str">
        <f>IF(IFERROR(VLOOKUP($B113,Morning_Shift!$B$4:$BJ$61,MATCH(Both_Shift_Roster!AH$2,Morning_Shift!$B$2:$BJ$2,0),0),"")="",IFERROR(VLOOKUP($B113,Evening_Shift!$B$4:$BJ$62,MATCH(Both_Shift_Roster!AH$2,Evening_Shift!$B$2:$BJ$2,0),0),""),IFERROR(VLOOKUP($B113,Morning_Shift!$B$4:$BJ$61,MATCH(Both_Shift_Roster!AH$2,Morning_Shift!$B$2:$BJ$2,0),0),""))</f>
        <v>14:30-22:00</v>
      </c>
      <c r="AI113" s="2" t="str">
        <f>IF(IFERROR(VLOOKUP($B113,Morning_Shift!$B$4:$BJ$61,MATCH(Both_Shift_Roster!AI$2,Morning_Shift!$B$2:$BJ$2,0),0),"")="",IFERROR(VLOOKUP($B113,Evening_Shift!$B$4:$BJ$62,MATCH(Both_Shift_Roster!AI$2,Evening_Shift!$B$2:$BJ$2,0),0),""),IFERROR(VLOOKUP($B113,Morning_Shift!$B$4:$BJ$61,MATCH(Both_Shift_Roster!AI$2,Morning_Shift!$B$2:$BJ$2,0),0),""))</f>
        <v>14:30-22:00</v>
      </c>
      <c r="AJ113" s="2" t="str">
        <f>IF(IFERROR(VLOOKUP($B113,Morning_Shift!$B$4:$BJ$61,MATCH(Both_Shift_Roster!AJ$2,Morning_Shift!$B$2:$BJ$2,0),0),"")="",IFERROR(VLOOKUP($B113,Evening_Shift!$B$4:$BJ$62,MATCH(Both_Shift_Roster!AJ$2,Evening_Shift!$B$2:$BJ$2,0),0),""),IFERROR(VLOOKUP($B113,Morning_Shift!$B$4:$BJ$61,MATCH(Both_Shift_Roster!AJ$2,Morning_Shift!$B$2:$BJ$2,0),0),""))</f>
        <v>14:30-22:00</v>
      </c>
      <c r="AK113" s="2" t="str">
        <f>IF(IFERROR(VLOOKUP($B113,Morning_Shift!$B$4:$BJ$61,MATCH(Both_Shift_Roster!AK$2,Morning_Shift!$B$2:$BJ$2,0),0),"")="",IFERROR(VLOOKUP($B113,Evening_Shift!$B$4:$BJ$62,MATCH(Both_Shift_Roster!AK$2,Evening_Shift!$B$2:$BJ$2,0),0),""),IFERROR(VLOOKUP($B113,Morning_Shift!$B$4:$BJ$61,MATCH(Both_Shift_Roster!AK$2,Morning_Shift!$B$2:$BJ$2,0),0),""))</f>
        <v>14:30-22:00</v>
      </c>
      <c r="AL113" s="2">
        <f t="shared" si="51"/>
        <v>0</v>
      </c>
      <c r="AM113" s="2">
        <f t="shared" si="52"/>
        <v>0</v>
      </c>
      <c r="AN113" s="2">
        <f t="shared" si="53"/>
        <v>0</v>
      </c>
      <c r="AO113" s="2">
        <f t="shared" si="54"/>
        <v>0</v>
      </c>
      <c r="AP113" s="2">
        <f t="shared" si="55"/>
        <v>0</v>
      </c>
      <c r="AQ113" s="2" t="str">
        <f>IF(IFERROR(VLOOKUP($B113,Morning_Shift!$B$4:$BJ$61,MATCH(Both_Shift_Roster!AQ$2,Morning_Shift!$B$2:$BJ$2,0),0),"")="",IFERROR(VLOOKUP($B113,Evening_Shift!$B$4:$BJ$62,MATCH(Both_Shift_Roster!AQ$2,Evening_Shift!$B$2:$BJ$2,0),0),""),IFERROR(VLOOKUP($B113,Morning_Shift!$B$4:$BJ$61,MATCH(Both_Shift_Roster!AQ$2,Morning_Shift!$B$2:$BJ$2,0),0),""))</f>
        <v>14:30-22:00</v>
      </c>
      <c r="AR113" s="2" t="str">
        <f>IF(IFERROR(VLOOKUP($B113,Morning_Shift!$B$4:$BJ$61,MATCH(Both_Shift_Roster!AR$2,Morning_Shift!$B$2:$BJ$2,0),0),"")="",IFERROR(VLOOKUP($B113,Evening_Shift!$B$4:$BJ$62,MATCH(Both_Shift_Roster!AR$2,Evening_Shift!$B$2:$BJ$2,0),0),""),IFERROR(VLOOKUP($B113,Morning_Shift!$B$4:$BJ$61,MATCH(Both_Shift_Roster!AR$2,Morning_Shift!$B$2:$BJ$2,0),0),""))</f>
        <v>14:30-22:00</v>
      </c>
      <c r="AS113" s="2" t="str">
        <f>IF(IFERROR(VLOOKUP($B113,Morning_Shift!$B$4:$BJ$61,MATCH(Both_Shift_Roster!AS$2,Morning_Shift!$B$2:$BJ$2,0),0),"")="",IFERROR(VLOOKUP($B113,Evening_Shift!$B$4:$BJ$62,MATCH(Both_Shift_Roster!AS$2,Evening_Shift!$B$2:$BJ$2,0),0),""),IFERROR(VLOOKUP($B113,Morning_Shift!$B$4:$BJ$61,MATCH(Both_Shift_Roster!AS$2,Morning_Shift!$B$2:$BJ$2,0),0),""))</f>
        <v>14:30-22:00</v>
      </c>
      <c r="AT113" s="2" t="str">
        <f>IF(IFERROR(VLOOKUP($B113,Morning_Shift!$B$4:$BJ$61,MATCH(Both_Shift_Roster!AT$2,Morning_Shift!$B$2:$BJ$2,0),0),"")="",IFERROR(VLOOKUP($B113,Evening_Shift!$B$4:$BJ$62,MATCH(Both_Shift_Roster!AT$2,Evening_Shift!$B$2:$BJ$2,0),0),""),IFERROR(VLOOKUP($B113,Morning_Shift!$B$4:$BJ$61,MATCH(Both_Shift_Roster!AT$2,Morning_Shift!$B$2:$BJ$2,0),0),""))</f>
        <v>14:30-22:00</v>
      </c>
      <c r="AU113" s="2" t="str">
        <f>IF(IFERROR(VLOOKUP($B113,Morning_Shift!$B$4:$BJ$61,MATCH(Both_Shift_Roster!AU$2,Morning_Shift!$B$2:$BJ$2,0),0),"")="",IFERROR(VLOOKUP($B113,Evening_Shift!$B$4:$BJ$62,MATCH(Both_Shift_Roster!AU$2,Evening_Shift!$B$2:$BJ$2,0),0),""),IFERROR(VLOOKUP($B113,Morning_Shift!$B$4:$BJ$61,MATCH(Both_Shift_Roster!AU$2,Morning_Shift!$B$2:$BJ$2,0),0),""))</f>
        <v>14:30-22:00</v>
      </c>
      <c r="AV113" s="2" t="str">
        <f>IF(IFERROR(VLOOKUP($B113,Morning_Shift!$B$4:$BJ$61,MATCH(Both_Shift_Roster!AV$2,Morning_Shift!$B$2:$BJ$2,0),0),"")="",IFERROR(VLOOKUP($B113,Evening_Shift!$B$4:$BJ$62,MATCH(Both_Shift_Roster!AV$2,Evening_Shift!$B$2:$BJ$2,0),0),""),IFERROR(VLOOKUP($B113,Morning_Shift!$B$4:$BJ$61,MATCH(Both_Shift_Roster!AV$2,Morning_Shift!$B$2:$BJ$2,0),0),""))</f>
        <v>14:30-22:00</v>
      </c>
      <c r="AW113" s="2" t="str">
        <f>IF(IFERROR(VLOOKUP($B113,Morning_Shift!$B$4:$BJ$61,MATCH(Both_Shift_Roster!AW$2,Morning_Shift!$B$2:$BJ$2,0),0),"")="",IFERROR(VLOOKUP($B113,Evening_Shift!$B$4:$BJ$62,MATCH(Both_Shift_Roster!AW$2,Evening_Shift!$B$2:$BJ$2,0),0),""),IFERROR(VLOOKUP($B113,Morning_Shift!$B$4:$BJ$61,MATCH(Both_Shift_Roster!AW$2,Morning_Shift!$B$2:$BJ$2,0),0),""))</f>
        <v>14:30-22:00</v>
      </c>
      <c r="AX113" s="2">
        <f t="shared" si="56"/>
        <v>0</v>
      </c>
      <c r="AY113" s="2">
        <f t="shared" si="57"/>
        <v>0</v>
      </c>
      <c r="AZ113" s="2">
        <f t="shared" si="58"/>
        <v>0</v>
      </c>
      <c r="BA113" s="2">
        <f t="shared" si="59"/>
        <v>0</v>
      </c>
      <c r="BB113" s="2">
        <f t="shared" si="60"/>
        <v>0</v>
      </c>
      <c r="BC113" s="2" t="str">
        <f>IF(IFERROR(VLOOKUP($B113,Morning_Shift!$B$4:$BJ$61,MATCH(Both_Shift_Roster!BC$2,Morning_Shift!$B$2:$BJ$2,0),0),"")="",IFERROR(VLOOKUP($B113,Evening_Shift!$B$4:$BJ$62,MATCH(Both_Shift_Roster!BC$2,Evening_Shift!$B$2:$BJ$2,0),0),""),IFERROR(VLOOKUP($B113,Morning_Shift!$B$4:$BJ$61,MATCH(Both_Shift_Roster!BC$2,Morning_Shift!$B$2:$BJ$2,0),0),""))</f>
        <v>14:30-22:00</v>
      </c>
      <c r="BD113" s="2" t="str">
        <f>IF(IFERROR(VLOOKUP($B113,Morning_Shift!$B$4:$BJ$61,MATCH(Both_Shift_Roster!BD$2,Morning_Shift!$B$2:$BJ$2,0),0),"")="",IFERROR(VLOOKUP($B113,Evening_Shift!$B$4:$BJ$62,MATCH(Both_Shift_Roster!BD$2,Evening_Shift!$B$2:$BJ$2,0),0),""),IFERROR(VLOOKUP($B113,Morning_Shift!$B$4:$BJ$61,MATCH(Both_Shift_Roster!BD$2,Morning_Shift!$B$2:$BJ$2,0),0),""))</f>
        <v>14:30-22:00</v>
      </c>
      <c r="BE113" s="2" t="str">
        <f>IF(IFERROR(VLOOKUP($B113,Morning_Shift!$B$4:$BJ$61,MATCH(Both_Shift_Roster!BE$2,Morning_Shift!$B$2:$BJ$2,0),0),"")="",IFERROR(VLOOKUP($B113,Evening_Shift!$B$4:$BJ$59,MATCH(Both_Shift_Roster!BE$2,Evening_Shift!$B$2:$BJ$2,0),0),""),IFERROR(VLOOKUP($B113,Morning_Shift!$B$4:$BJ$61,MATCH(Both_Shift_Roster!BE$2,Morning_Shift!$B$2:$BJ$2,0),0),""))</f>
        <v>14:30-22:00</v>
      </c>
      <c r="BF113" s="2">
        <f t="shared" si="61"/>
        <v>0</v>
      </c>
      <c r="BG113" s="2">
        <f t="shared" si="62"/>
        <v>0</v>
      </c>
      <c r="BH113" s="2">
        <f t="shared" si="63"/>
        <v>0</v>
      </c>
      <c r="BI113" s="2">
        <f t="shared" si="64"/>
        <v>0</v>
      </c>
      <c r="BJ113" s="2">
        <f t="shared" si="65"/>
        <v>0</v>
      </c>
    </row>
    <row r="114" spans="1:62" ht="15" customHeight="1">
      <c r="A114" s="17">
        <f t="shared" si="66"/>
        <v>111</v>
      </c>
      <c r="B114" s="16" t="str">
        <f>Evening_Shift!$B56</f>
        <v>Dritm165</v>
      </c>
      <c r="C114" s="21" t="str">
        <f>IF(IFERROR(VLOOKUP(B114,Morning_Shift!B:C,2,0),"")="",IFERROR(VLOOKUP(B114,Evening_Shift!B:C,2,0),""),IFERROR(VLOOKUP(B114,Morning_Shift!B:C,2,0),""))</f>
        <v>Nikita Verma</v>
      </c>
      <c r="D114" s="15" t="str">
        <f>IF(IFERROR(VLOOKUP(B114,Morning_Shift!B:D,3,0),"")="",IFERROR(VLOOKUP(B114,Evening_Shift!B:D,3,0),""),IFERROR(VLOOKUP(B114,Morning_Shift!B:D,3,0),""))</f>
        <v xml:space="preserve">Sanjesh </v>
      </c>
      <c r="E114" s="4" t="str">
        <f>IF(IFERROR(VLOOKUP(B114,Morning_Shift!B:E,4,0),"")="",IFERROR(VLOOKUP(B114,Evening_Shift!B:E,4,0),""),IFERROR(VLOOKUP(B114,Morning_Shift!B:E,4,0),""))</f>
        <v>F</v>
      </c>
      <c r="F114" s="5" t="str">
        <f>IF(IFERROR(VLOOKUP(B114,Morning_Shift!B:F,5,0),"")="",IFERROR(VLOOKUP(B114,Evening_Shift!B:F,5,0),""),IFERROR(VLOOKUP(B114,Morning_Shift!B:F,5,0),""))</f>
        <v>Inbound</v>
      </c>
      <c r="G114" s="2" t="str">
        <f>IF(IFERROR(VLOOKUP($B114,Morning_Shift!$B$4:$BJ$61,MATCH(Both_Shift_Roster!G$2,Morning_Shift!$B$2:$BJ$2,0),0),"")="",IFERROR(VLOOKUP($B114,Evening_Shift!$B$4:$BJ$62,MATCH(Both_Shift_Roster!G$2,Evening_Shift!$B$2:$BJ$2,0),0),""),IFERROR(VLOOKUP($B114,Morning_Shift!$B$4:$BJ$61,MATCH(Both_Shift_Roster!G$2,Morning_Shift!$B$2:$BJ$2,0),0),""))</f>
        <v>Agent Choice WO</v>
      </c>
      <c r="H114" s="2" t="str">
        <f>IF(IFERROR(VLOOKUP($B114,Morning_Shift!$B$4:$BJ$61,MATCH(Both_Shift_Roster!H$2,Morning_Shift!$B$2:$BJ$2,0),0),"")="",IFERROR(VLOOKUP($B114,Evening_Shift!$B$4:$BJ$62,MATCH(Both_Shift_Roster!H$2,Evening_Shift!$B$2:$BJ$2,0),0),""),IFERROR(VLOOKUP($B114,Morning_Shift!$B$4:$BJ$61,MATCH(Both_Shift_Roster!H$2,Morning_Shift!$B$2:$BJ$2,0),0),""))</f>
        <v>Agent Choice WO</v>
      </c>
      <c r="I114" s="2" t="str">
        <f>IF(IFERROR(VLOOKUP($B114,Morning_Shift!$B$4:$BJ$61,MATCH(Both_Shift_Roster!I$2,Morning_Shift!$B$2:$BJ$2,0),0),"")="",IFERROR(VLOOKUP($B114,Evening_Shift!$B$4:$BJ$62,MATCH(Both_Shift_Roster!I$2,Evening_Shift!$B$2:$BJ$2,0),0),""),IFERROR(VLOOKUP($B114,Morning_Shift!$B$4:$BJ$61,MATCH(Both_Shift_Roster!I$2,Morning_Shift!$B$2:$BJ$2,0),0),""))</f>
        <v>Agent Choice WO</v>
      </c>
      <c r="J114" s="2" t="str">
        <f>IF(IFERROR(VLOOKUP($B114,Morning_Shift!$B$4:$BJ$61,MATCH(Both_Shift_Roster!J$2,Morning_Shift!$B$2:$BJ$2,0),0),"")="",IFERROR(VLOOKUP($B114,Evening_Shift!$B$4:$BJ$62,MATCH(Both_Shift_Roster!J$2,Evening_Shift!$B$2:$BJ$2,0),0),""),IFERROR(VLOOKUP($B114,Morning_Shift!$B$4:$BJ$61,MATCH(Both_Shift_Roster!J$2,Morning_Shift!$B$2:$BJ$2,0),0),""))</f>
        <v>Agent Choice WO</v>
      </c>
      <c r="K114" s="2" t="str">
        <f>IF(IFERROR(VLOOKUP($B114,Morning_Shift!$B$4:$BJ$61,MATCH(Both_Shift_Roster!K$2,Morning_Shift!$B$2:$BJ$2,0),0),"")="",IFERROR(VLOOKUP($B114,Evening_Shift!$B$4:$BJ$62,MATCH(Both_Shift_Roster!K$2,Evening_Shift!$B$2:$BJ$2,0),0),""),IFERROR(VLOOKUP($B114,Morning_Shift!$B$4:$BJ$61,MATCH(Both_Shift_Roster!K$2,Morning_Shift!$B$2:$BJ$2,0),0),""))</f>
        <v>14:30-22:00</v>
      </c>
      <c r="L114" s="2" t="str">
        <f>IF(IFERROR(VLOOKUP($B114,Morning_Shift!$B$4:$BJ$61,MATCH(Both_Shift_Roster!L$2,Morning_Shift!$B$2:$BJ$2,0),0),"")="",IFERROR(VLOOKUP($B114,Evening_Shift!$B$4:$BJ$62,MATCH(Both_Shift_Roster!L$2,Evening_Shift!$B$2:$BJ$2,0),0),""),IFERROR(VLOOKUP($B114,Morning_Shift!$B$4:$BJ$61,MATCH(Both_Shift_Roster!L$2,Morning_Shift!$B$2:$BJ$2,0),0),""))</f>
        <v>14:30-22:00</v>
      </c>
      <c r="M114" s="2" t="str">
        <f>IF(IFERROR(VLOOKUP($B114,Morning_Shift!$B$4:$BJ$61,MATCH(Both_Shift_Roster!M$2,Morning_Shift!$B$2:$BJ$2,0),0),"")="",IFERROR(VLOOKUP($B114,Evening_Shift!$B$4:$BJ$62,MATCH(Both_Shift_Roster!M$2,Evening_Shift!$B$2:$BJ$2,0),0),""),IFERROR(VLOOKUP($B114,Morning_Shift!$B$4:$BJ$61,MATCH(Both_Shift_Roster!M$2,Morning_Shift!$B$2:$BJ$2,0),0),""))</f>
        <v>14:30-22:00</v>
      </c>
      <c r="N114" s="2">
        <f t="shared" si="41"/>
        <v>4</v>
      </c>
      <c r="O114" s="2">
        <f t="shared" si="42"/>
        <v>0</v>
      </c>
      <c r="P114" s="2">
        <f t="shared" si="43"/>
        <v>0</v>
      </c>
      <c r="Q114" s="2">
        <f t="shared" si="44"/>
        <v>0</v>
      </c>
      <c r="R114" s="2">
        <f t="shared" si="45"/>
        <v>0</v>
      </c>
      <c r="S114" s="2" t="str">
        <f>IF(IFERROR(VLOOKUP($B114,Morning_Shift!$B$4:$BJ$61,MATCH(Both_Shift_Roster!S$2,Morning_Shift!$B$2:$BJ$2,0),0),"")="",IFERROR(VLOOKUP($B114,Evening_Shift!$B$4:$BJ$62,MATCH(Both_Shift_Roster!S$2,Evening_Shift!$B$2:$BJ$2,0),0),""),IFERROR(VLOOKUP($B114,Morning_Shift!$B$4:$BJ$61,MATCH(Both_Shift_Roster!S$2,Morning_Shift!$B$2:$BJ$2,0),0),""))</f>
        <v>14:30-22:00</v>
      </c>
      <c r="T114" s="2" t="str">
        <f>IF(IFERROR(VLOOKUP($B114,Morning_Shift!$B$4:$BJ$61,MATCH(Both_Shift_Roster!T$2,Morning_Shift!$B$2:$BJ$2,0),0),"")="",IFERROR(VLOOKUP($B114,Evening_Shift!$B$4:$BJ$62,MATCH(Both_Shift_Roster!T$2,Evening_Shift!$B$2:$BJ$2,0),0),""),IFERROR(VLOOKUP($B114,Morning_Shift!$B$4:$BJ$61,MATCH(Both_Shift_Roster!T$2,Morning_Shift!$B$2:$BJ$2,0),0),""))</f>
        <v>14:30-22:00</v>
      </c>
      <c r="U114" s="2" t="str">
        <f>IF(IFERROR(VLOOKUP($B114,Morning_Shift!$B$4:$BJ$61,MATCH(Both_Shift_Roster!U$2,Morning_Shift!$B$2:$BJ$2,0),0),"")="",IFERROR(VLOOKUP($B114,Evening_Shift!$B$4:$BJ$62,MATCH(Both_Shift_Roster!U$2,Evening_Shift!$B$2:$BJ$2,0),0),""),IFERROR(VLOOKUP($B114,Morning_Shift!$B$4:$BJ$61,MATCH(Both_Shift_Roster!U$2,Morning_Shift!$B$2:$BJ$2,0),0),""))</f>
        <v>14:30-22:00</v>
      </c>
      <c r="V114" s="2" t="str">
        <f>IF(IFERROR(VLOOKUP($B114,Morning_Shift!$B$4:$BJ$61,MATCH(Both_Shift_Roster!V$2,Morning_Shift!$B$2:$BJ$2,0),0),"")="",IFERROR(VLOOKUP($B114,Evening_Shift!$B$4:$BJ$62,MATCH(Both_Shift_Roster!V$2,Evening_Shift!$B$2:$BJ$2,0),0),""),IFERROR(VLOOKUP($B114,Morning_Shift!$B$4:$BJ$61,MATCH(Both_Shift_Roster!V$2,Morning_Shift!$B$2:$BJ$2,0),0),""))</f>
        <v>14:30-22:00</v>
      </c>
      <c r="W114" s="2" t="str">
        <f>IF(IFERROR(VLOOKUP($B114,Morning_Shift!$B$4:$BJ$61,MATCH(Both_Shift_Roster!W$2,Morning_Shift!$B$2:$BJ$2,0),0),"")="",IFERROR(VLOOKUP($B114,Evening_Shift!$B$4:$BJ$62,MATCH(Both_Shift_Roster!W$2,Evening_Shift!$B$2:$BJ$2,0),0),""),IFERROR(VLOOKUP($B114,Morning_Shift!$B$4:$BJ$61,MATCH(Both_Shift_Roster!W$2,Morning_Shift!$B$2:$BJ$2,0),0),""))</f>
        <v>14:30-22:00</v>
      </c>
      <c r="X114" s="2" t="str">
        <f>IF(IFERROR(VLOOKUP($B114,Morning_Shift!$B$4:$BJ$61,MATCH(Both_Shift_Roster!X$2,Morning_Shift!$B$2:$BJ$2,0),0),"")="",IFERROR(VLOOKUP($B114,Evening_Shift!$B$4:$BJ$62,MATCH(Both_Shift_Roster!X$2,Evening_Shift!$B$2:$BJ$2,0),0),""),IFERROR(VLOOKUP($B114,Morning_Shift!$B$4:$BJ$61,MATCH(Both_Shift_Roster!X$2,Morning_Shift!$B$2:$BJ$2,0),0),""))</f>
        <v>14:30-22:00</v>
      </c>
      <c r="Y114" s="2" t="str">
        <f>IF(IFERROR(VLOOKUP($B114,Morning_Shift!$B$4:$BJ$61,MATCH(Both_Shift_Roster!Y$2,Morning_Shift!$B$2:$BJ$2,0),0),"")="",IFERROR(VLOOKUP($B114,Evening_Shift!$B$4:$BJ$62,MATCH(Both_Shift_Roster!Y$2,Evening_Shift!$B$2:$BJ$2,0),0),""),IFERROR(VLOOKUP($B114,Morning_Shift!$B$4:$BJ$61,MATCH(Both_Shift_Roster!Y$2,Morning_Shift!$B$2:$BJ$2,0),0),""))</f>
        <v>14:30-22:00</v>
      </c>
      <c r="Z114" s="2">
        <f t="shared" si="46"/>
        <v>0</v>
      </c>
      <c r="AA114" s="2">
        <f t="shared" si="47"/>
        <v>0</v>
      </c>
      <c r="AB114" s="2">
        <f t="shared" si="48"/>
        <v>0</v>
      </c>
      <c r="AC114" s="2">
        <f t="shared" si="49"/>
        <v>0</v>
      </c>
      <c r="AD114" s="2">
        <f t="shared" si="50"/>
        <v>0</v>
      </c>
      <c r="AE114" s="2" t="str">
        <f>IF(IFERROR(VLOOKUP($B114,Morning_Shift!$B$4:$BJ$61,MATCH(Both_Shift_Roster!AE$2,Morning_Shift!$B$2:$BJ$2,0),0),"")="",IFERROR(VLOOKUP($B114,Evening_Shift!$B$4:$BJ$62,MATCH(Both_Shift_Roster!AE$2,Evening_Shift!$B$2:$BJ$2,0),0),""),IFERROR(VLOOKUP($B114,Morning_Shift!$B$4:$BJ$61,MATCH(Both_Shift_Roster!AE$2,Morning_Shift!$B$2:$BJ$2,0),0),""))</f>
        <v>14:30-22:00</v>
      </c>
      <c r="AF114" s="2" t="str">
        <f>IF(IFERROR(VLOOKUP($B114,Morning_Shift!$B$4:$BJ$61,MATCH(Both_Shift_Roster!AF$2,Morning_Shift!$B$2:$BJ$2,0),0),"")="",IFERROR(VLOOKUP($B114,Evening_Shift!$B$4:$BJ$62,MATCH(Both_Shift_Roster!AF$2,Evening_Shift!$B$2:$BJ$2,0),0),""),IFERROR(VLOOKUP($B114,Morning_Shift!$B$4:$BJ$61,MATCH(Both_Shift_Roster!AF$2,Morning_Shift!$B$2:$BJ$2,0),0),""))</f>
        <v>14:30-22:00</v>
      </c>
      <c r="AG114" s="2" t="str">
        <f>IF(IFERROR(VLOOKUP($B114,Morning_Shift!$B$4:$BJ$61,MATCH(Both_Shift_Roster!AG$2,Morning_Shift!$B$2:$BJ$2,0),0),"")="",IFERROR(VLOOKUP($B114,Evening_Shift!$B$4:$BJ$62,MATCH(Both_Shift_Roster!AG$2,Evening_Shift!$B$2:$BJ$2,0),0),""),IFERROR(VLOOKUP($B114,Morning_Shift!$B$4:$BJ$61,MATCH(Both_Shift_Roster!AG$2,Morning_Shift!$B$2:$BJ$2,0),0),""))</f>
        <v>14:30-22:00</v>
      </c>
      <c r="AH114" s="2" t="str">
        <f>IF(IFERROR(VLOOKUP($B114,Morning_Shift!$B$4:$BJ$61,MATCH(Both_Shift_Roster!AH$2,Morning_Shift!$B$2:$BJ$2,0),0),"")="",IFERROR(VLOOKUP($B114,Evening_Shift!$B$4:$BJ$62,MATCH(Both_Shift_Roster!AH$2,Evening_Shift!$B$2:$BJ$2,0),0),""),IFERROR(VLOOKUP($B114,Morning_Shift!$B$4:$BJ$61,MATCH(Both_Shift_Roster!AH$2,Morning_Shift!$B$2:$BJ$2,0),0),""))</f>
        <v>14:30-22:00</v>
      </c>
      <c r="AI114" s="2" t="str">
        <f>IF(IFERROR(VLOOKUP($B114,Morning_Shift!$B$4:$BJ$61,MATCH(Both_Shift_Roster!AI$2,Morning_Shift!$B$2:$BJ$2,0),0),"")="",IFERROR(VLOOKUP($B114,Evening_Shift!$B$4:$BJ$62,MATCH(Both_Shift_Roster!AI$2,Evening_Shift!$B$2:$BJ$2,0),0),""),IFERROR(VLOOKUP($B114,Morning_Shift!$B$4:$BJ$61,MATCH(Both_Shift_Roster!AI$2,Morning_Shift!$B$2:$BJ$2,0),0),""))</f>
        <v>14:30-22:00</v>
      </c>
      <c r="AJ114" s="2" t="str">
        <f>IF(IFERROR(VLOOKUP($B114,Morning_Shift!$B$4:$BJ$61,MATCH(Both_Shift_Roster!AJ$2,Morning_Shift!$B$2:$BJ$2,0),0),"")="",IFERROR(VLOOKUP($B114,Evening_Shift!$B$4:$BJ$62,MATCH(Both_Shift_Roster!AJ$2,Evening_Shift!$B$2:$BJ$2,0),0),""),IFERROR(VLOOKUP($B114,Morning_Shift!$B$4:$BJ$61,MATCH(Both_Shift_Roster!AJ$2,Morning_Shift!$B$2:$BJ$2,0),0),""))</f>
        <v>LP</v>
      </c>
      <c r="AK114" s="2" t="str">
        <f>IF(IFERROR(VLOOKUP($B114,Morning_Shift!$B$4:$BJ$61,MATCH(Both_Shift_Roster!AK$2,Morning_Shift!$B$2:$BJ$2,0),0),"")="",IFERROR(VLOOKUP($B114,Evening_Shift!$B$4:$BJ$62,MATCH(Both_Shift_Roster!AK$2,Evening_Shift!$B$2:$BJ$2,0),0),""),IFERROR(VLOOKUP($B114,Morning_Shift!$B$4:$BJ$61,MATCH(Both_Shift_Roster!AK$2,Morning_Shift!$B$2:$BJ$2,0),0),""))</f>
        <v>14:30-22:00</v>
      </c>
      <c r="AL114" s="2">
        <f t="shared" si="51"/>
        <v>0</v>
      </c>
      <c r="AM114" s="2">
        <f t="shared" si="52"/>
        <v>0</v>
      </c>
      <c r="AN114" s="2">
        <f t="shared" si="53"/>
        <v>0</v>
      </c>
      <c r="AO114" s="2">
        <f t="shared" si="54"/>
        <v>0</v>
      </c>
      <c r="AP114" s="2">
        <f t="shared" si="55"/>
        <v>1</v>
      </c>
      <c r="AQ114" s="2" t="str">
        <f>IF(IFERROR(VLOOKUP($B114,Morning_Shift!$B$4:$BJ$61,MATCH(Both_Shift_Roster!AQ$2,Morning_Shift!$B$2:$BJ$2,0),0),"")="",IFERROR(VLOOKUP($B114,Evening_Shift!$B$4:$BJ$62,MATCH(Both_Shift_Roster!AQ$2,Evening_Shift!$B$2:$BJ$2,0),0),""),IFERROR(VLOOKUP($B114,Morning_Shift!$B$4:$BJ$61,MATCH(Both_Shift_Roster!AQ$2,Morning_Shift!$B$2:$BJ$2,0),0),""))</f>
        <v>14:30-22:00</v>
      </c>
      <c r="AR114" s="2" t="str">
        <f>IF(IFERROR(VLOOKUP($B114,Morning_Shift!$B$4:$BJ$61,MATCH(Both_Shift_Roster!AR$2,Morning_Shift!$B$2:$BJ$2,0),0),"")="",IFERROR(VLOOKUP($B114,Evening_Shift!$B$4:$BJ$62,MATCH(Both_Shift_Roster!AR$2,Evening_Shift!$B$2:$BJ$2,0),0),""),IFERROR(VLOOKUP($B114,Morning_Shift!$B$4:$BJ$61,MATCH(Both_Shift_Roster!AR$2,Morning_Shift!$B$2:$BJ$2,0),0),""))</f>
        <v>14:30-22:00</v>
      </c>
      <c r="AS114" s="2" t="str">
        <f>IF(IFERROR(VLOOKUP($B114,Morning_Shift!$B$4:$BJ$61,MATCH(Both_Shift_Roster!AS$2,Morning_Shift!$B$2:$BJ$2,0),0),"")="",IFERROR(VLOOKUP($B114,Evening_Shift!$B$4:$BJ$62,MATCH(Both_Shift_Roster!AS$2,Evening_Shift!$B$2:$BJ$2,0),0),""),IFERROR(VLOOKUP($B114,Morning_Shift!$B$4:$BJ$61,MATCH(Both_Shift_Roster!AS$2,Morning_Shift!$B$2:$BJ$2,0),0),""))</f>
        <v>14:30-22:00</v>
      </c>
      <c r="AT114" s="2" t="str">
        <f>IF(IFERROR(VLOOKUP($B114,Morning_Shift!$B$4:$BJ$61,MATCH(Both_Shift_Roster!AT$2,Morning_Shift!$B$2:$BJ$2,0),0),"")="",IFERROR(VLOOKUP($B114,Evening_Shift!$B$4:$BJ$62,MATCH(Both_Shift_Roster!AT$2,Evening_Shift!$B$2:$BJ$2,0),0),""),IFERROR(VLOOKUP($B114,Morning_Shift!$B$4:$BJ$61,MATCH(Both_Shift_Roster!AT$2,Morning_Shift!$B$2:$BJ$2,0),0),""))</f>
        <v>14:30-22:00</v>
      </c>
      <c r="AU114" s="2" t="str">
        <f>IF(IFERROR(VLOOKUP($B114,Morning_Shift!$B$4:$BJ$61,MATCH(Both_Shift_Roster!AU$2,Morning_Shift!$B$2:$BJ$2,0),0),"")="",IFERROR(VLOOKUP($B114,Evening_Shift!$B$4:$BJ$62,MATCH(Both_Shift_Roster!AU$2,Evening_Shift!$B$2:$BJ$2,0),0),""),IFERROR(VLOOKUP($B114,Morning_Shift!$B$4:$BJ$61,MATCH(Both_Shift_Roster!AU$2,Morning_Shift!$B$2:$BJ$2,0),0),""))</f>
        <v>14:30-22:00</v>
      </c>
      <c r="AV114" s="2" t="str">
        <f>IF(IFERROR(VLOOKUP($B114,Morning_Shift!$B$4:$BJ$61,MATCH(Both_Shift_Roster!AV$2,Morning_Shift!$B$2:$BJ$2,0),0),"")="",IFERROR(VLOOKUP($B114,Evening_Shift!$B$4:$BJ$62,MATCH(Both_Shift_Roster!AV$2,Evening_Shift!$B$2:$BJ$2,0),0),""),IFERROR(VLOOKUP($B114,Morning_Shift!$B$4:$BJ$61,MATCH(Both_Shift_Roster!AV$2,Morning_Shift!$B$2:$BJ$2,0),0),""))</f>
        <v>14:30-22:00</v>
      </c>
      <c r="AW114" s="2" t="str">
        <f>IF(IFERROR(VLOOKUP($B114,Morning_Shift!$B$4:$BJ$61,MATCH(Both_Shift_Roster!AW$2,Morning_Shift!$B$2:$BJ$2,0),0),"")="",IFERROR(VLOOKUP($B114,Evening_Shift!$B$4:$BJ$62,MATCH(Both_Shift_Roster!AW$2,Evening_Shift!$B$2:$BJ$2,0),0),""),IFERROR(VLOOKUP($B114,Morning_Shift!$B$4:$BJ$61,MATCH(Both_Shift_Roster!AW$2,Morning_Shift!$B$2:$BJ$2,0),0),""))</f>
        <v>14:30-22:00</v>
      </c>
      <c r="AX114" s="2">
        <f t="shared" si="56"/>
        <v>0</v>
      </c>
      <c r="AY114" s="2">
        <f t="shared" si="57"/>
        <v>0</v>
      </c>
      <c r="AZ114" s="2">
        <f t="shared" si="58"/>
        <v>0</v>
      </c>
      <c r="BA114" s="2">
        <f t="shared" si="59"/>
        <v>0</v>
      </c>
      <c r="BB114" s="2">
        <f t="shared" si="60"/>
        <v>0</v>
      </c>
      <c r="BC114" s="2" t="str">
        <f>IF(IFERROR(VLOOKUP($B114,Morning_Shift!$B$4:$BJ$61,MATCH(Both_Shift_Roster!BC$2,Morning_Shift!$B$2:$BJ$2,0),0),"")="",IFERROR(VLOOKUP($B114,Evening_Shift!$B$4:$BJ$62,MATCH(Both_Shift_Roster!BC$2,Evening_Shift!$B$2:$BJ$2,0),0),""),IFERROR(VLOOKUP($B114,Morning_Shift!$B$4:$BJ$61,MATCH(Both_Shift_Roster!BC$2,Morning_Shift!$B$2:$BJ$2,0),0),""))</f>
        <v>14:30-22:00</v>
      </c>
      <c r="BD114" s="2" t="str">
        <f>IF(IFERROR(VLOOKUP($B114,Morning_Shift!$B$4:$BJ$61,MATCH(Both_Shift_Roster!BD$2,Morning_Shift!$B$2:$BJ$2,0),0),"")="",IFERROR(VLOOKUP($B114,Evening_Shift!$B$4:$BJ$62,MATCH(Both_Shift_Roster!BD$2,Evening_Shift!$B$2:$BJ$2,0),0),""),IFERROR(VLOOKUP($B114,Morning_Shift!$B$4:$BJ$61,MATCH(Both_Shift_Roster!BD$2,Morning_Shift!$B$2:$BJ$2,0),0),""))</f>
        <v>14:30-22:00</v>
      </c>
      <c r="BE114" s="2" t="str">
        <f>IF(IFERROR(VLOOKUP($B114,Morning_Shift!$B$4:$BJ$61,MATCH(Both_Shift_Roster!BE$2,Morning_Shift!$B$2:$BJ$2,0),0),"")="",IFERROR(VLOOKUP($B114,Evening_Shift!$B$4:$BJ$59,MATCH(Both_Shift_Roster!BE$2,Evening_Shift!$B$2:$BJ$2,0),0),""),IFERROR(VLOOKUP($B114,Morning_Shift!$B$4:$BJ$61,MATCH(Both_Shift_Roster!BE$2,Morning_Shift!$B$2:$BJ$2,0),0),""))</f>
        <v>14:30-22:00</v>
      </c>
      <c r="BF114" s="2">
        <f t="shared" si="61"/>
        <v>0</v>
      </c>
      <c r="BG114" s="2">
        <f t="shared" si="62"/>
        <v>0</v>
      </c>
      <c r="BH114" s="2">
        <f t="shared" si="63"/>
        <v>0</v>
      </c>
      <c r="BI114" s="2">
        <f t="shared" si="64"/>
        <v>0</v>
      </c>
      <c r="BJ114" s="2">
        <f t="shared" si="65"/>
        <v>0</v>
      </c>
    </row>
    <row r="115" spans="1:62" ht="15" customHeight="1">
      <c r="A115" s="17">
        <f t="shared" si="66"/>
        <v>112</v>
      </c>
      <c r="B115" s="16" t="str">
        <f>Evening_Shift!$B57</f>
        <v>Dritm169</v>
      </c>
      <c r="C115" s="21" t="str">
        <f>IF(IFERROR(VLOOKUP(B115,Morning_Shift!B:C,2,0),"")="",IFERROR(VLOOKUP(B115,Evening_Shift!B:C,2,0),""),IFERROR(VLOOKUP(B115,Morning_Shift!B:C,2,0),""))</f>
        <v>Vinod Kumar</v>
      </c>
      <c r="D115" s="15" t="str">
        <f>IF(IFERROR(VLOOKUP(B115,Morning_Shift!B:D,3,0),"")="",IFERROR(VLOOKUP(B115,Evening_Shift!B:D,3,0),""),IFERROR(VLOOKUP(B115,Morning_Shift!B:D,3,0),""))</f>
        <v xml:space="preserve">Sanjesh </v>
      </c>
      <c r="E115" s="4" t="str">
        <f>IF(IFERROR(VLOOKUP(B115,Morning_Shift!B:E,4,0),"")="",IFERROR(VLOOKUP(B115,Evening_Shift!B:E,4,0),""),IFERROR(VLOOKUP(B115,Morning_Shift!B:E,4,0),""))</f>
        <v>M</v>
      </c>
      <c r="F115" s="5" t="str">
        <f>IF(IFERROR(VLOOKUP(B115,Morning_Shift!B:F,5,0),"")="",IFERROR(VLOOKUP(B115,Evening_Shift!B:F,5,0),""),IFERROR(VLOOKUP(B115,Morning_Shift!B:F,5,0),""))</f>
        <v>Inbound</v>
      </c>
      <c r="G115" s="2" t="str">
        <f>IF(IFERROR(VLOOKUP($B115,Morning_Shift!$B$4:$BJ$61,MATCH(Both_Shift_Roster!G$2,Morning_Shift!$B$2:$BJ$2,0),0),"")="",IFERROR(VLOOKUP($B115,Evening_Shift!$B$4:$BJ$62,MATCH(Both_Shift_Roster!G$2,Evening_Shift!$B$2:$BJ$2,0),0),""),IFERROR(VLOOKUP($B115,Morning_Shift!$B$4:$BJ$61,MATCH(Both_Shift_Roster!G$2,Morning_Shift!$B$2:$BJ$2,0),0),""))</f>
        <v>14:30-22:00</v>
      </c>
      <c r="H115" s="2" t="str">
        <f>IF(IFERROR(VLOOKUP($B115,Morning_Shift!$B$4:$BJ$61,MATCH(Both_Shift_Roster!H$2,Morning_Shift!$B$2:$BJ$2,0),0),"")="",IFERROR(VLOOKUP($B115,Evening_Shift!$B$4:$BJ$62,MATCH(Both_Shift_Roster!H$2,Evening_Shift!$B$2:$BJ$2,0),0),""),IFERROR(VLOOKUP($B115,Morning_Shift!$B$4:$BJ$61,MATCH(Both_Shift_Roster!H$2,Morning_Shift!$B$2:$BJ$2,0),0),""))</f>
        <v>14:30-22:00</v>
      </c>
      <c r="I115" s="2" t="str">
        <f>IF(IFERROR(VLOOKUP($B115,Morning_Shift!$B$4:$BJ$61,MATCH(Both_Shift_Roster!I$2,Morning_Shift!$B$2:$BJ$2,0),0),"")="",IFERROR(VLOOKUP($B115,Evening_Shift!$B$4:$BJ$62,MATCH(Both_Shift_Roster!I$2,Evening_Shift!$B$2:$BJ$2,0),0),""),IFERROR(VLOOKUP($B115,Morning_Shift!$B$4:$BJ$61,MATCH(Both_Shift_Roster!I$2,Morning_Shift!$B$2:$BJ$2,0),0),""))</f>
        <v>14:30-22:00</v>
      </c>
      <c r="J115" s="2" t="str">
        <f>IF(IFERROR(VLOOKUP($B115,Morning_Shift!$B$4:$BJ$61,MATCH(Both_Shift_Roster!J$2,Morning_Shift!$B$2:$BJ$2,0),0),"")="",IFERROR(VLOOKUP($B115,Evening_Shift!$B$4:$BJ$62,MATCH(Both_Shift_Roster!J$2,Evening_Shift!$B$2:$BJ$2,0),0),""),IFERROR(VLOOKUP($B115,Morning_Shift!$B$4:$BJ$61,MATCH(Both_Shift_Roster!J$2,Morning_Shift!$B$2:$BJ$2,0),0),""))</f>
        <v>14:30-22:00</v>
      </c>
      <c r="K115" s="2" t="str">
        <f>IF(IFERROR(VLOOKUP($B115,Morning_Shift!$B$4:$BJ$61,MATCH(Both_Shift_Roster!K$2,Morning_Shift!$B$2:$BJ$2,0),0),"")="",IFERROR(VLOOKUP($B115,Evening_Shift!$B$4:$BJ$62,MATCH(Both_Shift_Roster!K$2,Evening_Shift!$B$2:$BJ$2,0),0),""),IFERROR(VLOOKUP($B115,Morning_Shift!$B$4:$BJ$61,MATCH(Both_Shift_Roster!K$2,Morning_Shift!$B$2:$BJ$2,0),0),""))</f>
        <v>14:30-22:00</v>
      </c>
      <c r="L115" s="2" t="str">
        <f>IF(IFERROR(VLOOKUP($B115,Morning_Shift!$B$4:$BJ$61,MATCH(Both_Shift_Roster!L$2,Morning_Shift!$B$2:$BJ$2,0),0),"")="",IFERROR(VLOOKUP($B115,Evening_Shift!$B$4:$BJ$62,MATCH(Both_Shift_Roster!L$2,Evening_Shift!$B$2:$BJ$2,0),0),""),IFERROR(VLOOKUP($B115,Morning_Shift!$B$4:$BJ$61,MATCH(Both_Shift_Roster!L$2,Morning_Shift!$B$2:$BJ$2,0),0),""))</f>
        <v>14:30-22:00</v>
      </c>
      <c r="M115" s="2" t="str">
        <f>IF(IFERROR(VLOOKUP($B115,Morning_Shift!$B$4:$BJ$61,MATCH(Both_Shift_Roster!M$2,Morning_Shift!$B$2:$BJ$2,0),0),"")="",IFERROR(VLOOKUP($B115,Evening_Shift!$B$4:$BJ$62,MATCH(Both_Shift_Roster!M$2,Evening_Shift!$B$2:$BJ$2,0),0),""),IFERROR(VLOOKUP($B115,Morning_Shift!$B$4:$BJ$61,MATCH(Both_Shift_Roster!M$2,Morning_Shift!$B$2:$BJ$2,0),0),""))</f>
        <v>14:30-22:00</v>
      </c>
      <c r="N115" s="2">
        <f t="shared" si="41"/>
        <v>0</v>
      </c>
      <c r="O115" s="2">
        <f t="shared" si="42"/>
        <v>0</v>
      </c>
      <c r="P115" s="2">
        <f t="shared" si="43"/>
        <v>0</v>
      </c>
      <c r="Q115" s="2">
        <f t="shared" si="44"/>
        <v>0</v>
      </c>
      <c r="R115" s="2">
        <f t="shared" si="45"/>
        <v>0</v>
      </c>
      <c r="S115" s="2" t="str">
        <f>IF(IFERROR(VLOOKUP($B115,Morning_Shift!$B$4:$BJ$61,MATCH(Both_Shift_Roster!S$2,Morning_Shift!$B$2:$BJ$2,0),0),"")="",IFERROR(VLOOKUP($B115,Evening_Shift!$B$4:$BJ$62,MATCH(Both_Shift_Roster!S$2,Evening_Shift!$B$2:$BJ$2,0),0),""),IFERROR(VLOOKUP($B115,Morning_Shift!$B$4:$BJ$61,MATCH(Both_Shift_Roster!S$2,Morning_Shift!$B$2:$BJ$2,0),0),""))</f>
        <v>Agent Choice WO</v>
      </c>
      <c r="T115" s="2" t="str">
        <f>IF(IFERROR(VLOOKUP($B115,Morning_Shift!$B$4:$BJ$61,MATCH(Both_Shift_Roster!T$2,Morning_Shift!$B$2:$BJ$2,0),0),"")="",IFERROR(VLOOKUP($B115,Evening_Shift!$B$4:$BJ$62,MATCH(Both_Shift_Roster!T$2,Evening_Shift!$B$2:$BJ$2,0),0),""),IFERROR(VLOOKUP($B115,Morning_Shift!$B$4:$BJ$61,MATCH(Both_Shift_Roster!T$2,Morning_Shift!$B$2:$BJ$2,0),0),""))</f>
        <v>14:30-22:00</v>
      </c>
      <c r="U115" s="2" t="str">
        <f>IF(IFERROR(VLOOKUP($B115,Morning_Shift!$B$4:$BJ$61,MATCH(Both_Shift_Roster!U$2,Morning_Shift!$B$2:$BJ$2,0),0),"")="",IFERROR(VLOOKUP($B115,Evening_Shift!$B$4:$BJ$62,MATCH(Both_Shift_Roster!U$2,Evening_Shift!$B$2:$BJ$2,0),0),""),IFERROR(VLOOKUP($B115,Morning_Shift!$B$4:$BJ$61,MATCH(Both_Shift_Roster!U$2,Morning_Shift!$B$2:$BJ$2,0),0),""))</f>
        <v>14:30-22:00</v>
      </c>
      <c r="V115" s="2" t="str">
        <f>IF(IFERROR(VLOOKUP($B115,Morning_Shift!$B$4:$BJ$61,MATCH(Both_Shift_Roster!V$2,Morning_Shift!$B$2:$BJ$2,0),0),"")="",IFERROR(VLOOKUP($B115,Evening_Shift!$B$4:$BJ$62,MATCH(Both_Shift_Roster!V$2,Evening_Shift!$B$2:$BJ$2,0),0),""),IFERROR(VLOOKUP($B115,Morning_Shift!$B$4:$BJ$61,MATCH(Both_Shift_Roster!V$2,Morning_Shift!$B$2:$BJ$2,0),0),""))</f>
        <v>14:30-22:00</v>
      </c>
      <c r="W115" s="2" t="str">
        <f>IF(IFERROR(VLOOKUP($B115,Morning_Shift!$B$4:$BJ$61,MATCH(Both_Shift_Roster!W$2,Morning_Shift!$B$2:$BJ$2,0),0),"")="",IFERROR(VLOOKUP($B115,Evening_Shift!$B$4:$BJ$62,MATCH(Both_Shift_Roster!W$2,Evening_Shift!$B$2:$BJ$2,0),0),""),IFERROR(VLOOKUP($B115,Morning_Shift!$B$4:$BJ$61,MATCH(Both_Shift_Roster!W$2,Morning_Shift!$B$2:$BJ$2,0),0),""))</f>
        <v>14:30-22:00</v>
      </c>
      <c r="X115" s="2" t="str">
        <f>IF(IFERROR(VLOOKUP($B115,Morning_Shift!$B$4:$BJ$61,MATCH(Both_Shift_Roster!X$2,Morning_Shift!$B$2:$BJ$2,0),0),"")="",IFERROR(VLOOKUP($B115,Evening_Shift!$B$4:$BJ$62,MATCH(Both_Shift_Roster!X$2,Evening_Shift!$B$2:$BJ$2,0),0),""),IFERROR(VLOOKUP($B115,Morning_Shift!$B$4:$BJ$61,MATCH(Both_Shift_Roster!X$2,Morning_Shift!$B$2:$BJ$2,0),0),""))</f>
        <v>14:30-22:00</v>
      </c>
      <c r="Y115" s="2" t="str">
        <f>IF(IFERROR(VLOOKUP($B115,Morning_Shift!$B$4:$BJ$61,MATCH(Both_Shift_Roster!Y$2,Morning_Shift!$B$2:$BJ$2,0),0),"")="",IFERROR(VLOOKUP($B115,Evening_Shift!$B$4:$BJ$62,MATCH(Both_Shift_Roster!Y$2,Evening_Shift!$B$2:$BJ$2,0),0),""),IFERROR(VLOOKUP($B115,Morning_Shift!$B$4:$BJ$61,MATCH(Both_Shift_Roster!Y$2,Morning_Shift!$B$2:$BJ$2,0),0),""))</f>
        <v>Agent Choice WO</v>
      </c>
      <c r="Z115" s="2">
        <f t="shared" si="46"/>
        <v>2</v>
      </c>
      <c r="AA115" s="2">
        <f t="shared" si="47"/>
        <v>0</v>
      </c>
      <c r="AB115" s="2">
        <f t="shared" si="48"/>
        <v>0</v>
      </c>
      <c r="AC115" s="2">
        <f t="shared" si="49"/>
        <v>0</v>
      </c>
      <c r="AD115" s="2">
        <f t="shared" si="50"/>
        <v>0</v>
      </c>
      <c r="AE115" s="2" t="str">
        <f>IF(IFERROR(VLOOKUP($B115,Morning_Shift!$B$4:$BJ$61,MATCH(Both_Shift_Roster!AE$2,Morning_Shift!$B$2:$BJ$2,0),0),"")="",IFERROR(VLOOKUP($B115,Evening_Shift!$B$4:$BJ$62,MATCH(Both_Shift_Roster!AE$2,Evening_Shift!$B$2:$BJ$2,0),0),""),IFERROR(VLOOKUP($B115,Morning_Shift!$B$4:$BJ$61,MATCH(Both_Shift_Roster!AE$2,Morning_Shift!$B$2:$BJ$2,0),0),""))</f>
        <v>Agent Choice WO</v>
      </c>
      <c r="AF115" s="2" t="str">
        <f>IF(IFERROR(VLOOKUP($B115,Morning_Shift!$B$4:$BJ$61,MATCH(Both_Shift_Roster!AF$2,Morning_Shift!$B$2:$BJ$2,0),0),"")="",IFERROR(VLOOKUP($B115,Evening_Shift!$B$4:$BJ$62,MATCH(Both_Shift_Roster!AF$2,Evening_Shift!$B$2:$BJ$2,0),0),""),IFERROR(VLOOKUP($B115,Morning_Shift!$B$4:$BJ$61,MATCH(Both_Shift_Roster!AF$2,Morning_Shift!$B$2:$BJ$2,0),0),""))</f>
        <v>14:30-22:00</v>
      </c>
      <c r="AG115" s="2" t="str">
        <f>IF(IFERROR(VLOOKUP($B115,Morning_Shift!$B$4:$BJ$61,MATCH(Both_Shift_Roster!AG$2,Morning_Shift!$B$2:$BJ$2,0),0),"")="",IFERROR(VLOOKUP($B115,Evening_Shift!$B$4:$BJ$62,MATCH(Both_Shift_Roster!AG$2,Evening_Shift!$B$2:$BJ$2,0),0),""),IFERROR(VLOOKUP($B115,Morning_Shift!$B$4:$BJ$61,MATCH(Both_Shift_Roster!AG$2,Morning_Shift!$B$2:$BJ$2,0),0),""))</f>
        <v>14:30-22:00</v>
      </c>
      <c r="AH115" s="2" t="str">
        <f>IF(IFERROR(VLOOKUP($B115,Morning_Shift!$B$4:$BJ$61,MATCH(Both_Shift_Roster!AH$2,Morning_Shift!$B$2:$BJ$2,0),0),"")="",IFERROR(VLOOKUP($B115,Evening_Shift!$B$4:$BJ$62,MATCH(Both_Shift_Roster!AH$2,Evening_Shift!$B$2:$BJ$2,0),0),""),IFERROR(VLOOKUP($B115,Morning_Shift!$B$4:$BJ$61,MATCH(Both_Shift_Roster!AH$2,Morning_Shift!$B$2:$BJ$2,0),0),""))</f>
        <v>14:30-22:00</v>
      </c>
      <c r="AI115" s="2" t="str">
        <f>IF(IFERROR(VLOOKUP($B115,Morning_Shift!$B$4:$BJ$61,MATCH(Both_Shift_Roster!AI$2,Morning_Shift!$B$2:$BJ$2,0),0),"")="",IFERROR(VLOOKUP($B115,Evening_Shift!$B$4:$BJ$62,MATCH(Both_Shift_Roster!AI$2,Evening_Shift!$B$2:$BJ$2,0),0),""),IFERROR(VLOOKUP($B115,Morning_Shift!$B$4:$BJ$61,MATCH(Both_Shift_Roster!AI$2,Morning_Shift!$B$2:$BJ$2,0),0),""))</f>
        <v>14:30-22:00</v>
      </c>
      <c r="AJ115" s="2" t="str">
        <f>IF(IFERROR(VLOOKUP($B115,Morning_Shift!$B$4:$BJ$61,MATCH(Both_Shift_Roster!AJ$2,Morning_Shift!$B$2:$BJ$2,0),0),"")="",IFERROR(VLOOKUP($B115,Evening_Shift!$B$4:$BJ$62,MATCH(Both_Shift_Roster!AJ$2,Evening_Shift!$B$2:$BJ$2,0),0),""),IFERROR(VLOOKUP($B115,Morning_Shift!$B$4:$BJ$61,MATCH(Both_Shift_Roster!AJ$2,Morning_Shift!$B$2:$BJ$2,0),0),""))</f>
        <v>14:30-22:00</v>
      </c>
      <c r="AK115" s="2" t="str">
        <f>IF(IFERROR(VLOOKUP($B115,Morning_Shift!$B$4:$BJ$61,MATCH(Both_Shift_Roster!AK$2,Morning_Shift!$B$2:$BJ$2,0),0),"")="",IFERROR(VLOOKUP($B115,Evening_Shift!$B$4:$BJ$62,MATCH(Both_Shift_Roster!AK$2,Evening_Shift!$B$2:$BJ$2,0),0),""),IFERROR(VLOOKUP($B115,Morning_Shift!$B$4:$BJ$61,MATCH(Both_Shift_Roster!AK$2,Morning_Shift!$B$2:$BJ$2,0),0),""))</f>
        <v>14:30-22:00</v>
      </c>
      <c r="AL115" s="2">
        <f t="shared" si="51"/>
        <v>1</v>
      </c>
      <c r="AM115" s="2">
        <f t="shared" si="52"/>
        <v>0</v>
      </c>
      <c r="AN115" s="2">
        <f t="shared" si="53"/>
        <v>0</v>
      </c>
      <c r="AO115" s="2">
        <f t="shared" si="54"/>
        <v>0</v>
      </c>
      <c r="AP115" s="2">
        <f t="shared" si="55"/>
        <v>0</v>
      </c>
      <c r="AQ115" s="2" t="str">
        <f>IF(IFERROR(VLOOKUP($B115,Morning_Shift!$B$4:$BJ$61,MATCH(Both_Shift_Roster!AQ$2,Morning_Shift!$B$2:$BJ$2,0),0),"")="",IFERROR(VLOOKUP($B115,Evening_Shift!$B$4:$BJ$62,MATCH(Both_Shift_Roster!AQ$2,Evening_Shift!$B$2:$BJ$2,0),0),""),IFERROR(VLOOKUP($B115,Morning_Shift!$B$4:$BJ$61,MATCH(Both_Shift_Roster!AQ$2,Morning_Shift!$B$2:$BJ$2,0),0),""))</f>
        <v>14:30-22:00</v>
      </c>
      <c r="AR115" s="2" t="str">
        <f>IF(IFERROR(VLOOKUP($B115,Morning_Shift!$B$4:$BJ$61,MATCH(Both_Shift_Roster!AR$2,Morning_Shift!$B$2:$BJ$2,0),0),"")="",IFERROR(VLOOKUP($B115,Evening_Shift!$B$4:$BJ$62,MATCH(Both_Shift_Roster!AR$2,Evening_Shift!$B$2:$BJ$2,0),0),""),IFERROR(VLOOKUP($B115,Morning_Shift!$B$4:$BJ$61,MATCH(Both_Shift_Roster!AR$2,Morning_Shift!$B$2:$BJ$2,0),0),""))</f>
        <v>14:30-22:00</v>
      </c>
      <c r="AS115" s="2" t="str">
        <f>IF(IFERROR(VLOOKUP($B115,Morning_Shift!$B$4:$BJ$61,MATCH(Both_Shift_Roster!AS$2,Morning_Shift!$B$2:$BJ$2,0),0),"")="",IFERROR(VLOOKUP($B115,Evening_Shift!$B$4:$BJ$62,MATCH(Both_Shift_Roster!AS$2,Evening_Shift!$B$2:$BJ$2,0),0),""),IFERROR(VLOOKUP($B115,Morning_Shift!$B$4:$BJ$61,MATCH(Both_Shift_Roster!AS$2,Morning_Shift!$B$2:$BJ$2,0),0),""))</f>
        <v>14:30-22:00</v>
      </c>
      <c r="AT115" s="2" t="str">
        <f>IF(IFERROR(VLOOKUP($B115,Morning_Shift!$B$4:$BJ$61,MATCH(Both_Shift_Roster!AT$2,Morning_Shift!$B$2:$BJ$2,0),0),"")="",IFERROR(VLOOKUP($B115,Evening_Shift!$B$4:$BJ$62,MATCH(Both_Shift_Roster!AT$2,Evening_Shift!$B$2:$BJ$2,0),0),""),IFERROR(VLOOKUP($B115,Morning_Shift!$B$4:$BJ$61,MATCH(Both_Shift_Roster!AT$2,Morning_Shift!$B$2:$BJ$2,0),0),""))</f>
        <v>Agent Choice WO</v>
      </c>
      <c r="AU115" s="2" t="str">
        <f>IF(IFERROR(VLOOKUP($B115,Morning_Shift!$B$4:$BJ$61,MATCH(Both_Shift_Roster!AU$2,Morning_Shift!$B$2:$BJ$2,0),0),"")="",IFERROR(VLOOKUP($B115,Evening_Shift!$B$4:$BJ$62,MATCH(Both_Shift_Roster!AU$2,Evening_Shift!$B$2:$BJ$2,0),0),""),IFERROR(VLOOKUP($B115,Morning_Shift!$B$4:$BJ$61,MATCH(Both_Shift_Roster!AU$2,Morning_Shift!$B$2:$BJ$2,0),0),""))</f>
        <v>14:30-22:00</v>
      </c>
      <c r="AV115" s="2" t="str">
        <f>IF(IFERROR(VLOOKUP($B115,Morning_Shift!$B$4:$BJ$61,MATCH(Both_Shift_Roster!AV$2,Morning_Shift!$B$2:$BJ$2,0),0),"")="",IFERROR(VLOOKUP($B115,Evening_Shift!$B$4:$BJ$62,MATCH(Both_Shift_Roster!AV$2,Evening_Shift!$B$2:$BJ$2,0),0),""),IFERROR(VLOOKUP($B115,Morning_Shift!$B$4:$BJ$61,MATCH(Both_Shift_Roster!AV$2,Morning_Shift!$B$2:$BJ$2,0),0),""))</f>
        <v>14:30-22:00</v>
      </c>
      <c r="AW115" s="2" t="str">
        <f>IF(IFERROR(VLOOKUP($B115,Morning_Shift!$B$4:$BJ$61,MATCH(Both_Shift_Roster!AW$2,Morning_Shift!$B$2:$BJ$2,0),0),"")="",IFERROR(VLOOKUP($B115,Evening_Shift!$B$4:$BJ$62,MATCH(Both_Shift_Roster!AW$2,Evening_Shift!$B$2:$BJ$2,0),0),""),IFERROR(VLOOKUP($B115,Morning_Shift!$B$4:$BJ$61,MATCH(Both_Shift_Roster!AW$2,Morning_Shift!$B$2:$BJ$2,0),0),""))</f>
        <v>14:30-22:00</v>
      </c>
      <c r="AX115" s="2">
        <f t="shared" si="56"/>
        <v>1</v>
      </c>
      <c r="AY115" s="2">
        <f t="shared" si="57"/>
        <v>0</v>
      </c>
      <c r="AZ115" s="2">
        <f t="shared" si="58"/>
        <v>0</v>
      </c>
      <c r="BA115" s="2">
        <f t="shared" si="59"/>
        <v>0</v>
      </c>
      <c r="BB115" s="2">
        <f t="shared" si="60"/>
        <v>0</v>
      </c>
      <c r="BC115" s="2" t="str">
        <f>IF(IFERROR(VLOOKUP($B115,Morning_Shift!$B$4:$BJ$61,MATCH(Both_Shift_Roster!BC$2,Morning_Shift!$B$2:$BJ$2,0),0),"")="",IFERROR(VLOOKUP($B115,Evening_Shift!$B$4:$BJ$62,MATCH(Both_Shift_Roster!BC$2,Evening_Shift!$B$2:$BJ$2,0),0),""),IFERROR(VLOOKUP($B115,Morning_Shift!$B$4:$BJ$61,MATCH(Both_Shift_Roster!BC$2,Morning_Shift!$B$2:$BJ$2,0),0),""))</f>
        <v>14:30-22:00</v>
      </c>
      <c r="BD115" s="2" t="str">
        <f>IF(IFERROR(VLOOKUP($B115,Morning_Shift!$B$4:$BJ$61,MATCH(Both_Shift_Roster!BD$2,Morning_Shift!$B$2:$BJ$2,0),0),"")="",IFERROR(VLOOKUP($B115,Evening_Shift!$B$4:$BJ$62,MATCH(Both_Shift_Roster!BD$2,Evening_Shift!$B$2:$BJ$2,0),0),""),IFERROR(VLOOKUP($B115,Morning_Shift!$B$4:$BJ$61,MATCH(Both_Shift_Roster!BD$2,Morning_Shift!$B$2:$BJ$2,0),0),""))</f>
        <v>14:30-22:00</v>
      </c>
      <c r="BE115" s="2" t="str">
        <f>IF(IFERROR(VLOOKUP($B115,Morning_Shift!$B$4:$BJ$61,MATCH(Both_Shift_Roster!BE$2,Morning_Shift!$B$2:$BJ$2,0),0),"")="",IFERROR(VLOOKUP($B115,Evening_Shift!$B$4:$BJ$59,MATCH(Both_Shift_Roster!BE$2,Evening_Shift!$B$2:$BJ$2,0),0),""),IFERROR(VLOOKUP($B115,Morning_Shift!$B$4:$BJ$61,MATCH(Both_Shift_Roster!BE$2,Morning_Shift!$B$2:$BJ$2,0),0),""))</f>
        <v>14:30-22:00</v>
      </c>
      <c r="BF115" s="2">
        <f t="shared" si="61"/>
        <v>0</v>
      </c>
      <c r="BG115" s="2">
        <f t="shared" si="62"/>
        <v>0</v>
      </c>
      <c r="BH115" s="2">
        <f t="shared" si="63"/>
        <v>0</v>
      </c>
      <c r="BI115" s="2">
        <f t="shared" si="64"/>
        <v>0</v>
      </c>
      <c r="BJ115" s="2">
        <f t="shared" si="65"/>
        <v>0</v>
      </c>
    </row>
    <row r="116" spans="1:62" ht="15" customHeight="1">
      <c r="A116" s="17">
        <f t="shared" si="66"/>
        <v>113</v>
      </c>
      <c r="B116" s="16" t="str">
        <f>Evening_Shift!$B58</f>
        <v>Dritm170</v>
      </c>
      <c r="C116" s="21" t="str">
        <f>IF(IFERROR(VLOOKUP(B116,Morning_Shift!B:C,2,0),"")="",IFERROR(VLOOKUP(B116,Evening_Shift!B:C,2,0),""),IFERROR(VLOOKUP(B116,Morning_Shift!B:C,2,0),""))</f>
        <v>Priti Thakur</v>
      </c>
      <c r="D116" s="15" t="str">
        <f>IF(IFERROR(VLOOKUP(B116,Morning_Shift!B:D,3,0),"")="",IFERROR(VLOOKUP(B116,Evening_Shift!B:D,3,0),""),IFERROR(VLOOKUP(B116,Morning_Shift!B:D,3,0),""))</f>
        <v xml:space="preserve">Sanjesh </v>
      </c>
      <c r="E116" s="4" t="str">
        <f>IF(IFERROR(VLOOKUP(B116,Morning_Shift!B:E,4,0),"")="",IFERROR(VLOOKUP(B116,Evening_Shift!B:E,4,0),""),IFERROR(VLOOKUP(B116,Morning_Shift!B:E,4,0),""))</f>
        <v>F</v>
      </c>
      <c r="F116" s="5" t="str">
        <f>IF(IFERROR(VLOOKUP(B116,Morning_Shift!B:F,5,0),"")="",IFERROR(VLOOKUP(B116,Evening_Shift!B:F,5,0),""),IFERROR(VLOOKUP(B116,Morning_Shift!B:F,5,0),""))</f>
        <v>Inbound</v>
      </c>
      <c r="G116" s="2" t="str">
        <f>IF(IFERROR(VLOOKUP($B116,Morning_Shift!$B$4:$BJ$61,MATCH(Both_Shift_Roster!G$2,Morning_Shift!$B$2:$BJ$2,0),0),"")="",IFERROR(VLOOKUP($B116,Evening_Shift!$B$4:$BJ$62,MATCH(Both_Shift_Roster!G$2,Evening_Shift!$B$2:$BJ$2,0),0),""),IFERROR(VLOOKUP($B116,Morning_Shift!$B$4:$BJ$61,MATCH(Both_Shift_Roster!G$2,Morning_Shift!$B$2:$BJ$2,0),0),""))</f>
        <v>14:30-22:00</v>
      </c>
      <c r="H116" s="2" t="str">
        <f>IF(IFERROR(VLOOKUP($B116,Morning_Shift!$B$4:$BJ$61,MATCH(Both_Shift_Roster!H$2,Morning_Shift!$B$2:$BJ$2,0),0),"")="",IFERROR(VLOOKUP($B116,Evening_Shift!$B$4:$BJ$62,MATCH(Both_Shift_Roster!H$2,Evening_Shift!$B$2:$BJ$2,0),0),""),IFERROR(VLOOKUP($B116,Morning_Shift!$B$4:$BJ$61,MATCH(Both_Shift_Roster!H$2,Morning_Shift!$B$2:$BJ$2,0),0),""))</f>
        <v>14:30-22:00</v>
      </c>
      <c r="I116" s="2" t="str">
        <f>IF(IFERROR(VLOOKUP($B116,Morning_Shift!$B$4:$BJ$61,MATCH(Both_Shift_Roster!I$2,Morning_Shift!$B$2:$BJ$2,0),0),"")="",IFERROR(VLOOKUP($B116,Evening_Shift!$B$4:$BJ$62,MATCH(Both_Shift_Roster!I$2,Evening_Shift!$B$2:$BJ$2,0),0),""),IFERROR(VLOOKUP($B116,Morning_Shift!$B$4:$BJ$61,MATCH(Both_Shift_Roster!I$2,Morning_Shift!$B$2:$BJ$2,0),0),""))</f>
        <v>14:30-22:00</v>
      </c>
      <c r="J116" s="2" t="str">
        <f>IF(IFERROR(VLOOKUP($B116,Morning_Shift!$B$4:$BJ$61,MATCH(Both_Shift_Roster!J$2,Morning_Shift!$B$2:$BJ$2,0),0),"")="",IFERROR(VLOOKUP($B116,Evening_Shift!$B$4:$BJ$62,MATCH(Both_Shift_Roster!J$2,Evening_Shift!$B$2:$BJ$2,0),0),""),IFERROR(VLOOKUP($B116,Morning_Shift!$B$4:$BJ$61,MATCH(Both_Shift_Roster!J$2,Morning_Shift!$B$2:$BJ$2,0),0),""))</f>
        <v>14:30-22:00</v>
      </c>
      <c r="K116" s="2" t="str">
        <f>IF(IFERROR(VLOOKUP($B116,Morning_Shift!$B$4:$BJ$61,MATCH(Both_Shift_Roster!K$2,Morning_Shift!$B$2:$BJ$2,0),0),"")="",IFERROR(VLOOKUP($B116,Evening_Shift!$B$4:$BJ$62,MATCH(Both_Shift_Roster!K$2,Evening_Shift!$B$2:$BJ$2,0),0),""),IFERROR(VLOOKUP($B116,Morning_Shift!$B$4:$BJ$61,MATCH(Both_Shift_Roster!K$2,Morning_Shift!$B$2:$BJ$2,0),0),""))</f>
        <v>14:30-22:00</v>
      </c>
      <c r="L116" s="2" t="str">
        <f>IF(IFERROR(VLOOKUP($B116,Morning_Shift!$B$4:$BJ$61,MATCH(Both_Shift_Roster!L$2,Morning_Shift!$B$2:$BJ$2,0),0),"")="",IFERROR(VLOOKUP($B116,Evening_Shift!$B$4:$BJ$62,MATCH(Both_Shift_Roster!L$2,Evening_Shift!$B$2:$BJ$2,0),0),""),IFERROR(VLOOKUP($B116,Morning_Shift!$B$4:$BJ$61,MATCH(Both_Shift_Roster!L$2,Morning_Shift!$B$2:$BJ$2,0),0),""))</f>
        <v>14:30-22:00</v>
      </c>
      <c r="M116" s="2" t="str">
        <f>IF(IFERROR(VLOOKUP($B116,Morning_Shift!$B$4:$BJ$61,MATCH(Both_Shift_Roster!M$2,Morning_Shift!$B$2:$BJ$2,0),0),"")="",IFERROR(VLOOKUP($B116,Evening_Shift!$B$4:$BJ$62,MATCH(Both_Shift_Roster!M$2,Evening_Shift!$B$2:$BJ$2,0),0),""),IFERROR(VLOOKUP($B116,Morning_Shift!$B$4:$BJ$61,MATCH(Both_Shift_Roster!M$2,Morning_Shift!$B$2:$BJ$2,0),0),""))</f>
        <v>14:30-22:00</v>
      </c>
      <c r="N116" s="2">
        <f t="shared" si="41"/>
        <v>0</v>
      </c>
      <c r="O116" s="2">
        <f t="shared" si="42"/>
        <v>0</v>
      </c>
      <c r="P116" s="2">
        <f t="shared" si="43"/>
        <v>0</v>
      </c>
      <c r="Q116" s="2">
        <f t="shared" si="44"/>
        <v>0</v>
      </c>
      <c r="R116" s="2">
        <f t="shared" si="45"/>
        <v>0</v>
      </c>
      <c r="S116" s="2" t="str">
        <f>IF(IFERROR(VLOOKUP($B116,Morning_Shift!$B$4:$BJ$61,MATCH(Both_Shift_Roster!S$2,Morning_Shift!$B$2:$BJ$2,0),0),"")="",IFERROR(VLOOKUP($B116,Evening_Shift!$B$4:$BJ$62,MATCH(Both_Shift_Roster!S$2,Evening_Shift!$B$2:$BJ$2,0),0),""),IFERROR(VLOOKUP($B116,Morning_Shift!$B$4:$BJ$61,MATCH(Both_Shift_Roster!S$2,Morning_Shift!$B$2:$BJ$2,0),0),""))</f>
        <v>14:30-22:00</v>
      </c>
      <c r="T116" s="2" t="str">
        <f>IF(IFERROR(VLOOKUP($B116,Morning_Shift!$B$4:$BJ$61,MATCH(Both_Shift_Roster!T$2,Morning_Shift!$B$2:$BJ$2,0),0),"")="",IFERROR(VLOOKUP($B116,Evening_Shift!$B$4:$BJ$62,MATCH(Both_Shift_Roster!T$2,Evening_Shift!$B$2:$BJ$2,0),0),""),IFERROR(VLOOKUP($B116,Morning_Shift!$B$4:$BJ$61,MATCH(Both_Shift_Roster!T$2,Morning_Shift!$B$2:$BJ$2,0),0),""))</f>
        <v>14:30-22:00</v>
      </c>
      <c r="U116" s="2" t="str">
        <f>IF(IFERROR(VLOOKUP($B116,Morning_Shift!$B$4:$BJ$61,MATCH(Both_Shift_Roster!U$2,Morning_Shift!$B$2:$BJ$2,0),0),"")="",IFERROR(VLOOKUP($B116,Evening_Shift!$B$4:$BJ$62,MATCH(Both_Shift_Roster!U$2,Evening_Shift!$B$2:$BJ$2,0),0),""),IFERROR(VLOOKUP($B116,Morning_Shift!$B$4:$BJ$61,MATCH(Both_Shift_Roster!U$2,Morning_Shift!$B$2:$BJ$2,0),0),""))</f>
        <v>14:30-22:00</v>
      </c>
      <c r="V116" s="2" t="str">
        <f>IF(IFERROR(VLOOKUP($B116,Morning_Shift!$B$4:$BJ$61,MATCH(Both_Shift_Roster!V$2,Morning_Shift!$B$2:$BJ$2,0),0),"")="",IFERROR(VLOOKUP($B116,Evening_Shift!$B$4:$BJ$62,MATCH(Both_Shift_Roster!V$2,Evening_Shift!$B$2:$BJ$2,0),0),""),IFERROR(VLOOKUP($B116,Morning_Shift!$B$4:$BJ$61,MATCH(Both_Shift_Roster!V$2,Morning_Shift!$B$2:$BJ$2,0),0),""))</f>
        <v>14:30-22:00</v>
      </c>
      <c r="W116" s="2" t="str">
        <f>IF(IFERROR(VLOOKUP($B116,Morning_Shift!$B$4:$BJ$61,MATCH(Both_Shift_Roster!W$2,Morning_Shift!$B$2:$BJ$2,0),0),"")="",IFERROR(VLOOKUP($B116,Evening_Shift!$B$4:$BJ$62,MATCH(Both_Shift_Roster!W$2,Evening_Shift!$B$2:$BJ$2,0),0),""),IFERROR(VLOOKUP($B116,Morning_Shift!$B$4:$BJ$61,MATCH(Both_Shift_Roster!W$2,Morning_Shift!$B$2:$BJ$2,0),0),""))</f>
        <v>14:30-22:00</v>
      </c>
      <c r="X116" s="2" t="str">
        <f>IF(IFERROR(VLOOKUP($B116,Morning_Shift!$B$4:$BJ$61,MATCH(Both_Shift_Roster!X$2,Morning_Shift!$B$2:$BJ$2,0),0),"")="",IFERROR(VLOOKUP($B116,Evening_Shift!$B$4:$BJ$62,MATCH(Both_Shift_Roster!X$2,Evening_Shift!$B$2:$BJ$2,0),0),""),IFERROR(VLOOKUP($B116,Morning_Shift!$B$4:$BJ$61,MATCH(Both_Shift_Roster!X$2,Morning_Shift!$B$2:$BJ$2,0),0),""))</f>
        <v>14:30-22:00</v>
      </c>
      <c r="Y116" s="2" t="str">
        <f>IF(IFERROR(VLOOKUP($B116,Morning_Shift!$B$4:$BJ$61,MATCH(Both_Shift_Roster!Y$2,Morning_Shift!$B$2:$BJ$2,0),0),"")="",IFERROR(VLOOKUP($B116,Evening_Shift!$B$4:$BJ$62,MATCH(Both_Shift_Roster!Y$2,Evening_Shift!$B$2:$BJ$2,0),0),""),IFERROR(VLOOKUP($B116,Morning_Shift!$B$4:$BJ$61,MATCH(Both_Shift_Roster!Y$2,Morning_Shift!$B$2:$BJ$2,0),0),""))</f>
        <v>Agent Choice WO</v>
      </c>
      <c r="Z116" s="2">
        <f t="shared" si="46"/>
        <v>1</v>
      </c>
      <c r="AA116" s="2">
        <f t="shared" si="47"/>
        <v>0</v>
      </c>
      <c r="AB116" s="2">
        <f t="shared" si="48"/>
        <v>0</v>
      </c>
      <c r="AC116" s="2">
        <f t="shared" si="49"/>
        <v>0</v>
      </c>
      <c r="AD116" s="2">
        <f t="shared" si="50"/>
        <v>0</v>
      </c>
      <c r="AE116" s="2" t="str">
        <f>IF(IFERROR(VLOOKUP($B116,Morning_Shift!$B$4:$BJ$61,MATCH(Both_Shift_Roster!AE$2,Morning_Shift!$B$2:$BJ$2,0),0),"")="",IFERROR(VLOOKUP($B116,Evening_Shift!$B$4:$BJ$62,MATCH(Both_Shift_Roster!AE$2,Evening_Shift!$B$2:$BJ$2,0),0),""),IFERROR(VLOOKUP($B116,Morning_Shift!$B$4:$BJ$61,MATCH(Both_Shift_Roster!AE$2,Morning_Shift!$B$2:$BJ$2,0),0),""))</f>
        <v>14:30-22:00</v>
      </c>
      <c r="AF116" s="2" t="str">
        <f>IF(IFERROR(VLOOKUP($B116,Morning_Shift!$B$4:$BJ$61,MATCH(Both_Shift_Roster!AF$2,Morning_Shift!$B$2:$BJ$2,0),0),"")="",IFERROR(VLOOKUP($B116,Evening_Shift!$B$4:$BJ$62,MATCH(Both_Shift_Roster!AF$2,Evening_Shift!$B$2:$BJ$2,0),0),""),IFERROR(VLOOKUP($B116,Morning_Shift!$B$4:$BJ$61,MATCH(Both_Shift_Roster!AF$2,Morning_Shift!$B$2:$BJ$2,0),0),""))</f>
        <v>14:30-22:00</v>
      </c>
      <c r="AG116" s="2" t="str">
        <f>IF(IFERROR(VLOOKUP($B116,Morning_Shift!$B$4:$BJ$61,MATCH(Both_Shift_Roster!AG$2,Morning_Shift!$B$2:$BJ$2,0),0),"")="",IFERROR(VLOOKUP($B116,Evening_Shift!$B$4:$BJ$62,MATCH(Both_Shift_Roster!AG$2,Evening_Shift!$B$2:$BJ$2,0),0),""),IFERROR(VLOOKUP($B116,Morning_Shift!$B$4:$BJ$61,MATCH(Both_Shift_Roster!AG$2,Morning_Shift!$B$2:$BJ$2,0),0),""))</f>
        <v>14:30-22:00</v>
      </c>
      <c r="AH116" s="2" t="str">
        <f>IF(IFERROR(VLOOKUP($B116,Morning_Shift!$B$4:$BJ$61,MATCH(Both_Shift_Roster!AH$2,Morning_Shift!$B$2:$BJ$2,0),0),"")="",IFERROR(VLOOKUP($B116,Evening_Shift!$B$4:$BJ$62,MATCH(Both_Shift_Roster!AH$2,Evening_Shift!$B$2:$BJ$2,0),0),""),IFERROR(VLOOKUP($B116,Morning_Shift!$B$4:$BJ$61,MATCH(Both_Shift_Roster!AH$2,Morning_Shift!$B$2:$BJ$2,0),0),""))</f>
        <v>14:30-22:00</v>
      </c>
      <c r="AI116" s="2" t="str">
        <f>IF(IFERROR(VLOOKUP($B116,Morning_Shift!$B$4:$BJ$61,MATCH(Both_Shift_Roster!AI$2,Morning_Shift!$B$2:$BJ$2,0),0),"")="",IFERROR(VLOOKUP($B116,Evening_Shift!$B$4:$BJ$62,MATCH(Both_Shift_Roster!AI$2,Evening_Shift!$B$2:$BJ$2,0),0),""),IFERROR(VLOOKUP($B116,Morning_Shift!$B$4:$BJ$61,MATCH(Both_Shift_Roster!AI$2,Morning_Shift!$B$2:$BJ$2,0),0),""))</f>
        <v>14:30-22:00</v>
      </c>
      <c r="AJ116" s="2" t="str">
        <f>IF(IFERROR(VLOOKUP($B116,Morning_Shift!$B$4:$BJ$61,MATCH(Both_Shift_Roster!AJ$2,Morning_Shift!$B$2:$BJ$2,0),0),"")="",IFERROR(VLOOKUP($B116,Evening_Shift!$B$4:$BJ$62,MATCH(Both_Shift_Roster!AJ$2,Evening_Shift!$B$2:$BJ$2,0),0),""),IFERROR(VLOOKUP($B116,Morning_Shift!$B$4:$BJ$61,MATCH(Both_Shift_Roster!AJ$2,Morning_Shift!$B$2:$BJ$2,0),0),""))</f>
        <v>Agent Choice WO</v>
      </c>
      <c r="AK116" s="2" t="str">
        <f>IF(IFERROR(VLOOKUP($B116,Morning_Shift!$B$4:$BJ$61,MATCH(Both_Shift_Roster!AK$2,Morning_Shift!$B$2:$BJ$2,0),0),"")="",IFERROR(VLOOKUP($B116,Evening_Shift!$B$4:$BJ$62,MATCH(Both_Shift_Roster!AK$2,Evening_Shift!$B$2:$BJ$2,0),0),""),IFERROR(VLOOKUP($B116,Morning_Shift!$B$4:$BJ$61,MATCH(Both_Shift_Roster!AK$2,Morning_Shift!$B$2:$BJ$2,0),0),""))</f>
        <v>14:30-22:00</v>
      </c>
      <c r="AL116" s="2">
        <f t="shared" si="51"/>
        <v>1</v>
      </c>
      <c r="AM116" s="2">
        <f t="shared" si="52"/>
        <v>0</v>
      </c>
      <c r="AN116" s="2">
        <f t="shared" si="53"/>
        <v>0</v>
      </c>
      <c r="AO116" s="2">
        <f t="shared" si="54"/>
        <v>0</v>
      </c>
      <c r="AP116" s="2">
        <f t="shared" si="55"/>
        <v>0</v>
      </c>
      <c r="AQ116" s="2" t="str">
        <f>IF(IFERROR(VLOOKUP($B116,Morning_Shift!$B$4:$BJ$61,MATCH(Both_Shift_Roster!AQ$2,Morning_Shift!$B$2:$BJ$2,0),0),"")="",IFERROR(VLOOKUP($B116,Evening_Shift!$B$4:$BJ$62,MATCH(Both_Shift_Roster!AQ$2,Evening_Shift!$B$2:$BJ$2,0),0),""),IFERROR(VLOOKUP($B116,Morning_Shift!$B$4:$BJ$61,MATCH(Both_Shift_Roster!AQ$2,Morning_Shift!$B$2:$BJ$2,0),0),""))</f>
        <v>14:30-22:00</v>
      </c>
      <c r="AR116" s="2" t="str">
        <f>IF(IFERROR(VLOOKUP($B116,Morning_Shift!$B$4:$BJ$61,MATCH(Both_Shift_Roster!AR$2,Morning_Shift!$B$2:$BJ$2,0),0),"")="",IFERROR(VLOOKUP($B116,Evening_Shift!$B$4:$BJ$62,MATCH(Both_Shift_Roster!AR$2,Evening_Shift!$B$2:$BJ$2,0),0),""),IFERROR(VLOOKUP($B116,Morning_Shift!$B$4:$BJ$61,MATCH(Both_Shift_Roster!AR$2,Morning_Shift!$B$2:$BJ$2,0),0),""))</f>
        <v>14:30-22:00</v>
      </c>
      <c r="AS116" s="2" t="str">
        <f>IF(IFERROR(VLOOKUP($B116,Morning_Shift!$B$4:$BJ$61,MATCH(Both_Shift_Roster!AS$2,Morning_Shift!$B$2:$BJ$2,0),0),"")="",IFERROR(VLOOKUP($B116,Evening_Shift!$B$4:$BJ$62,MATCH(Both_Shift_Roster!AS$2,Evening_Shift!$B$2:$BJ$2,0),0),""),IFERROR(VLOOKUP($B116,Morning_Shift!$B$4:$BJ$61,MATCH(Both_Shift_Roster!AS$2,Morning_Shift!$B$2:$BJ$2,0),0),""))</f>
        <v>14:30-22:00</v>
      </c>
      <c r="AT116" s="2" t="str">
        <f>IF(IFERROR(VLOOKUP($B116,Morning_Shift!$B$4:$BJ$61,MATCH(Both_Shift_Roster!AT$2,Morning_Shift!$B$2:$BJ$2,0),0),"")="",IFERROR(VLOOKUP($B116,Evening_Shift!$B$4:$BJ$62,MATCH(Both_Shift_Roster!AT$2,Evening_Shift!$B$2:$BJ$2,0),0),""),IFERROR(VLOOKUP($B116,Morning_Shift!$B$4:$BJ$61,MATCH(Both_Shift_Roster!AT$2,Morning_Shift!$B$2:$BJ$2,0),0),""))</f>
        <v>14:30-22:00</v>
      </c>
      <c r="AU116" s="2" t="str">
        <f>IF(IFERROR(VLOOKUP($B116,Morning_Shift!$B$4:$BJ$61,MATCH(Both_Shift_Roster!AU$2,Morning_Shift!$B$2:$BJ$2,0),0),"")="",IFERROR(VLOOKUP($B116,Evening_Shift!$B$4:$BJ$62,MATCH(Both_Shift_Roster!AU$2,Evening_Shift!$B$2:$BJ$2,0),0),""),IFERROR(VLOOKUP($B116,Morning_Shift!$B$4:$BJ$61,MATCH(Both_Shift_Roster!AU$2,Morning_Shift!$B$2:$BJ$2,0),0),""))</f>
        <v>Agent Choice WO</v>
      </c>
      <c r="AV116" s="2" t="str">
        <f>IF(IFERROR(VLOOKUP($B116,Morning_Shift!$B$4:$BJ$61,MATCH(Both_Shift_Roster!AV$2,Morning_Shift!$B$2:$BJ$2,0),0),"")="",IFERROR(VLOOKUP($B116,Evening_Shift!$B$4:$BJ$62,MATCH(Both_Shift_Roster!AV$2,Evening_Shift!$B$2:$BJ$2,0),0),""),IFERROR(VLOOKUP($B116,Morning_Shift!$B$4:$BJ$61,MATCH(Both_Shift_Roster!AV$2,Morning_Shift!$B$2:$BJ$2,0),0),""))</f>
        <v>Agent Choice WO</v>
      </c>
      <c r="AW116" s="2" t="str">
        <f>IF(IFERROR(VLOOKUP($B116,Morning_Shift!$B$4:$BJ$61,MATCH(Both_Shift_Roster!AW$2,Morning_Shift!$B$2:$BJ$2,0),0),"")="",IFERROR(VLOOKUP($B116,Evening_Shift!$B$4:$BJ$62,MATCH(Both_Shift_Roster!AW$2,Evening_Shift!$B$2:$BJ$2,0),0),""),IFERROR(VLOOKUP($B116,Morning_Shift!$B$4:$BJ$61,MATCH(Both_Shift_Roster!AW$2,Morning_Shift!$B$2:$BJ$2,0),0),""))</f>
        <v>14:30-22:00</v>
      </c>
      <c r="AX116" s="2">
        <f t="shared" si="56"/>
        <v>2</v>
      </c>
      <c r="AY116" s="2">
        <f t="shared" si="57"/>
        <v>0</v>
      </c>
      <c r="AZ116" s="2">
        <f t="shared" si="58"/>
        <v>0</v>
      </c>
      <c r="BA116" s="2">
        <f t="shared" si="59"/>
        <v>0</v>
      </c>
      <c r="BB116" s="2">
        <f t="shared" si="60"/>
        <v>0</v>
      </c>
      <c r="BC116" s="2" t="str">
        <f>IF(IFERROR(VLOOKUP($B116,Morning_Shift!$B$4:$BJ$61,MATCH(Both_Shift_Roster!BC$2,Morning_Shift!$B$2:$BJ$2,0),0),"")="",IFERROR(VLOOKUP($B116,Evening_Shift!$B$4:$BJ$62,MATCH(Both_Shift_Roster!BC$2,Evening_Shift!$B$2:$BJ$2,0),0),""),IFERROR(VLOOKUP($B116,Morning_Shift!$B$4:$BJ$61,MATCH(Both_Shift_Roster!BC$2,Morning_Shift!$B$2:$BJ$2,0),0),""))</f>
        <v>14:30-22:00</v>
      </c>
      <c r="BD116" s="2" t="str">
        <f>IF(IFERROR(VLOOKUP($B116,Morning_Shift!$B$4:$BJ$61,MATCH(Both_Shift_Roster!BD$2,Morning_Shift!$B$2:$BJ$2,0),0),"")="",IFERROR(VLOOKUP($B116,Evening_Shift!$B$4:$BJ$62,MATCH(Both_Shift_Roster!BD$2,Evening_Shift!$B$2:$BJ$2,0),0),""),IFERROR(VLOOKUP($B116,Morning_Shift!$B$4:$BJ$61,MATCH(Both_Shift_Roster!BD$2,Morning_Shift!$B$2:$BJ$2,0),0),""))</f>
        <v>14:30-22:00</v>
      </c>
      <c r="BE116" s="2" t="str">
        <f>IF(IFERROR(VLOOKUP($B116,Morning_Shift!$B$4:$BJ$61,MATCH(Both_Shift_Roster!BE$2,Morning_Shift!$B$2:$BJ$2,0),0),"")="",IFERROR(VLOOKUP($B116,Evening_Shift!$B$4:$BJ$59,MATCH(Both_Shift_Roster!BE$2,Evening_Shift!$B$2:$BJ$2,0),0),""),IFERROR(VLOOKUP($B116,Morning_Shift!$B$4:$BJ$61,MATCH(Both_Shift_Roster!BE$2,Morning_Shift!$B$2:$BJ$2,0),0),""))</f>
        <v>14:30-22:00</v>
      </c>
      <c r="BF116" s="2">
        <f t="shared" si="61"/>
        <v>0</v>
      </c>
      <c r="BG116" s="2">
        <f t="shared" si="62"/>
        <v>0</v>
      </c>
      <c r="BH116" s="2">
        <f t="shared" si="63"/>
        <v>0</v>
      </c>
      <c r="BI116" s="2">
        <f t="shared" si="64"/>
        <v>0</v>
      </c>
      <c r="BJ116" s="2">
        <f t="shared" si="65"/>
        <v>0</v>
      </c>
    </row>
    <row r="117" spans="1:62" ht="15" customHeight="1">
      <c r="A117" s="17">
        <f t="shared" si="66"/>
        <v>114</v>
      </c>
      <c r="B117" s="16" t="str">
        <f>Evening_Shift!$B59</f>
        <v>Dritm172</v>
      </c>
      <c r="C117" s="21" t="str">
        <f>IF(IFERROR(VLOOKUP(B117,Morning_Shift!B:C,2,0),"")="",IFERROR(VLOOKUP(B117,Evening_Shift!B:C,2,0),""),IFERROR(VLOOKUP(B117,Morning_Shift!B:C,2,0),""))</f>
        <v>Dixha</v>
      </c>
      <c r="D117" s="15" t="str">
        <f>IF(IFERROR(VLOOKUP(B117,Morning_Shift!B:D,3,0),"")="",IFERROR(VLOOKUP(B117,Evening_Shift!B:D,3,0),""),IFERROR(VLOOKUP(B117,Morning_Shift!B:D,3,0),""))</f>
        <v xml:space="preserve">Sanjesh </v>
      </c>
      <c r="E117" s="4" t="str">
        <f>IF(IFERROR(VLOOKUP(B117,Morning_Shift!B:E,4,0),"")="",IFERROR(VLOOKUP(B117,Evening_Shift!B:E,4,0),""),IFERROR(VLOOKUP(B117,Morning_Shift!B:E,4,0),""))</f>
        <v>F</v>
      </c>
      <c r="F117" s="5" t="str">
        <f>IF(IFERROR(VLOOKUP(B117,Morning_Shift!B:F,5,0),"")="",IFERROR(VLOOKUP(B117,Evening_Shift!B:F,5,0),""),IFERROR(VLOOKUP(B117,Morning_Shift!B:F,5,0),""))</f>
        <v>Inbound</v>
      </c>
      <c r="G117" s="2">
        <f>IF(IFERROR(VLOOKUP($B117,Morning_Shift!$B$4:$BJ$61,MATCH(Both_Shift_Roster!G$2,Morning_Shift!$B$2:$BJ$2,0),0),"")="",IFERROR(VLOOKUP($B117,Evening_Shift!$B$4:$BJ$62,MATCH(Both_Shift_Roster!G$2,Evening_Shift!$B$2:$BJ$2,0),0),""),IFERROR(VLOOKUP($B117,Morning_Shift!$B$4:$BJ$61,MATCH(Both_Shift_Roster!G$2,Morning_Shift!$B$2:$BJ$2,0),0),""))</f>
        <v>0</v>
      </c>
      <c r="H117" s="2">
        <f>IF(IFERROR(VLOOKUP($B117,Morning_Shift!$B$4:$BJ$61,MATCH(Both_Shift_Roster!H$2,Morning_Shift!$B$2:$BJ$2,0),0),"")="",IFERROR(VLOOKUP($B117,Evening_Shift!$B$4:$BJ$62,MATCH(Both_Shift_Roster!H$2,Evening_Shift!$B$2:$BJ$2,0),0),""),IFERROR(VLOOKUP($B117,Morning_Shift!$B$4:$BJ$61,MATCH(Both_Shift_Roster!H$2,Morning_Shift!$B$2:$BJ$2,0),0),""))</f>
        <v>0</v>
      </c>
      <c r="I117" s="2">
        <f>IF(IFERROR(VLOOKUP($B117,Morning_Shift!$B$4:$BJ$61,MATCH(Both_Shift_Roster!I$2,Morning_Shift!$B$2:$BJ$2,0),0),"")="",IFERROR(VLOOKUP($B117,Evening_Shift!$B$4:$BJ$62,MATCH(Both_Shift_Roster!I$2,Evening_Shift!$B$2:$BJ$2,0),0),""),IFERROR(VLOOKUP($B117,Morning_Shift!$B$4:$BJ$61,MATCH(Both_Shift_Roster!I$2,Morning_Shift!$B$2:$BJ$2,0),0),""))</f>
        <v>0</v>
      </c>
      <c r="J117" s="2">
        <f>IF(IFERROR(VLOOKUP($B117,Morning_Shift!$B$4:$BJ$61,MATCH(Both_Shift_Roster!J$2,Morning_Shift!$B$2:$BJ$2,0),0),"")="",IFERROR(VLOOKUP($B117,Evening_Shift!$B$4:$BJ$62,MATCH(Both_Shift_Roster!J$2,Evening_Shift!$B$2:$BJ$2,0),0),""),IFERROR(VLOOKUP($B117,Morning_Shift!$B$4:$BJ$61,MATCH(Both_Shift_Roster!J$2,Morning_Shift!$B$2:$BJ$2,0),0),""))</f>
        <v>0</v>
      </c>
      <c r="K117" s="2">
        <f>IF(IFERROR(VLOOKUP($B117,Morning_Shift!$B$4:$BJ$61,MATCH(Both_Shift_Roster!K$2,Morning_Shift!$B$2:$BJ$2,0),0),"")="",IFERROR(VLOOKUP($B117,Evening_Shift!$B$4:$BJ$62,MATCH(Both_Shift_Roster!K$2,Evening_Shift!$B$2:$BJ$2,0),0),""),IFERROR(VLOOKUP($B117,Morning_Shift!$B$4:$BJ$61,MATCH(Both_Shift_Roster!K$2,Morning_Shift!$B$2:$BJ$2,0),0),""))</f>
        <v>0</v>
      </c>
      <c r="L117" s="2" t="str">
        <f>IF(IFERROR(VLOOKUP($B117,Morning_Shift!$B$4:$BJ$61,MATCH(Both_Shift_Roster!L$2,Morning_Shift!$B$2:$BJ$2,0),0),"")="",IFERROR(VLOOKUP($B117,Evening_Shift!$B$4:$BJ$62,MATCH(Both_Shift_Roster!L$2,Evening_Shift!$B$2:$BJ$2,0),0),""),IFERROR(VLOOKUP($B117,Morning_Shift!$B$4:$BJ$61,MATCH(Both_Shift_Roster!L$2,Morning_Shift!$B$2:$BJ$2,0),0),""))</f>
        <v>14:30-22:00</v>
      </c>
      <c r="M117" s="2" t="str">
        <f>IF(IFERROR(VLOOKUP($B117,Morning_Shift!$B$4:$BJ$61,MATCH(Both_Shift_Roster!M$2,Morning_Shift!$B$2:$BJ$2,0),0),"")="",IFERROR(VLOOKUP($B117,Evening_Shift!$B$4:$BJ$62,MATCH(Both_Shift_Roster!M$2,Evening_Shift!$B$2:$BJ$2,0),0),""),IFERROR(VLOOKUP($B117,Morning_Shift!$B$4:$BJ$61,MATCH(Both_Shift_Roster!M$2,Morning_Shift!$B$2:$BJ$2,0),0),""))</f>
        <v>14:30-22:00</v>
      </c>
      <c r="N117" s="2">
        <f t="shared" si="41"/>
        <v>0</v>
      </c>
      <c r="O117" s="2">
        <f t="shared" si="42"/>
        <v>0</v>
      </c>
      <c r="P117" s="2">
        <f t="shared" si="43"/>
        <v>0</v>
      </c>
      <c r="Q117" s="2">
        <f t="shared" si="44"/>
        <v>0</v>
      </c>
      <c r="R117" s="2">
        <f t="shared" si="45"/>
        <v>0</v>
      </c>
      <c r="S117" s="2" t="str">
        <f>IF(IFERROR(VLOOKUP($B117,Morning_Shift!$B$4:$BJ$61,MATCH(Both_Shift_Roster!S$2,Morning_Shift!$B$2:$BJ$2,0),0),"")="",IFERROR(VLOOKUP($B117,Evening_Shift!$B$4:$BJ$62,MATCH(Both_Shift_Roster!S$2,Evening_Shift!$B$2:$BJ$2,0),0),""),IFERROR(VLOOKUP($B117,Morning_Shift!$B$4:$BJ$61,MATCH(Both_Shift_Roster!S$2,Morning_Shift!$B$2:$BJ$2,0),0),""))</f>
        <v>14:30-22:00</v>
      </c>
      <c r="T117" s="2" t="str">
        <f>IF(IFERROR(VLOOKUP($B117,Morning_Shift!$B$4:$BJ$61,MATCH(Both_Shift_Roster!T$2,Morning_Shift!$B$2:$BJ$2,0),0),"")="",IFERROR(VLOOKUP($B117,Evening_Shift!$B$4:$BJ$62,MATCH(Both_Shift_Roster!T$2,Evening_Shift!$B$2:$BJ$2,0),0),""),IFERROR(VLOOKUP($B117,Morning_Shift!$B$4:$BJ$61,MATCH(Both_Shift_Roster!T$2,Morning_Shift!$B$2:$BJ$2,0),0),""))</f>
        <v>14:30-22:00</v>
      </c>
      <c r="U117" s="2" t="str">
        <f>IF(IFERROR(VLOOKUP($B117,Morning_Shift!$B$4:$BJ$61,MATCH(Both_Shift_Roster!U$2,Morning_Shift!$B$2:$BJ$2,0),0),"")="",IFERROR(VLOOKUP($B117,Evening_Shift!$B$4:$BJ$62,MATCH(Both_Shift_Roster!U$2,Evening_Shift!$B$2:$BJ$2,0),0),""),IFERROR(VLOOKUP($B117,Morning_Shift!$B$4:$BJ$61,MATCH(Both_Shift_Roster!U$2,Morning_Shift!$B$2:$BJ$2,0),0),""))</f>
        <v>14:30-22:00</v>
      </c>
      <c r="V117" s="2" t="str">
        <f>IF(IFERROR(VLOOKUP($B117,Morning_Shift!$B$4:$BJ$61,MATCH(Both_Shift_Roster!V$2,Morning_Shift!$B$2:$BJ$2,0),0),"")="",IFERROR(VLOOKUP($B117,Evening_Shift!$B$4:$BJ$62,MATCH(Both_Shift_Roster!V$2,Evening_Shift!$B$2:$BJ$2,0),0),""),IFERROR(VLOOKUP($B117,Morning_Shift!$B$4:$BJ$61,MATCH(Both_Shift_Roster!V$2,Morning_Shift!$B$2:$BJ$2,0),0),""))</f>
        <v>14:30-22:00</v>
      </c>
      <c r="W117" s="2" t="str">
        <f>IF(IFERROR(VLOOKUP($B117,Morning_Shift!$B$4:$BJ$61,MATCH(Both_Shift_Roster!W$2,Morning_Shift!$B$2:$BJ$2,0),0),"")="",IFERROR(VLOOKUP($B117,Evening_Shift!$B$4:$BJ$62,MATCH(Both_Shift_Roster!W$2,Evening_Shift!$B$2:$BJ$2,0),0),""),IFERROR(VLOOKUP($B117,Morning_Shift!$B$4:$BJ$61,MATCH(Both_Shift_Roster!W$2,Morning_Shift!$B$2:$BJ$2,0),0),""))</f>
        <v>14:30-22:00</v>
      </c>
      <c r="X117" s="2" t="str">
        <f>IF(IFERROR(VLOOKUP($B117,Morning_Shift!$B$4:$BJ$61,MATCH(Both_Shift_Roster!X$2,Morning_Shift!$B$2:$BJ$2,0),0),"")="",IFERROR(VLOOKUP($B117,Evening_Shift!$B$4:$BJ$62,MATCH(Both_Shift_Roster!X$2,Evening_Shift!$B$2:$BJ$2,0),0),""),IFERROR(VLOOKUP($B117,Morning_Shift!$B$4:$BJ$61,MATCH(Both_Shift_Roster!X$2,Morning_Shift!$B$2:$BJ$2,0),0),""))</f>
        <v>14:30-22:00</v>
      </c>
      <c r="Y117" s="2" t="str">
        <f>IF(IFERROR(VLOOKUP($B117,Morning_Shift!$B$4:$BJ$61,MATCH(Both_Shift_Roster!Y$2,Morning_Shift!$B$2:$BJ$2,0),0),"")="",IFERROR(VLOOKUP($B117,Evening_Shift!$B$4:$BJ$62,MATCH(Both_Shift_Roster!Y$2,Evening_Shift!$B$2:$BJ$2,0),0),""),IFERROR(VLOOKUP($B117,Morning_Shift!$B$4:$BJ$61,MATCH(Both_Shift_Roster!Y$2,Morning_Shift!$B$2:$BJ$2,0),0),""))</f>
        <v>14:30-22:00</v>
      </c>
      <c r="Z117" s="2">
        <f t="shared" si="46"/>
        <v>0</v>
      </c>
      <c r="AA117" s="2">
        <f t="shared" si="47"/>
        <v>0</v>
      </c>
      <c r="AB117" s="2">
        <f t="shared" si="48"/>
        <v>0</v>
      </c>
      <c r="AC117" s="2">
        <f t="shared" si="49"/>
        <v>0</v>
      </c>
      <c r="AD117" s="2">
        <f t="shared" si="50"/>
        <v>0</v>
      </c>
      <c r="AE117" s="2" t="str">
        <f>IF(IFERROR(VLOOKUP($B117,Morning_Shift!$B$4:$BJ$61,MATCH(Both_Shift_Roster!AE$2,Morning_Shift!$B$2:$BJ$2,0),0),"")="",IFERROR(VLOOKUP($B117,Evening_Shift!$B$4:$BJ$62,MATCH(Both_Shift_Roster!AE$2,Evening_Shift!$B$2:$BJ$2,0),0),""),IFERROR(VLOOKUP($B117,Morning_Shift!$B$4:$BJ$61,MATCH(Both_Shift_Roster!AE$2,Morning_Shift!$B$2:$BJ$2,0),0),""))</f>
        <v>Agent Choice WO</v>
      </c>
      <c r="AF117" s="2" t="str">
        <f>IF(IFERROR(VLOOKUP($B117,Morning_Shift!$B$4:$BJ$61,MATCH(Both_Shift_Roster!AF$2,Morning_Shift!$B$2:$BJ$2,0),0),"")="",IFERROR(VLOOKUP($B117,Evening_Shift!$B$4:$BJ$62,MATCH(Both_Shift_Roster!AF$2,Evening_Shift!$B$2:$BJ$2,0),0),""),IFERROR(VLOOKUP($B117,Morning_Shift!$B$4:$BJ$61,MATCH(Both_Shift_Roster!AF$2,Morning_Shift!$B$2:$BJ$2,0),0),""))</f>
        <v>14:30-22:00</v>
      </c>
      <c r="AG117" s="2" t="str">
        <f>IF(IFERROR(VLOOKUP($B117,Morning_Shift!$B$4:$BJ$61,MATCH(Both_Shift_Roster!AG$2,Morning_Shift!$B$2:$BJ$2,0),0),"")="",IFERROR(VLOOKUP($B117,Evening_Shift!$B$4:$BJ$62,MATCH(Both_Shift_Roster!AG$2,Evening_Shift!$B$2:$BJ$2,0),0),""),IFERROR(VLOOKUP($B117,Morning_Shift!$B$4:$BJ$61,MATCH(Both_Shift_Roster!AG$2,Morning_Shift!$B$2:$BJ$2,0),0),""))</f>
        <v>14:30-22:00</v>
      </c>
      <c r="AH117" s="2" t="str">
        <f>IF(IFERROR(VLOOKUP($B117,Morning_Shift!$B$4:$BJ$61,MATCH(Both_Shift_Roster!AH$2,Morning_Shift!$B$2:$BJ$2,0),0),"")="",IFERROR(VLOOKUP($B117,Evening_Shift!$B$4:$BJ$62,MATCH(Both_Shift_Roster!AH$2,Evening_Shift!$B$2:$BJ$2,0),0),""),IFERROR(VLOOKUP($B117,Morning_Shift!$B$4:$BJ$61,MATCH(Both_Shift_Roster!AH$2,Morning_Shift!$B$2:$BJ$2,0),0),""))</f>
        <v>14:30-22:00</v>
      </c>
      <c r="AI117" s="2" t="str">
        <f>IF(IFERROR(VLOOKUP($B117,Morning_Shift!$B$4:$BJ$61,MATCH(Both_Shift_Roster!AI$2,Morning_Shift!$B$2:$BJ$2,0),0),"")="",IFERROR(VLOOKUP($B117,Evening_Shift!$B$4:$BJ$62,MATCH(Both_Shift_Roster!AI$2,Evening_Shift!$B$2:$BJ$2,0),0),""),IFERROR(VLOOKUP($B117,Morning_Shift!$B$4:$BJ$61,MATCH(Both_Shift_Roster!AI$2,Morning_Shift!$B$2:$BJ$2,0),0),""))</f>
        <v>14:30-22:00</v>
      </c>
      <c r="AJ117" s="2" t="str">
        <f>IF(IFERROR(VLOOKUP($B117,Morning_Shift!$B$4:$BJ$61,MATCH(Both_Shift_Roster!AJ$2,Morning_Shift!$B$2:$BJ$2,0),0),"")="",IFERROR(VLOOKUP($B117,Evening_Shift!$B$4:$BJ$62,MATCH(Both_Shift_Roster!AJ$2,Evening_Shift!$B$2:$BJ$2,0),0),""),IFERROR(VLOOKUP($B117,Morning_Shift!$B$4:$BJ$61,MATCH(Both_Shift_Roster!AJ$2,Morning_Shift!$B$2:$BJ$2,0),0),""))</f>
        <v>14:30-22:00</v>
      </c>
      <c r="AK117" s="2" t="str">
        <f>IF(IFERROR(VLOOKUP($B117,Morning_Shift!$B$4:$BJ$61,MATCH(Both_Shift_Roster!AK$2,Morning_Shift!$B$2:$BJ$2,0),0),"")="",IFERROR(VLOOKUP($B117,Evening_Shift!$B$4:$BJ$62,MATCH(Both_Shift_Roster!AK$2,Evening_Shift!$B$2:$BJ$2,0),0),""),IFERROR(VLOOKUP($B117,Morning_Shift!$B$4:$BJ$61,MATCH(Both_Shift_Roster!AK$2,Morning_Shift!$B$2:$BJ$2,0),0),""))</f>
        <v>14:30-22:00</v>
      </c>
      <c r="AL117" s="2">
        <f t="shared" si="51"/>
        <v>1</v>
      </c>
      <c r="AM117" s="2">
        <f t="shared" si="52"/>
        <v>0</v>
      </c>
      <c r="AN117" s="2">
        <f t="shared" si="53"/>
        <v>0</v>
      </c>
      <c r="AO117" s="2">
        <f t="shared" si="54"/>
        <v>0</v>
      </c>
      <c r="AP117" s="2">
        <f t="shared" si="55"/>
        <v>0</v>
      </c>
      <c r="AQ117" s="2" t="str">
        <f>IF(IFERROR(VLOOKUP($B117,Morning_Shift!$B$4:$BJ$61,MATCH(Both_Shift_Roster!AQ$2,Morning_Shift!$B$2:$BJ$2,0),0),"")="",IFERROR(VLOOKUP($B117,Evening_Shift!$B$4:$BJ$62,MATCH(Both_Shift_Roster!AQ$2,Evening_Shift!$B$2:$BJ$2,0),0),""),IFERROR(VLOOKUP($B117,Morning_Shift!$B$4:$BJ$61,MATCH(Both_Shift_Roster!AQ$2,Morning_Shift!$B$2:$BJ$2,0),0),""))</f>
        <v>14:30-22:00</v>
      </c>
      <c r="AR117" s="2" t="str">
        <f>IF(IFERROR(VLOOKUP($B117,Morning_Shift!$B$4:$BJ$61,MATCH(Both_Shift_Roster!AR$2,Morning_Shift!$B$2:$BJ$2,0),0),"")="",IFERROR(VLOOKUP($B117,Evening_Shift!$B$4:$BJ$62,MATCH(Both_Shift_Roster!AR$2,Evening_Shift!$B$2:$BJ$2,0),0),""),IFERROR(VLOOKUP($B117,Morning_Shift!$B$4:$BJ$61,MATCH(Both_Shift_Roster!AR$2,Morning_Shift!$B$2:$BJ$2,0),0),""))</f>
        <v>14:30-22:00</v>
      </c>
      <c r="AS117" s="2" t="str">
        <f>IF(IFERROR(VLOOKUP($B117,Morning_Shift!$B$4:$BJ$61,MATCH(Both_Shift_Roster!AS$2,Morning_Shift!$B$2:$BJ$2,0),0),"")="",IFERROR(VLOOKUP($B117,Evening_Shift!$B$4:$BJ$62,MATCH(Both_Shift_Roster!AS$2,Evening_Shift!$B$2:$BJ$2,0),0),""),IFERROR(VLOOKUP($B117,Morning_Shift!$B$4:$BJ$61,MATCH(Both_Shift_Roster!AS$2,Morning_Shift!$B$2:$BJ$2,0),0),""))</f>
        <v>14:30-22:00</v>
      </c>
      <c r="AT117" s="2" t="str">
        <f>IF(IFERROR(VLOOKUP($B117,Morning_Shift!$B$4:$BJ$61,MATCH(Both_Shift_Roster!AT$2,Morning_Shift!$B$2:$BJ$2,0),0),"")="",IFERROR(VLOOKUP($B117,Evening_Shift!$B$4:$BJ$62,MATCH(Both_Shift_Roster!AT$2,Evening_Shift!$B$2:$BJ$2,0),0),""),IFERROR(VLOOKUP($B117,Morning_Shift!$B$4:$BJ$61,MATCH(Both_Shift_Roster!AT$2,Morning_Shift!$B$2:$BJ$2,0),0),""))</f>
        <v>14:30-22:00</v>
      </c>
      <c r="AU117" s="2" t="str">
        <f>IF(IFERROR(VLOOKUP($B117,Morning_Shift!$B$4:$BJ$61,MATCH(Both_Shift_Roster!AU$2,Morning_Shift!$B$2:$BJ$2,0),0),"")="",IFERROR(VLOOKUP($B117,Evening_Shift!$B$4:$BJ$62,MATCH(Both_Shift_Roster!AU$2,Evening_Shift!$B$2:$BJ$2,0),0),""),IFERROR(VLOOKUP($B117,Morning_Shift!$B$4:$BJ$61,MATCH(Both_Shift_Roster!AU$2,Morning_Shift!$B$2:$BJ$2,0),0),""))</f>
        <v>14:30-22:00</v>
      </c>
      <c r="AV117" s="2" t="str">
        <f>IF(IFERROR(VLOOKUP($B117,Morning_Shift!$B$4:$BJ$61,MATCH(Both_Shift_Roster!AV$2,Morning_Shift!$B$2:$BJ$2,0),0),"")="",IFERROR(VLOOKUP($B117,Evening_Shift!$B$4:$BJ$62,MATCH(Both_Shift_Roster!AV$2,Evening_Shift!$B$2:$BJ$2,0),0),""),IFERROR(VLOOKUP($B117,Morning_Shift!$B$4:$BJ$61,MATCH(Both_Shift_Roster!AV$2,Morning_Shift!$B$2:$BJ$2,0),0),""))</f>
        <v>14:30-22:00</v>
      </c>
      <c r="AW117" s="2" t="str">
        <f>IF(IFERROR(VLOOKUP($B117,Morning_Shift!$B$4:$BJ$61,MATCH(Both_Shift_Roster!AW$2,Morning_Shift!$B$2:$BJ$2,0),0),"")="",IFERROR(VLOOKUP($B117,Evening_Shift!$B$4:$BJ$62,MATCH(Both_Shift_Roster!AW$2,Evening_Shift!$B$2:$BJ$2,0),0),""),IFERROR(VLOOKUP($B117,Morning_Shift!$B$4:$BJ$61,MATCH(Both_Shift_Roster!AW$2,Morning_Shift!$B$2:$BJ$2,0),0),""))</f>
        <v>14:30-22:00</v>
      </c>
      <c r="AX117" s="2">
        <f t="shared" si="56"/>
        <v>0</v>
      </c>
      <c r="AY117" s="2">
        <f t="shared" si="57"/>
        <v>0</v>
      </c>
      <c r="AZ117" s="2">
        <f t="shared" si="58"/>
        <v>0</v>
      </c>
      <c r="BA117" s="2">
        <f t="shared" si="59"/>
        <v>0</v>
      </c>
      <c r="BB117" s="2">
        <f t="shared" si="60"/>
        <v>0</v>
      </c>
      <c r="BC117" s="2" t="str">
        <f>IF(IFERROR(VLOOKUP($B117,Morning_Shift!$B$4:$BJ$61,MATCH(Both_Shift_Roster!BC$2,Morning_Shift!$B$2:$BJ$2,0),0),"")="",IFERROR(VLOOKUP($B117,Evening_Shift!$B$4:$BJ$62,MATCH(Both_Shift_Roster!BC$2,Evening_Shift!$B$2:$BJ$2,0),0),""),IFERROR(VLOOKUP($B117,Morning_Shift!$B$4:$BJ$61,MATCH(Both_Shift_Roster!BC$2,Morning_Shift!$B$2:$BJ$2,0),0),""))</f>
        <v>Agent Choice WO</v>
      </c>
      <c r="BD117" s="2" t="str">
        <f>IF(IFERROR(VLOOKUP($B117,Morning_Shift!$B$4:$BJ$61,MATCH(Both_Shift_Roster!BD$2,Morning_Shift!$B$2:$BJ$2,0),0),"")="",IFERROR(VLOOKUP($B117,Evening_Shift!$B$4:$BJ$62,MATCH(Both_Shift_Roster!BD$2,Evening_Shift!$B$2:$BJ$2,0),0),""),IFERROR(VLOOKUP($B117,Morning_Shift!$B$4:$BJ$61,MATCH(Both_Shift_Roster!BD$2,Morning_Shift!$B$2:$BJ$2,0),0),""))</f>
        <v>Agent Choice WO</v>
      </c>
      <c r="BE117" s="2" t="str">
        <f>IF(IFERROR(VLOOKUP($B117,Morning_Shift!$B$4:$BJ$61,MATCH(Both_Shift_Roster!BE$2,Morning_Shift!$B$2:$BJ$2,0),0),"")="",IFERROR(VLOOKUP($B117,Evening_Shift!$B$4:$BJ$59,MATCH(Both_Shift_Roster!BE$2,Evening_Shift!$B$2:$BJ$2,0),0),""),IFERROR(VLOOKUP($B117,Morning_Shift!$B$4:$BJ$61,MATCH(Both_Shift_Roster!BE$2,Morning_Shift!$B$2:$BJ$2,0),0),""))</f>
        <v>14:30-22:00</v>
      </c>
      <c r="BF117" s="2">
        <f t="shared" si="61"/>
        <v>2</v>
      </c>
      <c r="BG117" s="2">
        <f t="shared" si="62"/>
        <v>0</v>
      </c>
      <c r="BH117" s="2">
        <f t="shared" si="63"/>
        <v>0</v>
      </c>
      <c r="BI117" s="2">
        <f t="shared" si="64"/>
        <v>0</v>
      </c>
      <c r="BJ117" s="2">
        <f t="shared" si="65"/>
        <v>0</v>
      </c>
    </row>
    <row r="118" spans="1:62" ht="15" customHeight="1">
      <c r="A118" s="17">
        <f t="shared" si="66"/>
        <v>115</v>
      </c>
      <c r="B118" s="16" t="str">
        <f>Evening_Shift!$B60</f>
        <v>Dritm174</v>
      </c>
      <c r="C118" s="21" t="str">
        <f>IF(IFERROR(VLOOKUP(B118,Morning_Shift!B:C,2,0),"")="",IFERROR(VLOOKUP(B118,Evening_Shift!B:C,2,0),""),IFERROR(VLOOKUP(B118,Morning_Shift!B:C,2,0),""))</f>
        <v>Kritika</v>
      </c>
      <c r="D118" s="15" t="str">
        <f>IF(IFERROR(VLOOKUP(B118,Morning_Shift!B:D,3,0),"")="",IFERROR(VLOOKUP(B118,Evening_Shift!B:D,3,0),""),IFERROR(VLOOKUP(B118,Morning_Shift!B:D,3,0),""))</f>
        <v xml:space="preserve">Sanjesh </v>
      </c>
      <c r="E118" s="4" t="str">
        <f>IF(IFERROR(VLOOKUP(B118,Morning_Shift!B:E,4,0),"")="",IFERROR(VLOOKUP(B118,Evening_Shift!B:E,4,0),""),IFERROR(VLOOKUP(B118,Morning_Shift!B:E,4,0),""))</f>
        <v>F</v>
      </c>
      <c r="F118" s="5" t="str">
        <f>IF(IFERROR(VLOOKUP(B118,Morning_Shift!B:F,5,0),"")="",IFERROR(VLOOKUP(B118,Evening_Shift!B:F,5,0),""),IFERROR(VLOOKUP(B118,Morning_Shift!B:F,5,0),""))</f>
        <v>Inbound</v>
      </c>
      <c r="G118" s="2">
        <f>IF(IFERROR(VLOOKUP($B118,Morning_Shift!$B$4:$BJ$61,MATCH(Both_Shift_Roster!G$2,Morning_Shift!$B$2:$BJ$2,0),0),"")="",IFERROR(VLOOKUP($B118,Evening_Shift!$B$4:$BJ$62,MATCH(Both_Shift_Roster!G$2,Evening_Shift!$B$2:$BJ$2,0),0),""),IFERROR(VLOOKUP($B118,Morning_Shift!$B$4:$BJ$61,MATCH(Both_Shift_Roster!G$2,Morning_Shift!$B$2:$BJ$2,0),0),""))</f>
        <v>0</v>
      </c>
      <c r="H118" s="2">
        <f>IF(IFERROR(VLOOKUP($B118,Morning_Shift!$B$4:$BJ$61,MATCH(Both_Shift_Roster!H$2,Morning_Shift!$B$2:$BJ$2,0),0),"")="",IFERROR(VLOOKUP($B118,Evening_Shift!$B$4:$BJ$62,MATCH(Both_Shift_Roster!H$2,Evening_Shift!$B$2:$BJ$2,0),0),""),IFERROR(VLOOKUP($B118,Morning_Shift!$B$4:$BJ$61,MATCH(Both_Shift_Roster!H$2,Morning_Shift!$B$2:$BJ$2,0),0),""))</f>
        <v>0</v>
      </c>
      <c r="I118" s="2">
        <f>IF(IFERROR(VLOOKUP($B118,Morning_Shift!$B$4:$BJ$61,MATCH(Both_Shift_Roster!I$2,Morning_Shift!$B$2:$BJ$2,0),0),"")="",IFERROR(VLOOKUP($B118,Evening_Shift!$B$4:$BJ$62,MATCH(Both_Shift_Roster!I$2,Evening_Shift!$B$2:$BJ$2,0),0),""),IFERROR(VLOOKUP($B118,Morning_Shift!$B$4:$BJ$61,MATCH(Both_Shift_Roster!I$2,Morning_Shift!$B$2:$BJ$2,0),0),""))</f>
        <v>0</v>
      </c>
      <c r="J118" s="2">
        <f>IF(IFERROR(VLOOKUP($B118,Morning_Shift!$B$4:$BJ$61,MATCH(Both_Shift_Roster!J$2,Morning_Shift!$B$2:$BJ$2,0),0),"")="",IFERROR(VLOOKUP($B118,Evening_Shift!$B$4:$BJ$62,MATCH(Both_Shift_Roster!J$2,Evening_Shift!$B$2:$BJ$2,0),0),""),IFERROR(VLOOKUP($B118,Morning_Shift!$B$4:$BJ$61,MATCH(Both_Shift_Roster!J$2,Morning_Shift!$B$2:$BJ$2,0),0),""))</f>
        <v>0</v>
      </c>
      <c r="K118" s="2">
        <f>IF(IFERROR(VLOOKUP($B118,Morning_Shift!$B$4:$BJ$61,MATCH(Both_Shift_Roster!K$2,Morning_Shift!$B$2:$BJ$2,0),0),"")="",IFERROR(VLOOKUP($B118,Evening_Shift!$B$4:$BJ$62,MATCH(Both_Shift_Roster!K$2,Evening_Shift!$B$2:$BJ$2,0),0),""),IFERROR(VLOOKUP($B118,Morning_Shift!$B$4:$BJ$61,MATCH(Both_Shift_Roster!K$2,Morning_Shift!$B$2:$BJ$2,0),0),""))</f>
        <v>0</v>
      </c>
      <c r="L118" s="2">
        <f>IF(IFERROR(VLOOKUP($B118,Morning_Shift!$B$4:$BJ$61,MATCH(Both_Shift_Roster!L$2,Morning_Shift!$B$2:$BJ$2,0),0),"")="",IFERROR(VLOOKUP($B118,Evening_Shift!$B$4:$BJ$62,MATCH(Both_Shift_Roster!L$2,Evening_Shift!$B$2:$BJ$2,0),0),""),IFERROR(VLOOKUP($B118,Morning_Shift!$B$4:$BJ$61,MATCH(Both_Shift_Roster!L$2,Morning_Shift!$B$2:$BJ$2,0),0),""))</f>
        <v>0</v>
      </c>
      <c r="M118" s="2">
        <f>IF(IFERROR(VLOOKUP($B118,Morning_Shift!$B$4:$BJ$61,MATCH(Both_Shift_Roster!M$2,Morning_Shift!$B$2:$BJ$2,0),0),"")="",IFERROR(VLOOKUP($B118,Evening_Shift!$B$4:$BJ$62,MATCH(Both_Shift_Roster!M$2,Evening_Shift!$B$2:$BJ$2,0),0),""),IFERROR(VLOOKUP($B118,Morning_Shift!$B$4:$BJ$61,MATCH(Both_Shift_Roster!M$2,Morning_Shift!$B$2:$BJ$2,0),0),""))</f>
        <v>0</v>
      </c>
      <c r="N118" s="2">
        <f t="shared" si="41"/>
        <v>0</v>
      </c>
      <c r="O118" s="2">
        <f t="shared" si="42"/>
        <v>0</v>
      </c>
      <c r="P118" s="2">
        <f t="shared" si="43"/>
        <v>0</v>
      </c>
      <c r="Q118" s="2">
        <f t="shared" si="44"/>
        <v>0</v>
      </c>
      <c r="R118" s="2">
        <f t="shared" si="45"/>
        <v>0</v>
      </c>
      <c r="S118" s="2">
        <f>IF(IFERROR(VLOOKUP($B118,Morning_Shift!$B$4:$BJ$61,MATCH(Both_Shift_Roster!S$2,Morning_Shift!$B$2:$BJ$2,0),0),"")="",IFERROR(VLOOKUP($B118,Evening_Shift!$B$4:$BJ$62,MATCH(Both_Shift_Roster!S$2,Evening_Shift!$B$2:$BJ$2,0),0),""),IFERROR(VLOOKUP($B118,Morning_Shift!$B$4:$BJ$61,MATCH(Both_Shift_Roster!S$2,Morning_Shift!$B$2:$BJ$2,0),0),""))</f>
        <v>0</v>
      </c>
      <c r="T118" s="2">
        <f>IF(IFERROR(VLOOKUP($B118,Morning_Shift!$B$4:$BJ$61,MATCH(Both_Shift_Roster!T$2,Morning_Shift!$B$2:$BJ$2,0),0),"")="",IFERROR(VLOOKUP($B118,Evening_Shift!$B$4:$BJ$62,MATCH(Both_Shift_Roster!T$2,Evening_Shift!$B$2:$BJ$2,0),0),""),IFERROR(VLOOKUP($B118,Morning_Shift!$B$4:$BJ$61,MATCH(Both_Shift_Roster!T$2,Morning_Shift!$B$2:$BJ$2,0),0),""))</f>
        <v>0</v>
      </c>
      <c r="U118" s="2">
        <f>IF(IFERROR(VLOOKUP($B118,Morning_Shift!$B$4:$BJ$61,MATCH(Both_Shift_Roster!U$2,Morning_Shift!$B$2:$BJ$2,0),0),"")="",IFERROR(VLOOKUP($B118,Evening_Shift!$B$4:$BJ$62,MATCH(Both_Shift_Roster!U$2,Evening_Shift!$B$2:$BJ$2,0),0),""),IFERROR(VLOOKUP($B118,Morning_Shift!$B$4:$BJ$61,MATCH(Both_Shift_Roster!U$2,Morning_Shift!$B$2:$BJ$2,0),0),""))</f>
        <v>0</v>
      </c>
      <c r="V118" s="2">
        <f>IF(IFERROR(VLOOKUP($B118,Morning_Shift!$B$4:$BJ$61,MATCH(Both_Shift_Roster!V$2,Morning_Shift!$B$2:$BJ$2,0),0),"")="",IFERROR(VLOOKUP($B118,Evening_Shift!$B$4:$BJ$62,MATCH(Both_Shift_Roster!V$2,Evening_Shift!$B$2:$BJ$2,0),0),""),IFERROR(VLOOKUP($B118,Morning_Shift!$B$4:$BJ$61,MATCH(Both_Shift_Roster!V$2,Morning_Shift!$B$2:$BJ$2,0),0),""))</f>
        <v>0</v>
      </c>
      <c r="W118" s="2" t="str">
        <f>IF(IFERROR(VLOOKUP($B118,Morning_Shift!$B$4:$BJ$61,MATCH(Both_Shift_Roster!W$2,Morning_Shift!$B$2:$BJ$2,0),0),"")="",IFERROR(VLOOKUP($B118,Evening_Shift!$B$4:$BJ$62,MATCH(Both_Shift_Roster!W$2,Evening_Shift!$B$2:$BJ$2,0),0),""),IFERROR(VLOOKUP($B118,Morning_Shift!$B$4:$BJ$61,MATCH(Both_Shift_Roster!W$2,Morning_Shift!$B$2:$BJ$2,0),0),""))</f>
        <v>14:30-22:00</v>
      </c>
      <c r="X118" s="2" t="str">
        <f>IF(IFERROR(VLOOKUP($B118,Morning_Shift!$B$4:$BJ$61,MATCH(Both_Shift_Roster!X$2,Morning_Shift!$B$2:$BJ$2,0),0),"")="",IFERROR(VLOOKUP($B118,Evening_Shift!$B$4:$BJ$62,MATCH(Both_Shift_Roster!X$2,Evening_Shift!$B$2:$BJ$2,0),0),""),IFERROR(VLOOKUP($B118,Morning_Shift!$B$4:$BJ$61,MATCH(Both_Shift_Roster!X$2,Morning_Shift!$B$2:$BJ$2,0),0),""))</f>
        <v>14:30-22:00</v>
      </c>
      <c r="Y118" s="2" t="str">
        <f>IF(IFERROR(VLOOKUP($B118,Morning_Shift!$B$4:$BJ$61,MATCH(Both_Shift_Roster!Y$2,Morning_Shift!$B$2:$BJ$2,0),0),"")="",IFERROR(VLOOKUP($B118,Evening_Shift!$B$4:$BJ$62,MATCH(Both_Shift_Roster!Y$2,Evening_Shift!$B$2:$BJ$2,0),0),""),IFERROR(VLOOKUP($B118,Morning_Shift!$B$4:$BJ$61,MATCH(Both_Shift_Roster!Y$2,Morning_Shift!$B$2:$BJ$2,0),0),""))</f>
        <v>14:30-22:00</v>
      </c>
      <c r="Z118" s="2">
        <f t="shared" si="46"/>
        <v>0</v>
      </c>
      <c r="AA118" s="2">
        <f t="shared" si="47"/>
        <v>0</v>
      </c>
      <c r="AB118" s="2">
        <f t="shared" si="48"/>
        <v>0</v>
      </c>
      <c r="AC118" s="2">
        <f t="shared" si="49"/>
        <v>0</v>
      </c>
      <c r="AD118" s="2">
        <f t="shared" si="50"/>
        <v>0</v>
      </c>
      <c r="AE118" s="2" t="str">
        <f>IF(IFERROR(VLOOKUP($B118,Morning_Shift!$B$4:$BJ$61,MATCH(Both_Shift_Roster!AE$2,Morning_Shift!$B$2:$BJ$2,0),0),"")="",IFERROR(VLOOKUP($B118,Evening_Shift!$B$4:$BJ$62,MATCH(Both_Shift_Roster!AE$2,Evening_Shift!$B$2:$BJ$2,0),0),""),IFERROR(VLOOKUP($B118,Morning_Shift!$B$4:$BJ$61,MATCH(Both_Shift_Roster!AE$2,Morning_Shift!$B$2:$BJ$2,0),0),""))</f>
        <v>14:30-22:00</v>
      </c>
      <c r="AF118" s="2" t="str">
        <f>IF(IFERROR(VLOOKUP($B118,Morning_Shift!$B$4:$BJ$61,MATCH(Both_Shift_Roster!AF$2,Morning_Shift!$B$2:$BJ$2,0),0),"")="",IFERROR(VLOOKUP($B118,Evening_Shift!$B$4:$BJ$62,MATCH(Both_Shift_Roster!AF$2,Evening_Shift!$B$2:$BJ$2,0),0),""),IFERROR(VLOOKUP($B118,Morning_Shift!$B$4:$BJ$61,MATCH(Both_Shift_Roster!AF$2,Morning_Shift!$B$2:$BJ$2,0),0),""))</f>
        <v>14:30-22:00</v>
      </c>
      <c r="AG118" s="2" t="str">
        <f>IF(IFERROR(VLOOKUP($B118,Morning_Shift!$B$4:$BJ$61,MATCH(Both_Shift_Roster!AG$2,Morning_Shift!$B$2:$BJ$2,0),0),"")="",IFERROR(VLOOKUP($B118,Evening_Shift!$B$4:$BJ$62,MATCH(Both_Shift_Roster!AG$2,Evening_Shift!$B$2:$BJ$2,0),0),""),IFERROR(VLOOKUP($B118,Morning_Shift!$B$4:$BJ$61,MATCH(Both_Shift_Roster!AG$2,Morning_Shift!$B$2:$BJ$2,0),0),""))</f>
        <v>14:30-22:00</v>
      </c>
      <c r="AH118" s="2" t="str">
        <f>IF(IFERROR(VLOOKUP($B118,Morning_Shift!$B$4:$BJ$61,MATCH(Both_Shift_Roster!AH$2,Morning_Shift!$B$2:$BJ$2,0),0),"")="",IFERROR(VLOOKUP($B118,Evening_Shift!$B$4:$BJ$62,MATCH(Both_Shift_Roster!AH$2,Evening_Shift!$B$2:$BJ$2,0),0),""),IFERROR(VLOOKUP($B118,Morning_Shift!$B$4:$BJ$61,MATCH(Both_Shift_Roster!AH$2,Morning_Shift!$B$2:$BJ$2,0),0),""))</f>
        <v>14:30-22:00</v>
      </c>
      <c r="AI118" s="2" t="str">
        <f>IF(IFERROR(VLOOKUP($B118,Morning_Shift!$B$4:$BJ$61,MATCH(Both_Shift_Roster!AI$2,Morning_Shift!$B$2:$BJ$2,0),0),"")="",IFERROR(VLOOKUP($B118,Evening_Shift!$B$4:$BJ$62,MATCH(Both_Shift_Roster!AI$2,Evening_Shift!$B$2:$BJ$2,0),0),""),IFERROR(VLOOKUP($B118,Morning_Shift!$B$4:$BJ$61,MATCH(Both_Shift_Roster!AI$2,Morning_Shift!$B$2:$BJ$2,0),0),""))</f>
        <v>14:30-22:00</v>
      </c>
      <c r="AJ118" s="2" t="str">
        <f>IF(IFERROR(VLOOKUP($B118,Morning_Shift!$B$4:$BJ$61,MATCH(Both_Shift_Roster!AJ$2,Morning_Shift!$B$2:$BJ$2,0),0),"")="",IFERROR(VLOOKUP($B118,Evening_Shift!$B$4:$BJ$62,MATCH(Both_Shift_Roster!AJ$2,Evening_Shift!$B$2:$BJ$2,0),0),""),IFERROR(VLOOKUP($B118,Morning_Shift!$B$4:$BJ$61,MATCH(Both_Shift_Roster!AJ$2,Morning_Shift!$B$2:$BJ$2,0),0),""))</f>
        <v>14:30-22:00</v>
      </c>
      <c r="AK118" s="2" t="str">
        <f>IF(IFERROR(VLOOKUP($B118,Morning_Shift!$B$4:$BJ$61,MATCH(Both_Shift_Roster!AK$2,Morning_Shift!$B$2:$BJ$2,0),0),"")="",IFERROR(VLOOKUP($B118,Evening_Shift!$B$4:$BJ$62,MATCH(Both_Shift_Roster!AK$2,Evening_Shift!$B$2:$BJ$2,0),0),""),IFERROR(VLOOKUP($B118,Morning_Shift!$B$4:$BJ$61,MATCH(Both_Shift_Roster!AK$2,Morning_Shift!$B$2:$BJ$2,0),0),""))</f>
        <v>14:30-22:00</v>
      </c>
      <c r="AL118" s="2">
        <f t="shared" si="51"/>
        <v>0</v>
      </c>
      <c r="AM118" s="2">
        <f t="shared" si="52"/>
        <v>0</v>
      </c>
      <c r="AN118" s="2">
        <f t="shared" si="53"/>
        <v>0</v>
      </c>
      <c r="AO118" s="2">
        <f t="shared" si="54"/>
        <v>0</v>
      </c>
      <c r="AP118" s="2">
        <f t="shared" si="55"/>
        <v>0</v>
      </c>
      <c r="AQ118" s="2" t="str">
        <f>IF(IFERROR(VLOOKUP($B118,Morning_Shift!$B$4:$BJ$61,MATCH(Both_Shift_Roster!AQ$2,Morning_Shift!$B$2:$BJ$2,0),0),"")="",IFERROR(VLOOKUP($B118,Evening_Shift!$B$4:$BJ$62,MATCH(Both_Shift_Roster!AQ$2,Evening_Shift!$B$2:$BJ$2,0),0),""),IFERROR(VLOOKUP($B118,Morning_Shift!$B$4:$BJ$61,MATCH(Both_Shift_Roster!AQ$2,Morning_Shift!$B$2:$BJ$2,0),0),""))</f>
        <v>14:30-22:00</v>
      </c>
      <c r="AR118" s="2" t="str">
        <f>IF(IFERROR(VLOOKUP($B118,Morning_Shift!$B$4:$BJ$61,MATCH(Both_Shift_Roster!AR$2,Morning_Shift!$B$2:$BJ$2,0),0),"")="",IFERROR(VLOOKUP($B118,Evening_Shift!$B$4:$BJ$62,MATCH(Both_Shift_Roster!AR$2,Evening_Shift!$B$2:$BJ$2,0),0),""),IFERROR(VLOOKUP($B118,Morning_Shift!$B$4:$BJ$61,MATCH(Both_Shift_Roster!AR$2,Morning_Shift!$B$2:$BJ$2,0),0),""))</f>
        <v>14:30-22:00</v>
      </c>
      <c r="AS118" s="2" t="str">
        <f>IF(IFERROR(VLOOKUP($B118,Morning_Shift!$B$4:$BJ$61,MATCH(Both_Shift_Roster!AS$2,Morning_Shift!$B$2:$BJ$2,0),0),"")="",IFERROR(VLOOKUP($B118,Evening_Shift!$B$4:$BJ$62,MATCH(Both_Shift_Roster!AS$2,Evening_Shift!$B$2:$BJ$2,0),0),""),IFERROR(VLOOKUP($B118,Morning_Shift!$B$4:$BJ$61,MATCH(Both_Shift_Roster!AS$2,Morning_Shift!$B$2:$BJ$2,0),0),""))</f>
        <v>14:30-22:00</v>
      </c>
      <c r="AT118" s="2" t="str">
        <f>IF(IFERROR(VLOOKUP($B118,Morning_Shift!$B$4:$BJ$61,MATCH(Both_Shift_Roster!AT$2,Morning_Shift!$B$2:$BJ$2,0),0),"")="",IFERROR(VLOOKUP($B118,Evening_Shift!$B$4:$BJ$62,MATCH(Both_Shift_Roster!AT$2,Evening_Shift!$B$2:$BJ$2,0),0),""),IFERROR(VLOOKUP($B118,Morning_Shift!$B$4:$BJ$61,MATCH(Both_Shift_Roster!AT$2,Morning_Shift!$B$2:$BJ$2,0),0),""))</f>
        <v>14:30-22:00</v>
      </c>
      <c r="AU118" s="2" t="str">
        <f>IF(IFERROR(VLOOKUP($B118,Morning_Shift!$B$4:$BJ$61,MATCH(Both_Shift_Roster!AU$2,Morning_Shift!$B$2:$BJ$2,0),0),"")="",IFERROR(VLOOKUP($B118,Evening_Shift!$B$4:$BJ$62,MATCH(Both_Shift_Roster!AU$2,Evening_Shift!$B$2:$BJ$2,0),0),""),IFERROR(VLOOKUP($B118,Morning_Shift!$B$4:$BJ$61,MATCH(Both_Shift_Roster!AU$2,Morning_Shift!$B$2:$BJ$2,0),0),""))</f>
        <v>TL Choice WO</v>
      </c>
      <c r="AV118" s="2" t="str">
        <f>IF(IFERROR(VLOOKUP($B118,Morning_Shift!$B$4:$BJ$61,MATCH(Both_Shift_Roster!AV$2,Morning_Shift!$B$2:$BJ$2,0),0),"")="",IFERROR(VLOOKUP($B118,Evening_Shift!$B$4:$BJ$62,MATCH(Both_Shift_Roster!AV$2,Evening_Shift!$B$2:$BJ$2,0),0),""),IFERROR(VLOOKUP($B118,Morning_Shift!$B$4:$BJ$61,MATCH(Both_Shift_Roster!AV$2,Morning_Shift!$B$2:$BJ$2,0),0),""))</f>
        <v>TL Choice WO</v>
      </c>
      <c r="AW118" s="2" t="str">
        <f>IF(IFERROR(VLOOKUP($B118,Morning_Shift!$B$4:$BJ$61,MATCH(Both_Shift_Roster!AW$2,Morning_Shift!$B$2:$BJ$2,0),0),"")="",IFERROR(VLOOKUP($B118,Evening_Shift!$B$4:$BJ$62,MATCH(Both_Shift_Roster!AW$2,Evening_Shift!$B$2:$BJ$2,0),0),""),IFERROR(VLOOKUP($B118,Morning_Shift!$B$4:$BJ$61,MATCH(Both_Shift_Roster!AW$2,Morning_Shift!$B$2:$BJ$2,0),0),""))</f>
        <v>14:30-22:00</v>
      </c>
      <c r="AX118" s="2">
        <f t="shared" si="56"/>
        <v>0</v>
      </c>
      <c r="AY118" s="2">
        <f t="shared" si="57"/>
        <v>2</v>
      </c>
      <c r="AZ118" s="2">
        <f t="shared" si="58"/>
        <v>0</v>
      </c>
      <c r="BA118" s="2">
        <f t="shared" si="59"/>
        <v>0</v>
      </c>
      <c r="BB118" s="2">
        <f t="shared" si="60"/>
        <v>0</v>
      </c>
      <c r="BC118" s="2" t="str">
        <f>IF(IFERROR(VLOOKUP($B118,Morning_Shift!$B$4:$BJ$61,MATCH(Both_Shift_Roster!BC$2,Morning_Shift!$B$2:$BJ$2,0),0),"")="",IFERROR(VLOOKUP($B118,Evening_Shift!$B$4:$BJ$62,MATCH(Both_Shift_Roster!BC$2,Evening_Shift!$B$2:$BJ$2,0),0),""),IFERROR(VLOOKUP($B118,Morning_Shift!$B$4:$BJ$61,MATCH(Both_Shift_Roster!BC$2,Morning_Shift!$B$2:$BJ$2,0),0),""))</f>
        <v>14:30-22:00</v>
      </c>
      <c r="BD118" s="2" t="str">
        <f>IF(IFERROR(VLOOKUP($B118,Morning_Shift!$B$4:$BJ$61,MATCH(Both_Shift_Roster!BD$2,Morning_Shift!$B$2:$BJ$2,0),0),"")="",IFERROR(VLOOKUP($B118,Evening_Shift!$B$4:$BJ$62,MATCH(Both_Shift_Roster!BD$2,Evening_Shift!$B$2:$BJ$2,0),0),""),IFERROR(VLOOKUP($B118,Morning_Shift!$B$4:$BJ$61,MATCH(Both_Shift_Roster!BD$2,Morning_Shift!$B$2:$BJ$2,0),0),""))</f>
        <v>14:30-22:00</v>
      </c>
      <c r="BE118" s="2"/>
      <c r="BF118" s="2">
        <f t="shared" si="61"/>
        <v>0</v>
      </c>
      <c r="BG118" s="2">
        <f t="shared" si="62"/>
        <v>0</v>
      </c>
      <c r="BH118" s="2">
        <f t="shared" si="63"/>
        <v>0</v>
      </c>
      <c r="BI118" s="2">
        <f t="shared" si="64"/>
        <v>0</v>
      </c>
      <c r="BJ118" s="2">
        <f t="shared" si="65"/>
        <v>0</v>
      </c>
    </row>
    <row r="119" spans="1:62" ht="15" customHeight="1">
      <c r="A119" s="17">
        <f t="shared" si="66"/>
        <v>116</v>
      </c>
      <c r="B119" s="16" t="str">
        <f>Evening_Shift!$B61</f>
        <v>Dritm175</v>
      </c>
      <c r="C119" s="21" t="str">
        <f>IF(IFERROR(VLOOKUP(B119,Morning_Shift!B:C,2,0),"")="",IFERROR(VLOOKUP(B119,Evening_Shift!B:C,2,0),""),IFERROR(VLOOKUP(B119,Morning_Shift!B:C,2,0),""))</f>
        <v>Kamna Verma</v>
      </c>
      <c r="D119" s="15" t="str">
        <f>IF(IFERROR(VLOOKUP(B119,Morning_Shift!B:D,3,0),"")="",IFERROR(VLOOKUP(B119,Evening_Shift!B:D,3,0),""),IFERROR(VLOOKUP(B119,Morning_Shift!B:D,3,0),""))</f>
        <v xml:space="preserve">Sanjesh </v>
      </c>
      <c r="E119" s="4" t="str">
        <f>IF(IFERROR(VLOOKUP(B119,Morning_Shift!B:E,4,0),"")="",IFERROR(VLOOKUP(B119,Evening_Shift!B:E,4,0),""),IFERROR(VLOOKUP(B119,Morning_Shift!B:E,4,0),""))</f>
        <v>F</v>
      </c>
      <c r="F119" s="5" t="str">
        <f>IF(IFERROR(VLOOKUP(B119,Morning_Shift!B:F,5,0),"")="",IFERROR(VLOOKUP(B119,Evening_Shift!B:F,5,0),""),IFERROR(VLOOKUP(B119,Morning_Shift!B:F,5,0),""))</f>
        <v>Inbound</v>
      </c>
      <c r="G119" s="2">
        <f>IF(IFERROR(VLOOKUP($B119,Morning_Shift!$B$4:$BJ$61,MATCH(Both_Shift_Roster!G$2,Morning_Shift!$B$2:$BJ$2,0),0),"")="",IFERROR(VLOOKUP($B119,Evening_Shift!$B$4:$BJ$62,MATCH(Both_Shift_Roster!G$2,Evening_Shift!$B$2:$BJ$2,0),0),""),IFERROR(VLOOKUP($B119,Morning_Shift!$B$4:$BJ$61,MATCH(Both_Shift_Roster!G$2,Morning_Shift!$B$2:$BJ$2,0),0),""))</f>
        <v>0</v>
      </c>
      <c r="H119" s="2">
        <f>IF(IFERROR(VLOOKUP($B119,Morning_Shift!$B$4:$BJ$61,MATCH(Both_Shift_Roster!H$2,Morning_Shift!$B$2:$BJ$2,0),0),"")="",IFERROR(VLOOKUP($B119,Evening_Shift!$B$4:$BJ$62,MATCH(Both_Shift_Roster!H$2,Evening_Shift!$B$2:$BJ$2,0),0),""),IFERROR(VLOOKUP($B119,Morning_Shift!$B$4:$BJ$61,MATCH(Both_Shift_Roster!H$2,Morning_Shift!$B$2:$BJ$2,0),0),""))</f>
        <v>0</v>
      </c>
      <c r="I119" s="2">
        <f>IF(IFERROR(VLOOKUP($B119,Morning_Shift!$B$4:$BJ$61,MATCH(Both_Shift_Roster!I$2,Morning_Shift!$B$2:$BJ$2,0),0),"")="",IFERROR(VLOOKUP($B119,Evening_Shift!$B$4:$BJ$62,MATCH(Both_Shift_Roster!I$2,Evening_Shift!$B$2:$BJ$2,0),0),""),IFERROR(VLOOKUP($B119,Morning_Shift!$B$4:$BJ$61,MATCH(Both_Shift_Roster!I$2,Morning_Shift!$B$2:$BJ$2,0),0),""))</f>
        <v>0</v>
      </c>
      <c r="J119" s="2">
        <f>IF(IFERROR(VLOOKUP($B119,Morning_Shift!$B$4:$BJ$61,MATCH(Both_Shift_Roster!J$2,Morning_Shift!$B$2:$BJ$2,0),0),"")="",IFERROR(VLOOKUP($B119,Evening_Shift!$B$4:$BJ$62,MATCH(Both_Shift_Roster!J$2,Evening_Shift!$B$2:$BJ$2,0),0),""),IFERROR(VLOOKUP($B119,Morning_Shift!$B$4:$BJ$61,MATCH(Both_Shift_Roster!J$2,Morning_Shift!$B$2:$BJ$2,0),0),""))</f>
        <v>0</v>
      </c>
      <c r="K119" s="2">
        <f>IF(IFERROR(VLOOKUP($B119,Morning_Shift!$B$4:$BJ$61,MATCH(Both_Shift_Roster!K$2,Morning_Shift!$B$2:$BJ$2,0),0),"")="",IFERROR(VLOOKUP($B119,Evening_Shift!$B$4:$BJ$62,MATCH(Both_Shift_Roster!K$2,Evening_Shift!$B$2:$BJ$2,0),0),""),IFERROR(VLOOKUP($B119,Morning_Shift!$B$4:$BJ$61,MATCH(Both_Shift_Roster!K$2,Morning_Shift!$B$2:$BJ$2,0),0),""))</f>
        <v>0</v>
      </c>
      <c r="L119" s="2">
        <f>IF(IFERROR(VLOOKUP($B119,Morning_Shift!$B$4:$BJ$61,MATCH(Both_Shift_Roster!L$2,Morning_Shift!$B$2:$BJ$2,0),0),"")="",IFERROR(VLOOKUP($B119,Evening_Shift!$B$4:$BJ$62,MATCH(Both_Shift_Roster!L$2,Evening_Shift!$B$2:$BJ$2,0),0),""),IFERROR(VLOOKUP($B119,Morning_Shift!$B$4:$BJ$61,MATCH(Both_Shift_Roster!L$2,Morning_Shift!$B$2:$BJ$2,0),0),""))</f>
        <v>0</v>
      </c>
      <c r="M119" s="2">
        <f>IF(IFERROR(VLOOKUP($B119,Morning_Shift!$B$4:$BJ$61,MATCH(Both_Shift_Roster!M$2,Morning_Shift!$B$2:$BJ$2,0),0),"")="",IFERROR(VLOOKUP($B119,Evening_Shift!$B$4:$BJ$62,MATCH(Both_Shift_Roster!M$2,Evening_Shift!$B$2:$BJ$2,0),0),""),IFERROR(VLOOKUP($B119,Morning_Shift!$B$4:$BJ$61,MATCH(Both_Shift_Roster!M$2,Morning_Shift!$B$2:$BJ$2,0),0),""))</f>
        <v>0</v>
      </c>
      <c r="N119" s="2">
        <f t="shared" si="41"/>
        <v>0</v>
      </c>
      <c r="O119" s="2">
        <f t="shared" si="42"/>
        <v>0</v>
      </c>
      <c r="P119" s="2">
        <f t="shared" si="43"/>
        <v>0</v>
      </c>
      <c r="Q119" s="2">
        <f t="shared" si="44"/>
        <v>0</v>
      </c>
      <c r="R119" s="2">
        <f t="shared" si="45"/>
        <v>0</v>
      </c>
      <c r="S119" s="2">
        <f>IF(IFERROR(VLOOKUP($B119,Morning_Shift!$B$4:$BJ$61,MATCH(Both_Shift_Roster!S$2,Morning_Shift!$B$2:$BJ$2,0),0),"")="",IFERROR(VLOOKUP($B119,Evening_Shift!$B$4:$BJ$62,MATCH(Both_Shift_Roster!S$2,Evening_Shift!$B$2:$BJ$2,0),0),""),IFERROR(VLOOKUP($B119,Morning_Shift!$B$4:$BJ$61,MATCH(Both_Shift_Roster!S$2,Morning_Shift!$B$2:$BJ$2,0),0),""))</f>
        <v>0</v>
      </c>
      <c r="T119" s="2">
        <f>IF(IFERROR(VLOOKUP($B119,Morning_Shift!$B$4:$BJ$61,MATCH(Both_Shift_Roster!T$2,Morning_Shift!$B$2:$BJ$2,0),0),"")="",IFERROR(VLOOKUP($B119,Evening_Shift!$B$4:$BJ$62,MATCH(Both_Shift_Roster!T$2,Evening_Shift!$B$2:$BJ$2,0),0),""),IFERROR(VLOOKUP($B119,Morning_Shift!$B$4:$BJ$61,MATCH(Both_Shift_Roster!T$2,Morning_Shift!$B$2:$BJ$2,0),0),""))</f>
        <v>0</v>
      </c>
      <c r="U119" s="2">
        <f>IF(IFERROR(VLOOKUP($B119,Morning_Shift!$B$4:$BJ$61,MATCH(Both_Shift_Roster!U$2,Morning_Shift!$B$2:$BJ$2,0),0),"")="",IFERROR(VLOOKUP($B119,Evening_Shift!$B$4:$BJ$62,MATCH(Both_Shift_Roster!U$2,Evening_Shift!$B$2:$BJ$2,0),0),""),IFERROR(VLOOKUP($B119,Morning_Shift!$B$4:$BJ$61,MATCH(Both_Shift_Roster!U$2,Morning_Shift!$B$2:$BJ$2,0),0),""))</f>
        <v>0</v>
      </c>
      <c r="V119" s="2">
        <f>IF(IFERROR(VLOOKUP($B119,Morning_Shift!$B$4:$BJ$61,MATCH(Both_Shift_Roster!V$2,Morning_Shift!$B$2:$BJ$2,0),0),"")="",IFERROR(VLOOKUP($B119,Evening_Shift!$B$4:$BJ$62,MATCH(Both_Shift_Roster!V$2,Evening_Shift!$B$2:$BJ$2,0),0),""),IFERROR(VLOOKUP($B119,Morning_Shift!$B$4:$BJ$61,MATCH(Both_Shift_Roster!V$2,Morning_Shift!$B$2:$BJ$2,0),0),""))</f>
        <v>0</v>
      </c>
      <c r="W119" s="2">
        <f>IF(IFERROR(VLOOKUP($B119,Morning_Shift!$B$4:$BJ$61,MATCH(Both_Shift_Roster!W$2,Morning_Shift!$B$2:$BJ$2,0),0),"")="",IFERROR(VLOOKUP($B119,Evening_Shift!$B$4:$BJ$62,MATCH(Both_Shift_Roster!W$2,Evening_Shift!$B$2:$BJ$2,0),0),""),IFERROR(VLOOKUP($B119,Morning_Shift!$B$4:$BJ$61,MATCH(Both_Shift_Roster!W$2,Morning_Shift!$B$2:$BJ$2,0),0),""))</f>
        <v>0</v>
      </c>
      <c r="X119" s="2">
        <f>IF(IFERROR(VLOOKUP($B119,Morning_Shift!$B$4:$BJ$61,MATCH(Both_Shift_Roster!X$2,Morning_Shift!$B$2:$BJ$2,0),0),"")="",IFERROR(VLOOKUP($B119,Evening_Shift!$B$4:$BJ$62,MATCH(Both_Shift_Roster!X$2,Evening_Shift!$B$2:$BJ$2,0),0),""),IFERROR(VLOOKUP($B119,Morning_Shift!$B$4:$BJ$61,MATCH(Both_Shift_Roster!X$2,Morning_Shift!$B$2:$BJ$2,0),0),""))</f>
        <v>0</v>
      </c>
      <c r="Y119" s="2">
        <f>IF(IFERROR(VLOOKUP($B119,Morning_Shift!$B$4:$BJ$61,MATCH(Both_Shift_Roster!Y$2,Morning_Shift!$B$2:$BJ$2,0),0),"")="",IFERROR(VLOOKUP($B119,Evening_Shift!$B$4:$BJ$62,MATCH(Both_Shift_Roster!Y$2,Evening_Shift!$B$2:$BJ$2,0),0),""),IFERROR(VLOOKUP($B119,Morning_Shift!$B$4:$BJ$61,MATCH(Both_Shift_Roster!Y$2,Morning_Shift!$B$2:$BJ$2,0),0),""))</f>
        <v>0</v>
      </c>
      <c r="Z119" s="2">
        <f t="shared" si="46"/>
        <v>0</v>
      </c>
      <c r="AA119" s="2">
        <f t="shared" si="47"/>
        <v>0</v>
      </c>
      <c r="AB119" s="2">
        <f t="shared" si="48"/>
        <v>0</v>
      </c>
      <c r="AC119" s="2">
        <f t="shared" si="49"/>
        <v>0</v>
      </c>
      <c r="AD119" s="2">
        <f t="shared" si="50"/>
        <v>0</v>
      </c>
      <c r="AE119" s="2">
        <f>IF(IFERROR(VLOOKUP($B119,Morning_Shift!$B$4:$BJ$61,MATCH(Both_Shift_Roster!AE$2,Morning_Shift!$B$2:$BJ$2,0),0),"")="",IFERROR(VLOOKUP($B119,Evening_Shift!$B$4:$BJ$62,MATCH(Both_Shift_Roster!AE$2,Evening_Shift!$B$2:$BJ$2,0),0),""),IFERROR(VLOOKUP($B119,Morning_Shift!$B$4:$BJ$61,MATCH(Both_Shift_Roster!AE$2,Morning_Shift!$B$2:$BJ$2,0),0),""))</f>
        <v>0</v>
      </c>
      <c r="AF119" s="2">
        <f>IF(IFERROR(VLOOKUP($B119,Morning_Shift!$B$4:$BJ$61,MATCH(Both_Shift_Roster!AF$2,Morning_Shift!$B$2:$BJ$2,0),0),"")="",IFERROR(VLOOKUP($B119,Evening_Shift!$B$4:$BJ$62,MATCH(Both_Shift_Roster!AF$2,Evening_Shift!$B$2:$BJ$2,0),0),""),IFERROR(VLOOKUP($B119,Morning_Shift!$B$4:$BJ$61,MATCH(Both_Shift_Roster!AF$2,Morning_Shift!$B$2:$BJ$2,0),0),""))</f>
        <v>0</v>
      </c>
      <c r="AG119" s="2">
        <f>IF(IFERROR(VLOOKUP($B119,Morning_Shift!$B$4:$BJ$61,MATCH(Both_Shift_Roster!AG$2,Morning_Shift!$B$2:$BJ$2,0),0),"")="",IFERROR(VLOOKUP($B119,Evening_Shift!$B$4:$BJ$62,MATCH(Both_Shift_Roster!AG$2,Evening_Shift!$B$2:$BJ$2,0),0),""),IFERROR(VLOOKUP($B119,Morning_Shift!$B$4:$BJ$61,MATCH(Both_Shift_Roster!AG$2,Morning_Shift!$B$2:$BJ$2,0),0),""))</f>
        <v>0</v>
      </c>
      <c r="AH119" s="2">
        <f>IF(IFERROR(VLOOKUP($B119,Morning_Shift!$B$4:$BJ$61,MATCH(Both_Shift_Roster!AH$2,Morning_Shift!$B$2:$BJ$2,0),0),"")="",IFERROR(VLOOKUP($B119,Evening_Shift!$B$4:$BJ$62,MATCH(Both_Shift_Roster!AH$2,Evening_Shift!$B$2:$BJ$2,0),0),""),IFERROR(VLOOKUP($B119,Morning_Shift!$B$4:$BJ$61,MATCH(Both_Shift_Roster!AH$2,Morning_Shift!$B$2:$BJ$2,0),0),""))</f>
        <v>0</v>
      </c>
      <c r="AI119" s="2">
        <f>IF(IFERROR(VLOOKUP($B119,Morning_Shift!$B$4:$BJ$61,MATCH(Both_Shift_Roster!AI$2,Morning_Shift!$B$2:$BJ$2,0),0),"")="",IFERROR(VLOOKUP($B119,Evening_Shift!$B$4:$BJ$62,MATCH(Both_Shift_Roster!AI$2,Evening_Shift!$B$2:$BJ$2,0),0),""),IFERROR(VLOOKUP($B119,Morning_Shift!$B$4:$BJ$61,MATCH(Both_Shift_Roster!AI$2,Morning_Shift!$B$2:$BJ$2,0),0),""))</f>
        <v>0</v>
      </c>
      <c r="AJ119" s="2">
        <f>IF(IFERROR(VLOOKUP($B119,Morning_Shift!$B$4:$BJ$61,MATCH(Both_Shift_Roster!AJ$2,Morning_Shift!$B$2:$BJ$2,0),0),"")="",IFERROR(VLOOKUP($B119,Evening_Shift!$B$4:$BJ$62,MATCH(Both_Shift_Roster!AJ$2,Evening_Shift!$B$2:$BJ$2,0),0),""),IFERROR(VLOOKUP($B119,Morning_Shift!$B$4:$BJ$61,MATCH(Both_Shift_Roster!AJ$2,Morning_Shift!$B$2:$BJ$2,0),0),""))</f>
        <v>0</v>
      </c>
      <c r="AK119" s="2" t="str">
        <f>IF(IFERROR(VLOOKUP($B119,Morning_Shift!$B$4:$BJ$61,MATCH(Both_Shift_Roster!AK$2,Morning_Shift!$B$2:$BJ$2,0),0),"")="",IFERROR(VLOOKUP($B119,Evening_Shift!$B$4:$BJ$62,MATCH(Both_Shift_Roster!AK$2,Evening_Shift!$B$2:$BJ$2,0),0),""),IFERROR(VLOOKUP($B119,Morning_Shift!$B$4:$BJ$61,MATCH(Both_Shift_Roster!AK$2,Morning_Shift!$B$2:$BJ$2,0),0),""))</f>
        <v>14:30-22:00</v>
      </c>
      <c r="AL119" s="2">
        <f t="shared" si="51"/>
        <v>0</v>
      </c>
      <c r="AM119" s="2">
        <f t="shared" si="52"/>
        <v>0</v>
      </c>
      <c r="AN119" s="2">
        <f t="shared" si="53"/>
        <v>0</v>
      </c>
      <c r="AO119" s="2">
        <f t="shared" si="54"/>
        <v>0</v>
      </c>
      <c r="AP119" s="2">
        <f t="shared" si="55"/>
        <v>0</v>
      </c>
      <c r="AQ119" s="2" t="str">
        <f>IF(IFERROR(VLOOKUP($B119,Morning_Shift!$B$4:$BJ$61,MATCH(Both_Shift_Roster!AQ$2,Morning_Shift!$B$2:$BJ$2,0),0),"")="",IFERROR(VLOOKUP($B119,Evening_Shift!$B$4:$BJ$62,MATCH(Both_Shift_Roster!AQ$2,Evening_Shift!$B$2:$BJ$2,0),0),""),IFERROR(VLOOKUP($B119,Morning_Shift!$B$4:$BJ$61,MATCH(Both_Shift_Roster!AQ$2,Morning_Shift!$B$2:$BJ$2,0),0),""))</f>
        <v>14:30-22:00</v>
      </c>
      <c r="AR119" s="2" t="str">
        <f>IF(IFERROR(VLOOKUP($B119,Morning_Shift!$B$4:$BJ$61,MATCH(Both_Shift_Roster!AR$2,Morning_Shift!$B$2:$BJ$2,0),0),"")="",IFERROR(VLOOKUP($B119,Evening_Shift!$B$4:$BJ$62,MATCH(Both_Shift_Roster!AR$2,Evening_Shift!$B$2:$BJ$2,0),0),""),IFERROR(VLOOKUP($B119,Morning_Shift!$B$4:$BJ$61,MATCH(Both_Shift_Roster!AR$2,Morning_Shift!$B$2:$BJ$2,0),0),""))</f>
        <v>14:30-22:00</v>
      </c>
      <c r="AS119" s="2" t="str">
        <f>IF(IFERROR(VLOOKUP($B119,Morning_Shift!$B$4:$BJ$61,MATCH(Both_Shift_Roster!AS$2,Morning_Shift!$B$2:$BJ$2,0),0),"")="",IFERROR(VLOOKUP($B119,Evening_Shift!$B$4:$BJ$62,MATCH(Both_Shift_Roster!AS$2,Evening_Shift!$B$2:$BJ$2,0),0),""),IFERROR(VLOOKUP($B119,Morning_Shift!$B$4:$BJ$61,MATCH(Both_Shift_Roster!AS$2,Morning_Shift!$B$2:$BJ$2,0),0),""))</f>
        <v>14:30-22:00</v>
      </c>
      <c r="AT119" s="2" t="str">
        <f>IF(IFERROR(VLOOKUP($B119,Morning_Shift!$B$4:$BJ$61,MATCH(Both_Shift_Roster!AT$2,Morning_Shift!$B$2:$BJ$2,0),0),"")="",IFERROR(VLOOKUP($B119,Evening_Shift!$B$4:$BJ$62,MATCH(Both_Shift_Roster!AT$2,Evening_Shift!$B$2:$BJ$2,0),0),""),IFERROR(VLOOKUP($B119,Morning_Shift!$B$4:$BJ$61,MATCH(Both_Shift_Roster!AT$2,Morning_Shift!$B$2:$BJ$2,0),0),""))</f>
        <v>14:30-22:00</v>
      </c>
      <c r="AU119" s="2" t="str">
        <f>IF(IFERROR(VLOOKUP($B119,Morning_Shift!$B$4:$BJ$61,MATCH(Both_Shift_Roster!AU$2,Morning_Shift!$B$2:$BJ$2,0),0),"")="",IFERROR(VLOOKUP($B119,Evening_Shift!$B$4:$BJ$62,MATCH(Both_Shift_Roster!AU$2,Evening_Shift!$B$2:$BJ$2,0),0),""),IFERROR(VLOOKUP($B119,Morning_Shift!$B$4:$BJ$61,MATCH(Both_Shift_Roster!AU$2,Morning_Shift!$B$2:$BJ$2,0),0),""))</f>
        <v>14:30-22:00</v>
      </c>
      <c r="AV119" s="2" t="str">
        <f>IF(IFERROR(VLOOKUP($B119,Morning_Shift!$B$4:$BJ$61,MATCH(Both_Shift_Roster!AV$2,Morning_Shift!$B$2:$BJ$2,0),0),"")="",IFERROR(VLOOKUP($B119,Evening_Shift!$B$4:$BJ$62,MATCH(Both_Shift_Roster!AV$2,Evening_Shift!$B$2:$BJ$2,0),0),""),IFERROR(VLOOKUP($B119,Morning_Shift!$B$4:$BJ$61,MATCH(Both_Shift_Roster!AV$2,Morning_Shift!$B$2:$BJ$2,0),0),""))</f>
        <v>TL Choice WO</v>
      </c>
      <c r="AW119" s="2" t="str">
        <f>IF(IFERROR(VLOOKUP($B119,Morning_Shift!$B$4:$BJ$61,MATCH(Both_Shift_Roster!AW$2,Morning_Shift!$B$2:$BJ$2,0),0),"")="",IFERROR(VLOOKUP($B119,Evening_Shift!$B$4:$BJ$62,MATCH(Both_Shift_Roster!AW$2,Evening_Shift!$B$2:$BJ$2,0),0),""),IFERROR(VLOOKUP($B119,Morning_Shift!$B$4:$BJ$61,MATCH(Both_Shift_Roster!AW$2,Morning_Shift!$B$2:$BJ$2,0),0),""))</f>
        <v>14:30-22:00</v>
      </c>
      <c r="AX119" s="2">
        <f t="shared" si="56"/>
        <v>0</v>
      </c>
      <c r="AY119" s="2">
        <f t="shared" si="57"/>
        <v>1</v>
      </c>
      <c r="AZ119" s="2">
        <f t="shared" si="58"/>
        <v>0</v>
      </c>
      <c r="BA119" s="2">
        <f t="shared" si="59"/>
        <v>0</v>
      </c>
      <c r="BB119" s="2">
        <f t="shared" si="60"/>
        <v>0</v>
      </c>
      <c r="BC119" s="2" t="str">
        <f>IF(IFERROR(VLOOKUP($B119,Morning_Shift!$B$4:$BJ$61,MATCH(Both_Shift_Roster!BC$2,Morning_Shift!$B$2:$BJ$2,0),0),"")="",IFERROR(VLOOKUP($B119,Evening_Shift!$B$4:$BJ$62,MATCH(Both_Shift_Roster!BC$2,Evening_Shift!$B$2:$BJ$2,0),0),""),IFERROR(VLOOKUP($B119,Morning_Shift!$B$4:$BJ$61,MATCH(Both_Shift_Roster!BC$2,Morning_Shift!$B$2:$BJ$2,0),0),""))</f>
        <v>14:30-22:00</v>
      </c>
      <c r="BD119" s="2" t="str">
        <f>IF(IFERROR(VLOOKUP($B119,Morning_Shift!$B$4:$BJ$61,MATCH(Both_Shift_Roster!BD$2,Morning_Shift!$B$2:$BJ$2,0),0),"")="",IFERROR(VLOOKUP($B119,Evening_Shift!$B$4:$BJ$62,MATCH(Both_Shift_Roster!BD$2,Evening_Shift!$B$2:$BJ$2,0),0),""),IFERROR(VLOOKUP($B119,Morning_Shift!$B$4:$BJ$61,MATCH(Both_Shift_Roster!BD$2,Morning_Shift!$B$2:$BJ$2,0),0),""))</f>
        <v>14:30-22:00</v>
      </c>
      <c r="BE119" s="2"/>
      <c r="BF119" s="2">
        <f t="shared" si="61"/>
        <v>0</v>
      </c>
      <c r="BG119" s="2">
        <f t="shared" si="62"/>
        <v>0</v>
      </c>
      <c r="BH119" s="2">
        <f t="shared" si="63"/>
        <v>0</v>
      </c>
      <c r="BI119" s="2">
        <f t="shared" si="64"/>
        <v>0</v>
      </c>
      <c r="BJ119" s="2">
        <f t="shared" si="65"/>
        <v>0</v>
      </c>
    </row>
    <row r="120" spans="1:62" ht="15" customHeight="1">
      <c r="A120" s="17">
        <f t="shared" si="66"/>
        <v>117</v>
      </c>
      <c r="B120" s="16" t="str">
        <f>Evening_Shift!$B62</f>
        <v>Dritm176</v>
      </c>
      <c r="C120" s="21" t="str">
        <f>IF(IFERROR(VLOOKUP(B120,Morning_Shift!B:C,2,0),"")="",IFERROR(VLOOKUP(B120,Evening_Shift!B:C,2,0),""),IFERROR(VLOOKUP(B120,Morning_Shift!B:C,2,0),""))</f>
        <v>Radha Devi</v>
      </c>
      <c r="D120" s="15" t="str">
        <f>IF(IFERROR(VLOOKUP(B120,Morning_Shift!B:D,3,0),"")="",IFERROR(VLOOKUP(B120,Evening_Shift!B:D,3,0),""),IFERROR(VLOOKUP(B120,Morning_Shift!B:D,3,0),""))</f>
        <v xml:space="preserve">Sanjesh </v>
      </c>
      <c r="E120" s="4" t="str">
        <f>IF(IFERROR(VLOOKUP(B120,Morning_Shift!B:E,4,0),"")="",IFERROR(VLOOKUP(B120,Evening_Shift!B:E,4,0),""),IFERROR(VLOOKUP(B120,Morning_Shift!B:E,4,0),""))</f>
        <v>F</v>
      </c>
      <c r="F120" s="5" t="str">
        <f>IF(IFERROR(VLOOKUP(B120,Morning_Shift!B:F,5,0),"")="",IFERROR(VLOOKUP(B120,Evening_Shift!B:F,5,0),""),IFERROR(VLOOKUP(B120,Morning_Shift!B:F,5,0),""))</f>
        <v>Inbound</v>
      </c>
      <c r="G120" s="2">
        <f>IF(IFERROR(VLOOKUP($B120,Morning_Shift!$B$4:$BJ$61,MATCH(Both_Shift_Roster!G$2,Morning_Shift!$B$2:$BJ$2,0),0),"")="",IFERROR(VLOOKUP($B120,Evening_Shift!$B$4:$BJ$62,MATCH(Both_Shift_Roster!G$2,Evening_Shift!$B$2:$BJ$2,0),0),""),IFERROR(VLOOKUP($B120,Morning_Shift!$B$4:$BJ$61,MATCH(Both_Shift_Roster!G$2,Morning_Shift!$B$2:$BJ$2,0),0),""))</f>
        <v>0</v>
      </c>
      <c r="H120" s="2">
        <f>IF(IFERROR(VLOOKUP($B120,Morning_Shift!$B$4:$BJ$61,MATCH(Both_Shift_Roster!H$2,Morning_Shift!$B$2:$BJ$2,0),0),"")="",IFERROR(VLOOKUP($B120,Evening_Shift!$B$4:$BJ$62,MATCH(Both_Shift_Roster!H$2,Evening_Shift!$B$2:$BJ$2,0),0),""),IFERROR(VLOOKUP($B120,Morning_Shift!$B$4:$BJ$61,MATCH(Both_Shift_Roster!H$2,Morning_Shift!$B$2:$BJ$2,0),0),""))</f>
        <v>0</v>
      </c>
      <c r="I120" s="2">
        <f>IF(IFERROR(VLOOKUP($B120,Morning_Shift!$B$4:$BJ$61,MATCH(Both_Shift_Roster!I$2,Morning_Shift!$B$2:$BJ$2,0),0),"")="",IFERROR(VLOOKUP($B120,Evening_Shift!$B$4:$BJ$62,MATCH(Both_Shift_Roster!I$2,Evening_Shift!$B$2:$BJ$2,0),0),""),IFERROR(VLOOKUP($B120,Morning_Shift!$B$4:$BJ$61,MATCH(Both_Shift_Roster!I$2,Morning_Shift!$B$2:$BJ$2,0),0),""))</f>
        <v>0</v>
      </c>
      <c r="J120" s="2">
        <f>IF(IFERROR(VLOOKUP($B120,Morning_Shift!$B$4:$BJ$61,MATCH(Both_Shift_Roster!J$2,Morning_Shift!$B$2:$BJ$2,0),0),"")="",IFERROR(VLOOKUP($B120,Evening_Shift!$B$4:$BJ$62,MATCH(Both_Shift_Roster!J$2,Evening_Shift!$B$2:$BJ$2,0),0),""),IFERROR(VLOOKUP($B120,Morning_Shift!$B$4:$BJ$61,MATCH(Both_Shift_Roster!J$2,Morning_Shift!$B$2:$BJ$2,0),0),""))</f>
        <v>0</v>
      </c>
      <c r="K120" s="2">
        <f>IF(IFERROR(VLOOKUP($B120,Morning_Shift!$B$4:$BJ$61,MATCH(Both_Shift_Roster!K$2,Morning_Shift!$B$2:$BJ$2,0),0),"")="",IFERROR(VLOOKUP($B120,Evening_Shift!$B$4:$BJ$62,MATCH(Both_Shift_Roster!K$2,Evening_Shift!$B$2:$BJ$2,0),0),""),IFERROR(VLOOKUP($B120,Morning_Shift!$B$4:$BJ$61,MATCH(Both_Shift_Roster!K$2,Morning_Shift!$B$2:$BJ$2,0),0),""))</f>
        <v>0</v>
      </c>
      <c r="L120" s="2">
        <f>IF(IFERROR(VLOOKUP($B120,Morning_Shift!$B$4:$BJ$61,MATCH(Both_Shift_Roster!L$2,Morning_Shift!$B$2:$BJ$2,0),0),"")="",IFERROR(VLOOKUP($B120,Evening_Shift!$B$4:$BJ$62,MATCH(Both_Shift_Roster!L$2,Evening_Shift!$B$2:$BJ$2,0),0),""),IFERROR(VLOOKUP($B120,Morning_Shift!$B$4:$BJ$61,MATCH(Both_Shift_Roster!L$2,Morning_Shift!$B$2:$BJ$2,0),0),""))</f>
        <v>0</v>
      </c>
      <c r="M120" s="2">
        <f>IF(IFERROR(VLOOKUP($B120,Morning_Shift!$B$4:$BJ$61,MATCH(Both_Shift_Roster!M$2,Morning_Shift!$B$2:$BJ$2,0),0),"")="",IFERROR(VLOOKUP($B120,Evening_Shift!$B$4:$BJ$62,MATCH(Both_Shift_Roster!M$2,Evening_Shift!$B$2:$BJ$2,0),0),""),IFERROR(VLOOKUP($B120,Morning_Shift!$B$4:$BJ$61,MATCH(Both_Shift_Roster!M$2,Morning_Shift!$B$2:$BJ$2,0),0),""))</f>
        <v>0</v>
      </c>
      <c r="N120" s="2">
        <f t="shared" si="41"/>
        <v>0</v>
      </c>
      <c r="O120" s="2">
        <f t="shared" si="42"/>
        <v>0</v>
      </c>
      <c r="P120" s="2">
        <f t="shared" si="43"/>
        <v>0</v>
      </c>
      <c r="Q120" s="2">
        <f t="shared" si="44"/>
        <v>0</v>
      </c>
      <c r="R120" s="2">
        <f t="shared" si="45"/>
        <v>0</v>
      </c>
      <c r="S120" s="2">
        <f>IF(IFERROR(VLOOKUP($B120,Morning_Shift!$B$4:$BJ$61,MATCH(Both_Shift_Roster!S$2,Morning_Shift!$B$2:$BJ$2,0),0),"")="",IFERROR(VLOOKUP($B120,Evening_Shift!$B$4:$BJ$62,MATCH(Both_Shift_Roster!S$2,Evening_Shift!$B$2:$BJ$2,0),0),""),IFERROR(VLOOKUP($B120,Morning_Shift!$B$4:$BJ$61,MATCH(Both_Shift_Roster!S$2,Morning_Shift!$B$2:$BJ$2,0),0),""))</f>
        <v>0</v>
      </c>
      <c r="T120" s="2">
        <f>IF(IFERROR(VLOOKUP($B120,Morning_Shift!$B$4:$BJ$61,MATCH(Both_Shift_Roster!T$2,Morning_Shift!$B$2:$BJ$2,0),0),"")="",IFERROR(VLOOKUP($B120,Evening_Shift!$B$4:$BJ$62,MATCH(Both_Shift_Roster!T$2,Evening_Shift!$B$2:$BJ$2,0),0),""),IFERROR(VLOOKUP($B120,Morning_Shift!$B$4:$BJ$61,MATCH(Both_Shift_Roster!T$2,Morning_Shift!$B$2:$BJ$2,0),0),""))</f>
        <v>0</v>
      </c>
      <c r="U120" s="2">
        <f>IF(IFERROR(VLOOKUP($B120,Morning_Shift!$B$4:$BJ$61,MATCH(Both_Shift_Roster!U$2,Morning_Shift!$B$2:$BJ$2,0),0),"")="",IFERROR(VLOOKUP($B120,Evening_Shift!$B$4:$BJ$62,MATCH(Both_Shift_Roster!U$2,Evening_Shift!$B$2:$BJ$2,0),0),""),IFERROR(VLOOKUP($B120,Morning_Shift!$B$4:$BJ$61,MATCH(Both_Shift_Roster!U$2,Morning_Shift!$B$2:$BJ$2,0),0),""))</f>
        <v>0</v>
      </c>
      <c r="V120" s="2">
        <f>IF(IFERROR(VLOOKUP($B120,Morning_Shift!$B$4:$BJ$61,MATCH(Both_Shift_Roster!V$2,Morning_Shift!$B$2:$BJ$2,0),0),"")="",IFERROR(VLOOKUP($B120,Evening_Shift!$B$4:$BJ$62,MATCH(Both_Shift_Roster!V$2,Evening_Shift!$B$2:$BJ$2,0),0),""),IFERROR(VLOOKUP($B120,Morning_Shift!$B$4:$BJ$61,MATCH(Both_Shift_Roster!V$2,Morning_Shift!$B$2:$BJ$2,0),0),""))</f>
        <v>0</v>
      </c>
      <c r="W120" s="2">
        <f>IF(IFERROR(VLOOKUP($B120,Morning_Shift!$B$4:$BJ$61,MATCH(Both_Shift_Roster!W$2,Morning_Shift!$B$2:$BJ$2,0),0),"")="",IFERROR(VLOOKUP($B120,Evening_Shift!$B$4:$BJ$62,MATCH(Both_Shift_Roster!W$2,Evening_Shift!$B$2:$BJ$2,0),0),""),IFERROR(VLOOKUP($B120,Morning_Shift!$B$4:$BJ$61,MATCH(Both_Shift_Roster!W$2,Morning_Shift!$B$2:$BJ$2,0),0),""))</f>
        <v>0</v>
      </c>
      <c r="X120" s="2">
        <f>IF(IFERROR(VLOOKUP($B120,Morning_Shift!$B$4:$BJ$61,MATCH(Both_Shift_Roster!X$2,Morning_Shift!$B$2:$BJ$2,0),0),"")="",IFERROR(VLOOKUP($B120,Evening_Shift!$B$4:$BJ$62,MATCH(Both_Shift_Roster!X$2,Evening_Shift!$B$2:$BJ$2,0),0),""),IFERROR(VLOOKUP($B120,Morning_Shift!$B$4:$BJ$61,MATCH(Both_Shift_Roster!X$2,Morning_Shift!$B$2:$BJ$2,0),0),""))</f>
        <v>0</v>
      </c>
      <c r="Y120" s="2">
        <f>IF(IFERROR(VLOOKUP($B120,Morning_Shift!$B$4:$BJ$61,MATCH(Both_Shift_Roster!Y$2,Morning_Shift!$B$2:$BJ$2,0),0),"")="",IFERROR(VLOOKUP($B120,Evening_Shift!$B$4:$BJ$62,MATCH(Both_Shift_Roster!Y$2,Evening_Shift!$B$2:$BJ$2,0),0),""),IFERROR(VLOOKUP($B120,Morning_Shift!$B$4:$BJ$61,MATCH(Both_Shift_Roster!Y$2,Morning_Shift!$B$2:$BJ$2,0),0),""))</f>
        <v>0</v>
      </c>
      <c r="Z120" s="2">
        <f t="shared" si="46"/>
        <v>0</v>
      </c>
      <c r="AA120" s="2">
        <f t="shared" si="47"/>
        <v>0</v>
      </c>
      <c r="AB120" s="2">
        <f t="shared" si="48"/>
        <v>0</v>
      </c>
      <c r="AC120" s="2">
        <f t="shared" si="49"/>
        <v>0</v>
      </c>
      <c r="AD120" s="2">
        <f t="shared" si="50"/>
        <v>0</v>
      </c>
      <c r="AE120" s="2">
        <f>IF(IFERROR(VLOOKUP($B120,Morning_Shift!$B$4:$BJ$61,MATCH(Both_Shift_Roster!AE$2,Morning_Shift!$B$2:$BJ$2,0),0),"")="",IFERROR(VLOOKUP($B120,Evening_Shift!$B$4:$BJ$62,MATCH(Both_Shift_Roster!AE$2,Evening_Shift!$B$2:$BJ$2,0),0),""),IFERROR(VLOOKUP($B120,Morning_Shift!$B$4:$BJ$61,MATCH(Both_Shift_Roster!AE$2,Morning_Shift!$B$2:$BJ$2,0),0),""))</f>
        <v>0</v>
      </c>
      <c r="AF120" s="2">
        <f>IF(IFERROR(VLOOKUP($B120,Morning_Shift!$B$4:$BJ$61,MATCH(Both_Shift_Roster!AF$2,Morning_Shift!$B$2:$BJ$2,0),0),"")="",IFERROR(VLOOKUP($B120,Evening_Shift!$B$4:$BJ$62,MATCH(Both_Shift_Roster!AF$2,Evening_Shift!$B$2:$BJ$2,0),0),""),IFERROR(VLOOKUP($B120,Morning_Shift!$B$4:$BJ$61,MATCH(Both_Shift_Roster!AF$2,Morning_Shift!$B$2:$BJ$2,0),0),""))</f>
        <v>0</v>
      </c>
      <c r="AG120" s="2">
        <f>IF(IFERROR(VLOOKUP($B120,Morning_Shift!$B$4:$BJ$61,MATCH(Both_Shift_Roster!AG$2,Morning_Shift!$B$2:$BJ$2,0),0),"")="",IFERROR(VLOOKUP($B120,Evening_Shift!$B$4:$BJ$62,MATCH(Both_Shift_Roster!AG$2,Evening_Shift!$B$2:$BJ$2,0),0),""),IFERROR(VLOOKUP($B120,Morning_Shift!$B$4:$BJ$61,MATCH(Both_Shift_Roster!AG$2,Morning_Shift!$B$2:$BJ$2,0),0),""))</f>
        <v>0</v>
      </c>
      <c r="AH120" s="2">
        <f>IF(IFERROR(VLOOKUP($B120,Morning_Shift!$B$4:$BJ$61,MATCH(Both_Shift_Roster!AH$2,Morning_Shift!$B$2:$BJ$2,0),0),"")="",IFERROR(VLOOKUP($B120,Evening_Shift!$B$4:$BJ$62,MATCH(Both_Shift_Roster!AH$2,Evening_Shift!$B$2:$BJ$2,0),0),""),IFERROR(VLOOKUP($B120,Morning_Shift!$B$4:$BJ$61,MATCH(Both_Shift_Roster!AH$2,Morning_Shift!$B$2:$BJ$2,0),0),""))</f>
        <v>0</v>
      </c>
      <c r="AI120" s="2">
        <f>IF(IFERROR(VLOOKUP($B120,Morning_Shift!$B$4:$BJ$61,MATCH(Both_Shift_Roster!AI$2,Morning_Shift!$B$2:$BJ$2,0),0),"")="",IFERROR(VLOOKUP($B120,Evening_Shift!$B$4:$BJ$62,MATCH(Both_Shift_Roster!AI$2,Evening_Shift!$B$2:$BJ$2,0),0),""),IFERROR(VLOOKUP($B120,Morning_Shift!$B$4:$BJ$61,MATCH(Both_Shift_Roster!AI$2,Morning_Shift!$B$2:$BJ$2,0),0),""))</f>
        <v>0</v>
      </c>
      <c r="AJ120" s="2">
        <f>IF(IFERROR(VLOOKUP($B120,Morning_Shift!$B$4:$BJ$61,MATCH(Both_Shift_Roster!AJ$2,Morning_Shift!$B$2:$BJ$2,0),0),"")="",IFERROR(VLOOKUP($B120,Evening_Shift!$B$4:$BJ$62,MATCH(Both_Shift_Roster!AJ$2,Evening_Shift!$B$2:$BJ$2,0),0),""),IFERROR(VLOOKUP($B120,Morning_Shift!$B$4:$BJ$61,MATCH(Both_Shift_Roster!AJ$2,Morning_Shift!$B$2:$BJ$2,0),0),""))</f>
        <v>0</v>
      </c>
      <c r="AK120" s="2" t="str">
        <f>IF(IFERROR(VLOOKUP($B120,Morning_Shift!$B$4:$BJ$61,MATCH(Both_Shift_Roster!AK$2,Morning_Shift!$B$2:$BJ$2,0),0),"")="",IFERROR(VLOOKUP($B120,Evening_Shift!$B$4:$BJ$62,MATCH(Both_Shift_Roster!AK$2,Evening_Shift!$B$2:$BJ$2,0),0),""),IFERROR(VLOOKUP($B120,Morning_Shift!$B$4:$BJ$61,MATCH(Both_Shift_Roster!AK$2,Morning_Shift!$B$2:$BJ$2,0),0),""))</f>
        <v>14:30-22:00</v>
      </c>
      <c r="AL120" s="2">
        <f t="shared" si="51"/>
        <v>0</v>
      </c>
      <c r="AM120" s="2">
        <f t="shared" si="52"/>
        <v>0</v>
      </c>
      <c r="AN120" s="2">
        <f t="shared" si="53"/>
        <v>0</v>
      </c>
      <c r="AO120" s="2">
        <f t="shared" si="54"/>
        <v>0</v>
      </c>
      <c r="AP120" s="2">
        <f t="shared" si="55"/>
        <v>0</v>
      </c>
      <c r="AQ120" s="2" t="str">
        <f>IF(IFERROR(VLOOKUP($B120,Morning_Shift!$B$4:$BJ$61,MATCH(Both_Shift_Roster!AQ$2,Morning_Shift!$B$2:$BJ$2,0),0),"")="",IFERROR(VLOOKUP($B120,Evening_Shift!$B$4:$BJ$62,MATCH(Both_Shift_Roster!AQ$2,Evening_Shift!$B$2:$BJ$2,0),0),""),IFERROR(VLOOKUP($B120,Morning_Shift!$B$4:$BJ$61,MATCH(Both_Shift_Roster!AQ$2,Morning_Shift!$B$2:$BJ$2,0),0),""))</f>
        <v>14:30-22:00</v>
      </c>
      <c r="AR120" s="2" t="str">
        <f>IF(IFERROR(VLOOKUP($B120,Morning_Shift!$B$4:$BJ$61,MATCH(Both_Shift_Roster!AR$2,Morning_Shift!$B$2:$BJ$2,0),0),"")="",IFERROR(VLOOKUP($B120,Evening_Shift!$B$4:$BJ$62,MATCH(Both_Shift_Roster!AR$2,Evening_Shift!$B$2:$BJ$2,0),0),""),IFERROR(VLOOKUP($B120,Morning_Shift!$B$4:$BJ$61,MATCH(Both_Shift_Roster!AR$2,Morning_Shift!$B$2:$BJ$2,0),0),""))</f>
        <v>14:30-22:00</v>
      </c>
      <c r="AS120" s="2" t="str">
        <f>IF(IFERROR(VLOOKUP($B120,Morning_Shift!$B$4:$BJ$61,MATCH(Both_Shift_Roster!AS$2,Morning_Shift!$B$2:$BJ$2,0),0),"")="",IFERROR(VLOOKUP($B120,Evening_Shift!$B$4:$BJ$62,MATCH(Both_Shift_Roster!AS$2,Evening_Shift!$B$2:$BJ$2,0),0),""),IFERROR(VLOOKUP($B120,Morning_Shift!$B$4:$BJ$61,MATCH(Both_Shift_Roster!AS$2,Morning_Shift!$B$2:$BJ$2,0),0),""))</f>
        <v>14:30-22:00</v>
      </c>
      <c r="AT120" s="2" t="str">
        <f>IF(IFERROR(VLOOKUP($B120,Morning_Shift!$B$4:$BJ$61,MATCH(Both_Shift_Roster!AT$2,Morning_Shift!$B$2:$BJ$2,0),0),"")="",IFERROR(VLOOKUP($B120,Evening_Shift!$B$4:$BJ$62,MATCH(Both_Shift_Roster!AT$2,Evening_Shift!$B$2:$BJ$2,0),0),""),IFERROR(VLOOKUP($B120,Morning_Shift!$B$4:$BJ$61,MATCH(Both_Shift_Roster!AT$2,Morning_Shift!$B$2:$BJ$2,0),0),""))</f>
        <v>14:30-22:00</v>
      </c>
      <c r="AU120" s="2" t="str">
        <f>IF(IFERROR(VLOOKUP($B120,Morning_Shift!$B$4:$BJ$61,MATCH(Both_Shift_Roster!AU$2,Morning_Shift!$B$2:$BJ$2,0),0),"")="",IFERROR(VLOOKUP($B120,Evening_Shift!$B$4:$BJ$62,MATCH(Both_Shift_Roster!AU$2,Evening_Shift!$B$2:$BJ$2,0),0),""),IFERROR(VLOOKUP($B120,Morning_Shift!$B$4:$BJ$61,MATCH(Both_Shift_Roster!AU$2,Morning_Shift!$B$2:$BJ$2,0),0),""))</f>
        <v>TL Choice WO</v>
      </c>
      <c r="AV120" s="2" t="str">
        <f>IF(IFERROR(VLOOKUP($B120,Morning_Shift!$B$4:$BJ$61,MATCH(Both_Shift_Roster!AV$2,Morning_Shift!$B$2:$BJ$2,0),0),"")="",IFERROR(VLOOKUP($B120,Evening_Shift!$B$4:$BJ$62,MATCH(Both_Shift_Roster!AV$2,Evening_Shift!$B$2:$BJ$2,0),0),""),IFERROR(VLOOKUP($B120,Morning_Shift!$B$4:$BJ$61,MATCH(Both_Shift_Roster!AV$2,Morning_Shift!$B$2:$BJ$2,0),0),""))</f>
        <v>14:30-22:00</v>
      </c>
      <c r="AW120" s="2" t="str">
        <f>IF(IFERROR(VLOOKUP($B120,Morning_Shift!$B$4:$BJ$61,MATCH(Both_Shift_Roster!AW$2,Morning_Shift!$B$2:$BJ$2,0),0),"")="",IFERROR(VLOOKUP($B120,Evening_Shift!$B$4:$BJ$62,MATCH(Both_Shift_Roster!AW$2,Evening_Shift!$B$2:$BJ$2,0),0),""),IFERROR(VLOOKUP($B120,Morning_Shift!$B$4:$BJ$61,MATCH(Both_Shift_Roster!AW$2,Morning_Shift!$B$2:$BJ$2,0),0),""))</f>
        <v>14:30-22:00</v>
      </c>
      <c r="AX120" s="2">
        <f t="shared" si="56"/>
        <v>0</v>
      </c>
      <c r="AY120" s="2">
        <f t="shared" si="57"/>
        <v>1</v>
      </c>
      <c r="AZ120" s="2">
        <f t="shared" si="58"/>
        <v>0</v>
      </c>
      <c r="BA120" s="2">
        <f t="shared" si="59"/>
        <v>0</v>
      </c>
      <c r="BB120" s="2">
        <f t="shared" si="60"/>
        <v>0</v>
      </c>
      <c r="BC120" s="2" t="str">
        <f>IF(IFERROR(VLOOKUP($B120,Morning_Shift!$B$4:$BJ$61,MATCH(Both_Shift_Roster!BC$2,Morning_Shift!$B$2:$BJ$2,0),0),"")="",IFERROR(VLOOKUP($B120,Evening_Shift!$B$4:$BJ$62,MATCH(Both_Shift_Roster!BC$2,Evening_Shift!$B$2:$BJ$2,0),0),""),IFERROR(VLOOKUP($B120,Morning_Shift!$B$4:$BJ$61,MATCH(Both_Shift_Roster!BC$2,Morning_Shift!$B$2:$BJ$2,0),0),""))</f>
        <v>14:30-22:00</v>
      </c>
      <c r="BD120" s="2" t="str">
        <f>IF(IFERROR(VLOOKUP($B120,Morning_Shift!$B$4:$BJ$61,MATCH(Both_Shift_Roster!BD$2,Morning_Shift!$B$2:$BJ$2,0),0),"")="",IFERROR(VLOOKUP($B120,Evening_Shift!$B$4:$BJ$62,MATCH(Both_Shift_Roster!BD$2,Evening_Shift!$B$2:$BJ$2,0),0),""),IFERROR(VLOOKUP($B120,Morning_Shift!$B$4:$BJ$61,MATCH(Both_Shift_Roster!BD$2,Morning_Shift!$B$2:$BJ$2,0),0),""))</f>
        <v>14:30-22:00</v>
      </c>
      <c r="BE120" s="2" t="str">
        <f>IF(IFERROR(VLOOKUP($B120,Morning_Shift!$B$4:$BJ$61,MATCH(Both_Shift_Roster!BE$2,Morning_Shift!$B$2:$BJ$2,0),0),"")="",IFERROR(VLOOKUP($B120,Evening_Shift!$B$4:$BJ$59,MATCH(Both_Shift_Roster!BE$2,Evening_Shift!$B$2:$BJ$2,0),0),""),IFERROR(VLOOKUP($B120,Morning_Shift!$B$4:$BJ$61,MATCH(Both_Shift_Roster!BE$2,Morning_Shift!$B$2:$BJ$2,0),0),""))</f>
        <v/>
      </c>
      <c r="BF120" s="2">
        <f t="shared" si="61"/>
        <v>0</v>
      </c>
      <c r="BG120" s="2">
        <f t="shared" si="62"/>
        <v>0</v>
      </c>
      <c r="BH120" s="2">
        <f t="shared" si="63"/>
        <v>0</v>
      </c>
      <c r="BI120" s="2">
        <f t="shared" si="64"/>
        <v>0</v>
      </c>
      <c r="BJ120" s="2">
        <f t="shared" si="65"/>
        <v>0</v>
      </c>
    </row>
    <row r="121" spans="1:6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">
        <f>SUM(N4:N120)</f>
        <v>114</v>
      </c>
      <c r="O121" s="2">
        <f>SUM(O4:O120)</f>
        <v>0</v>
      </c>
      <c r="P121" s="2">
        <f>SUM(P4:P120)</f>
        <v>0</v>
      </c>
      <c r="Q121" s="2">
        <f>SUM(Q4:Q120)</f>
        <v>1</v>
      </c>
      <c r="R121" s="2">
        <f>SUM(R4:R120)</f>
        <v>4</v>
      </c>
      <c r="S121" s="1"/>
      <c r="T121" s="1"/>
      <c r="U121" s="1"/>
      <c r="V121" s="1"/>
      <c r="W121" s="1"/>
      <c r="X121" s="1"/>
      <c r="Y121" s="1"/>
      <c r="Z121" s="2">
        <f>SUM(Z4:Z120)</f>
        <v>106</v>
      </c>
      <c r="AA121" s="2">
        <f>SUM(AA4:AA120)</f>
        <v>4</v>
      </c>
      <c r="AB121" s="2">
        <f>SUM(AB4:AB120)</f>
        <v>2</v>
      </c>
      <c r="AC121" s="2">
        <f>SUM(AC4:AC120)</f>
        <v>0</v>
      </c>
      <c r="AD121" s="2">
        <f>SUM(AD4:AD120)</f>
        <v>21</v>
      </c>
      <c r="AE121" s="2" t="str">
        <f>IF(IFERROR(VLOOKUP($B121,Morning_Shift!$B$5:$BJ$58,MATCH(Both_Shift_Roster!AE$2,Morning_Shift!$B$2:$BJ$2,0),0),"")="",IFERROR(VLOOKUP($B121,Evening_Shift!$B$4:$BJ$56,MATCH(Both_Shift_Roster!AE$2,Evening_Shift!$B$2:$BJ$2,0),0),""),IFERROR(VLOOKUP($B121,Morning_Shift!$B$5:$BJ$58,MATCH(Both_Shift_Roster!AE$2,Morning_Shift!$B$2:$BJ$2,0),0),""))</f>
        <v/>
      </c>
      <c r="AF121" s="2" t="str">
        <f>IF(IFERROR(VLOOKUP($B121,Morning_Shift!$B$5:$BJ$58,MATCH(Both_Shift_Roster!AF$2,Morning_Shift!$B$2:$BJ$2,0),0),"")="",IFERROR(VLOOKUP($B121,Evening_Shift!$B$4:$BJ$56,MATCH(Both_Shift_Roster!AF$2,Evening_Shift!$B$2:$BJ$2,0),0),""),IFERROR(VLOOKUP($B121,Morning_Shift!$B$5:$BJ$58,MATCH(Both_Shift_Roster!AF$2,Morning_Shift!$B$2:$BJ$2,0),0),""))</f>
        <v/>
      </c>
      <c r="AG121" s="1"/>
      <c r="AH121" s="1"/>
      <c r="AI121" s="1"/>
      <c r="AJ121" s="1"/>
      <c r="AK121" s="1"/>
      <c r="AL121" s="2">
        <f>SUM(AL4:AL120)</f>
        <v>112</v>
      </c>
      <c r="AM121" s="2">
        <f>SUM(AM4:AM120)</f>
        <v>3</v>
      </c>
      <c r="AN121" s="2">
        <f>SUM(AN4:AN120)</f>
        <v>7</v>
      </c>
      <c r="AO121" s="2">
        <f>SUM(AO4:AO120)</f>
        <v>0</v>
      </c>
      <c r="AP121" s="2">
        <f>SUM(AP4:AP120)</f>
        <v>9</v>
      </c>
      <c r="AQ121" s="1"/>
      <c r="AR121" s="1"/>
      <c r="AS121" s="1"/>
      <c r="AT121" s="1"/>
      <c r="AU121" s="1"/>
      <c r="AV121" s="1"/>
      <c r="AW121" s="1"/>
      <c r="AX121" s="2">
        <f>SUM(AX4:AX120)</f>
        <v>95</v>
      </c>
      <c r="AY121" s="2">
        <f>SUM(AY4:AY120)</f>
        <v>12</v>
      </c>
      <c r="AZ121" s="2">
        <f>SUM(AZ4:AZ120)</f>
        <v>23</v>
      </c>
      <c r="BA121" s="2">
        <f>SUM(BA4:BA120)</f>
        <v>0</v>
      </c>
      <c r="BB121" s="2">
        <f>SUM(BB4:BB120)</f>
        <v>4</v>
      </c>
      <c r="BC121" s="1"/>
      <c r="BD121" s="1"/>
      <c r="BE121" s="1"/>
      <c r="BF121" s="2">
        <f>SUM(BF4:BF120)</f>
        <v>27</v>
      </c>
      <c r="BG121" s="2">
        <f>SUM(BG4:BG120)</f>
        <v>0</v>
      </c>
      <c r="BH121" s="2">
        <f>SUM(BH4:BH120)</f>
        <v>8</v>
      </c>
      <c r="BI121" s="2">
        <f>SUM(BI4:BI120)</f>
        <v>0</v>
      </c>
      <c r="BJ121" s="2">
        <f>SUM(BJ4:BJ120)</f>
        <v>0</v>
      </c>
    </row>
    <row r="122" spans="1:62">
      <c r="A122" s="1"/>
      <c r="B122" s="1"/>
      <c r="C122" s="1"/>
      <c r="D122" s="1"/>
      <c r="E122" s="1"/>
      <c r="F122" s="6" t="s">
        <v>135</v>
      </c>
      <c r="G122" s="2">
        <f t="shared" ref="G122:M122" si="67">+COUNTA(G4:G120)-COUNTIF(G4:G120,"Left")</f>
        <v>117</v>
      </c>
      <c r="H122" s="2">
        <f t="shared" si="67"/>
        <v>117</v>
      </c>
      <c r="I122" s="2">
        <f t="shared" si="67"/>
        <v>117</v>
      </c>
      <c r="J122" s="2">
        <f t="shared" si="67"/>
        <v>117</v>
      </c>
      <c r="K122" s="2">
        <f t="shared" si="67"/>
        <v>117</v>
      </c>
      <c r="L122" s="2">
        <f t="shared" si="67"/>
        <v>117</v>
      </c>
      <c r="M122" s="2">
        <f t="shared" si="67"/>
        <v>117</v>
      </c>
      <c r="S122" s="2">
        <f t="shared" ref="S122:Y122" si="68">+COUNTA(S4:S120)-COUNTIF(S4:S120,"Left")</f>
        <v>117</v>
      </c>
      <c r="T122" s="2">
        <f t="shared" si="68"/>
        <v>117</v>
      </c>
      <c r="U122" s="2">
        <f t="shared" si="68"/>
        <v>117</v>
      </c>
      <c r="V122" s="2">
        <f t="shared" si="68"/>
        <v>117</v>
      </c>
      <c r="W122" s="2">
        <f t="shared" si="68"/>
        <v>117</v>
      </c>
      <c r="X122" s="2">
        <f t="shared" si="68"/>
        <v>117</v>
      </c>
      <c r="Y122" s="2">
        <f t="shared" si="68"/>
        <v>117</v>
      </c>
      <c r="AE122" s="2">
        <f t="shared" ref="AE122:AK122" si="69">+COUNTA(AE4:AE120)-COUNTIF(AE4:AE120,"Left")</f>
        <v>117</v>
      </c>
      <c r="AF122" s="2">
        <f t="shared" si="69"/>
        <v>117</v>
      </c>
      <c r="AG122" s="2">
        <f t="shared" si="69"/>
        <v>117</v>
      </c>
      <c r="AH122" s="2">
        <f t="shared" si="69"/>
        <v>117</v>
      </c>
      <c r="AI122" s="2">
        <f t="shared" si="69"/>
        <v>116</v>
      </c>
      <c r="AJ122" s="2">
        <f t="shared" si="69"/>
        <v>116</v>
      </c>
      <c r="AK122" s="2">
        <f t="shared" si="69"/>
        <v>116</v>
      </c>
      <c r="AQ122" s="2">
        <f t="shared" ref="AQ122:AW122" si="70">+COUNTA(AQ4:AQ120)-COUNTIF(AQ4:AQ120,"Left")</f>
        <v>116</v>
      </c>
      <c r="AR122" s="2">
        <f t="shared" si="70"/>
        <v>116</v>
      </c>
      <c r="AS122" s="2">
        <f t="shared" si="70"/>
        <v>116</v>
      </c>
      <c r="AT122" s="2">
        <f t="shared" si="70"/>
        <v>115</v>
      </c>
      <c r="AU122" s="2">
        <f t="shared" si="70"/>
        <v>115</v>
      </c>
      <c r="AV122" s="2">
        <f t="shared" si="70"/>
        <v>115</v>
      </c>
      <c r="AW122" s="2">
        <f t="shared" si="70"/>
        <v>115</v>
      </c>
      <c r="BC122" s="2">
        <f>+COUNTA(BC4:BC120)-COUNTIF(BC4:BC120,"Left")</f>
        <v>115</v>
      </c>
      <c r="BD122" s="2">
        <f>+COUNTA(BD4:BD120)-COUNTIF(BD4:BD120,"Left")</f>
        <v>115</v>
      </c>
      <c r="BE122" s="2">
        <f>+COUNTA(BE4:BE120)-COUNTIF(BE4:BE120,"Left")</f>
        <v>115</v>
      </c>
    </row>
    <row r="123" spans="1:62">
      <c r="A123" s="1"/>
      <c r="B123" s="1"/>
      <c r="C123" s="1"/>
      <c r="D123" s="1"/>
      <c r="E123" s="1"/>
      <c r="F123" s="6" t="s">
        <v>9</v>
      </c>
      <c r="G123" s="2">
        <f t="shared" ref="G123:M123" si="71">COUNTIF(G4:G120,"Agent Choice WO")+COUNTIF(G4:G120,"TL Choice WO")</f>
        <v>14</v>
      </c>
      <c r="H123" s="2">
        <f t="shared" si="71"/>
        <v>15</v>
      </c>
      <c r="I123" s="2">
        <f t="shared" si="71"/>
        <v>14</v>
      </c>
      <c r="J123" s="2">
        <f t="shared" si="71"/>
        <v>20</v>
      </c>
      <c r="K123" s="2">
        <f t="shared" si="71"/>
        <v>13</v>
      </c>
      <c r="L123" s="2">
        <f t="shared" si="71"/>
        <v>25</v>
      </c>
      <c r="M123" s="2">
        <f t="shared" si="71"/>
        <v>13</v>
      </c>
      <c r="S123" s="2">
        <f t="shared" ref="S123:Y123" si="72">COUNTIF(S4:S120,"Agent Choice WO")+COUNTIF(S4:S120,"TL Choice WO")</f>
        <v>14</v>
      </c>
      <c r="T123" s="2">
        <f t="shared" si="72"/>
        <v>12</v>
      </c>
      <c r="U123" s="2">
        <f t="shared" si="72"/>
        <v>13</v>
      </c>
      <c r="V123" s="2">
        <f t="shared" si="72"/>
        <v>11</v>
      </c>
      <c r="W123" s="2">
        <f t="shared" si="72"/>
        <v>19</v>
      </c>
      <c r="X123" s="2">
        <f t="shared" si="72"/>
        <v>25</v>
      </c>
      <c r="Y123" s="2">
        <f t="shared" si="72"/>
        <v>16</v>
      </c>
      <c r="AE123" s="2">
        <f t="shared" ref="AE123:AK123" si="73">COUNTIF(AE4:AE120,"Agent Choice WO")+COUNTIF(AE4:AE120,"TL Choice WO")</f>
        <v>15</v>
      </c>
      <c r="AF123" s="2">
        <f t="shared" si="73"/>
        <v>13</v>
      </c>
      <c r="AG123" s="2">
        <f t="shared" si="73"/>
        <v>14</v>
      </c>
      <c r="AH123" s="2">
        <f t="shared" si="73"/>
        <v>15</v>
      </c>
      <c r="AI123" s="2">
        <f t="shared" si="73"/>
        <v>16</v>
      </c>
      <c r="AJ123" s="2">
        <f t="shared" si="73"/>
        <v>25</v>
      </c>
      <c r="AK123" s="2">
        <f t="shared" si="73"/>
        <v>17</v>
      </c>
      <c r="AQ123" s="2">
        <f t="shared" ref="AQ123:AW123" si="74">COUNTIF(AQ4:AQ120,"Agent Choice WO")+COUNTIF(AQ4:AQ120,"TL Choice WO")</f>
        <v>13</v>
      </c>
      <c r="AR123" s="2">
        <f t="shared" si="74"/>
        <v>13</v>
      </c>
      <c r="AS123" s="2">
        <f t="shared" si="74"/>
        <v>15</v>
      </c>
      <c r="AT123" s="2">
        <f t="shared" si="74"/>
        <v>11</v>
      </c>
      <c r="AU123" s="2">
        <f t="shared" si="74"/>
        <v>16</v>
      </c>
      <c r="AV123" s="2">
        <f t="shared" si="74"/>
        <v>26</v>
      </c>
      <c r="AW123" s="2">
        <f t="shared" si="74"/>
        <v>13</v>
      </c>
      <c r="BC123" s="2">
        <f>COUNTIF(BC4:BC120,"Agent Choice WO")+COUNTIF(BC4:BC120,"TL Choice WO")</f>
        <v>13</v>
      </c>
      <c r="BD123" s="2">
        <f>COUNTIF(BD4:BD120,"Agent Choice WO")+COUNTIF(BD4:BD120,"TL Choice WO")</f>
        <v>13</v>
      </c>
      <c r="BE123" s="2">
        <f>COUNTIF(BE4:BE120,"Agent Choice WO")+COUNTIF(BE4:BE120,"TL Choice WO")</f>
        <v>1</v>
      </c>
    </row>
    <row r="124" spans="1:62">
      <c r="A124" s="1"/>
      <c r="B124" s="1"/>
      <c r="C124" s="1"/>
      <c r="D124" s="1"/>
      <c r="E124" s="1"/>
      <c r="F124" s="6" t="s">
        <v>5</v>
      </c>
      <c r="G124" s="2">
        <f t="shared" ref="G124:M124" si="75">COUNTIF(G4:G120,"HD")</f>
        <v>1</v>
      </c>
      <c r="H124" s="2">
        <f t="shared" si="75"/>
        <v>0</v>
      </c>
      <c r="I124" s="2">
        <f t="shared" si="75"/>
        <v>0</v>
      </c>
      <c r="J124" s="2">
        <f t="shared" si="75"/>
        <v>0</v>
      </c>
      <c r="K124" s="2">
        <f t="shared" si="75"/>
        <v>0</v>
      </c>
      <c r="L124" s="2">
        <f t="shared" si="75"/>
        <v>0</v>
      </c>
      <c r="M124" s="2">
        <f t="shared" si="75"/>
        <v>0</v>
      </c>
      <c r="S124" s="2">
        <f t="shared" ref="S124:Y124" si="76">COUNTIF(S4:S120,"HD")</f>
        <v>0</v>
      </c>
      <c r="T124" s="2">
        <f t="shared" si="76"/>
        <v>0</v>
      </c>
      <c r="U124" s="2">
        <f t="shared" si="76"/>
        <v>0</v>
      </c>
      <c r="V124" s="2">
        <f t="shared" si="76"/>
        <v>0</v>
      </c>
      <c r="W124" s="2">
        <f t="shared" si="76"/>
        <v>0</v>
      </c>
      <c r="X124" s="2">
        <f t="shared" si="76"/>
        <v>0</v>
      </c>
      <c r="Y124" s="2">
        <f t="shared" si="76"/>
        <v>0</v>
      </c>
      <c r="AE124" s="2">
        <f t="shared" ref="AE124:AK124" si="77">COUNTIF(AE4:AE120,"HD")</f>
        <v>0</v>
      </c>
      <c r="AF124" s="2">
        <f t="shared" si="77"/>
        <v>0</v>
      </c>
      <c r="AG124" s="2">
        <f t="shared" si="77"/>
        <v>0</v>
      </c>
      <c r="AH124" s="2">
        <f t="shared" si="77"/>
        <v>0</v>
      </c>
      <c r="AI124" s="2">
        <f t="shared" si="77"/>
        <v>0</v>
      </c>
      <c r="AJ124" s="2">
        <f t="shared" si="77"/>
        <v>0</v>
      </c>
      <c r="AK124" s="2">
        <f t="shared" si="77"/>
        <v>0</v>
      </c>
      <c r="AQ124" s="2">
        <f t="shared" ref="AQ124:AW124" si="78">COUNTIF(AQ4:AQ120,"HD")</f>
        <v>0</v>
      </c>
      <c r="AR124" s="2">
        <f t="shared" si="78"/>
        <v>0</v>
      </c>
      <c r="AS124" s="2">
        <f t="shared" si="78"/>
        <v>0</v>
      </c>
      <c r="AT124" s="2">
        <f t="shared" si="78"/>
        <v>0</v>
      </c>
      <c r="AU124" s="2">
        <f t="shared" si="78"/>
        <v>0</v>
      </c>
      <c r="AV124" s="2">
        <f t="shared" si="78"/>
        <v>0</v>
      </c>
      <c r="AW124" s="2">
        <f t="shared" si="78"/>
        <v>0</v>
      </c>
      <c r="BC124" s="2">
        <f>COUNTIF(BC4:BC120,"HD")</f>
        <v>0</v>
      </c>
      <c r="BD124" s="2">
        <f>COUNTIF(BD4:BD120,"HD")</f>
        <v>0</v>
      </c>
      <c r="BE124" s="2">
        <f>COUNTIF(BE4:BE120,"HD")</f>
        <v>0</v>
      </c>
    </row>
    <row r="125" spans="1:62">
      <c r="A125" s="1"/>
      <c r="B125" s="1"/>
      <c r="C125" s="1"/>
      <c r="D125" s="1"/>
      <c r="E125" s="1"/>
      <c r="F125" s="6" t="s">
        <v>6</v>
      </c>
      <c r="G125" s="2">
        <f t="shared" ref="G125:M125" si="79">COUNTIF(G4:G120,"LP")</f>
        <v>0</v>
      </c>
      <c r="H125" s="2">
        <f t="shared" si="79"/>
        <v>0</v>
      </c>
      <c r="I125" s="2">
        <f t="shared" si="79"/>
        <v>0</v>
      </c>
      <c r="J125" s="2">
        <f t="shared" si="79"/>
        <v>0</v>
      </c>
      <c r="K125" s="2">
        <f t="shared" si="79"/>
        <v>1</v>
      </c>
      <c r="L125" s="2">
        <f t="shared" si="79"/>
        <v>1</v>
      </c>
      <c r="M125" s="2">
        <f t="shared" si="79"/>
        <v>2</v>
      </c>
      <c r="S125" s="2">
        <f t="shared" ref="S125:Y125" si="80">COUNTIF(S4:S120,"LP")</f>
        <v>1</v>
      </c>
      <c r="T125" s="2">
        <f t="shared" si="80"/>
        <v>3</v>
      </c>
      <c r="U125" s="2">
        <f t="shared" si="80"/>
        <v>4</v>
      </c>
      <c r="V125" s="2">
        <f t="shared" si="80"/>
        <v>5</v>
      </c>
      <c r="W125" s="2">
        <f t="shared" si="80"/>
        <v>3</v>
      </c>
      <c r="X125" s="2">
        <f t="shared" si="80"/>
        <v>3</v>
      </c>
      <c r="Y125" s="2">
        <f t="shared" si="80"/>
        <v>2</v>
      </c>
      <c r="AE125" s="2">
        <f t="shared" ref="AE125:AK125" si="81">COUNTIF(AE4:AE120,"LP")</f>
        <v>2</v>
      </c>
      <c r="AF125" s="2">
        <f t="shared" si="81"/>
        <v>2</v>
      </c>
      <c r="AG125" s="2">
        <f t="shared" si="81"/>
        <v>2</v>
      </c>
      <c r="AH125" s="2">
        <f t="shared" si="81"/>
        <v>1</v>
      </c>
      <c r="AI125" s="2">
        <f t="shared" si="81"/>
        <v>1</v>
      </c>
      <c r="AJ125" s="2">
        <f t="shared" si="81"/>
        <v>1</v>
      </c>
      <c r="AK125" s="2">
        <f t="shared" si="81"/>
        <v>0</v>
      </c>
      <c r="AQ125" s="2">
        <f t="shared" ref="AQ125:AW125" si="82">COUNTIF(AQ4:AQ120,"LP")</f>
        <v>1</v>
      </c>
      <c r="AR125" s="2">
        <f t="shared" si="82"/>
        <v>0</v>
      </c>
      <c r="AS125" s="2">
        <f t="shared" si="82"/>
        <v>1</v>
      </c>
      <c r="AT125" s="2">
        <f t="shared" si="82"/>
        <v>2</v>
      </c>
      <c r="AU125" s="2">
        <f t="shared" si="82"/>
        <v>0</v>
      </c>
      <c r="AV125" s="2">
        <f t="shared" si="82"/>
        <v>0</v>
      </c>
      <c r="AW125" s="2">
        <f t="shared" si="82"/>
        <v>0</v>
      </c>
      <c r="BC125" s="2">
        <f>COUNTIF(BC4:BC120,"LP")</f>
        <v>0</v>
      </c>
      <c r="BD125" s="2">
        <f>COUNTIF(BD4:BD120,"LP")</f>
        <v>0</v>
      </c>
      <c r="BE125" s="2">
        <f>COUNTIF(BE4:BE120,"LP")</f>
        <v>0</v>
      </c>
    </row>
    <row r="126" spans="1:62" ht="15" customHeight="1">
      <c r="A126" s="1"/>
      <c r="B126" s="1"/>
      <c r="C126" s="1"/>
      <c r="D126" s="1"/>
      <c r="E126" s="1"/>
      <c r="F126" s="6" t="s">
        <v>136</v>
      </c>
      <c r="G126" s="2">
        <f t="shared" ref="G126:M126" si="83">COUNTIF(G4:G120,"Left")</f>
        <v>0</v>
      </c>
      <c r="H126" s="2">
        <f t="shared" si="83"/>
        <v>0</v>
      </c>
      <c r="I126" s="2">
        <f t="shared" si="83"/>
        <v>0</v>
      </c>
      <c r="J126" s="2">
        <f t="shared" si="83"/>
        <v>0</v>
      </c>
      <c r="K126" s="2">
        <f t="shared" si="83"/>
        <v>0</v>
      </c>
      <c r="L126" s="2">
        <f t="shared" si="83"/>
        <v>0</v>
      </c>
      <c r="M126" s="2">
        <f t="shared" si="83"/>
        <v>0</v>
      </c>
      <c r="S126" s="2">
        <f t="shared" ref="S126:Y126" si="84">COUNTIF(S4:S120,"Left")</f>
        <v>0</v>
      </c>
      <c r="T126" s="2">
        <f t="shared" si="84"/>
        <v>0</v>
      </c>
      <c r="U126" s="2">
        <f t="shared" si="84"/>
        <v>0</v>
      </c>
      <c r="V126" s="2">
        <f t="shared" si="84"/>
        <v>0</v>
      </c>
      <c r="W126" s="2">
        <f t="shared" si="84"/>
        <v>0</v>
      </c>
      <c r="X126" s="2">
        <f t="shared" si="84"/>
        <v>0</v>
      </c>
      <c r="Y126" s="2">
        <f t="shared" si="84"/>
        <v>0</v>
      </c>
      <c r="AE126" s="2">
        <f t="shared" ref="AE126:AK126" si="85">COUNTIF(AE4:AE120,"Left")</f>
        <v>0</v>
      </c>
      <c r="AF126" s="2">
        <f t="shared" si="85"/>
        <v>0</v>
      </c>
      <c r="AG126" s="2">
        <f t="shared" si="85"/>
        <v>0</v>
      </c>
      <c r="AH126" s="2">
        <f t="shared" si="85"/>
        <v>0</v>
      </c>
      <c r="AI126" s="2">
        <f t="shared" si="85"/>
        <v>1</v>
      </c>
      <c r="AJ126" s="2">
        <f t="shared" si="85"/>
        <v>1</v>
      </c>
      <c r="AK126" s="2">
        <f t="shared" si="85"/>
        <v>1</v>
      </c>
      <c r="AQ126" s="2">
        <f t="shared" ref="AQ126:AW126" si="86">COUNTIF(AQ4:AQ120,"Left")</f>
        <v>1</v>
      </c>
      <c r="AR126" s="2">
        <f t="shared" si="86"/>
        <v>1</v>
      </c>
      <c r="AS126" s="2">
        <f t="shared" si="86"/>
        <v>1</v>
      </c>
      <c r="AT126" s="2">
        <f t="shared" si="86"/>
        <v>2</v>
      </c>
      <c r="AU126" s="2">
        <f t="shared" si="86"/>
        <v>2</v>
      </c>
      <c r="AV126" s="2">
        <f t="shared" si="86"/>
        <v>2</v>
      </c>
      <c r="AW126" s="2">
        <f t="shared" si="86"/>
        <v>2</v>
      </c>
      <c r="BC126" s="2">
        <f>COUNTIF(BC4:BC120,"Left")</f>
        <v>2</v>
      </c>
      <c r="BD126" s="2">
        <f>COUNTIF(BD4:BD120,"Left")</f>
        <v>2</v>
      </c>
      <c r="BE126" s="2">
        <f>COUNTIF(BE4:BE120,"Left")</f>
        <v>0</v>
      </c>
    </row>
    <row r="127" spans="1:62" ht="15" customHeight="1">
      <c r="A127" s="1"/>
      <c r="B127" s="1"/>
      <c r="C127" s="1"/>
      <c r="D127" s="1"/>
      <c r="E127" s="1"/>
      <c r="F127" s="6" t="s">
        <v>248</v>
      </c>
      <c r="G127" s="2">
        <f t="shared" ref="G127:M127" si="87">COUNTIF(G5:G120,"CL")</f>
        <v>0</v>
      </c>
      <c r="H127" s="2">
        <f t="shared" si="87"/>
        <v>0</v>
      </c>
      <c r="I127" s="2">
        <f t="shared" si="87"/>
        <v>0</v>
      </c>
      <c r="J127" s="2">
        <f t="shared" si="87"/>
        <v>0</v>
      </c>
      <c r="K127" s="2">
        <f t="shared" si="87"/>
        <v>0</v>
      </c>
      <c r="L127" s="2">
        <f t="shared" si="87"/>
        <v>0</v>
      </c>
      <c r="M127" s="2">
        <f t="shared" si="87"/>
        <v>0</v>
      </c>
      <c r="S127" s="2">
        <f t="shared" ref="S127:Y127" si="88">COUNTIF(S5:S120,"CL")</f>
        <v>0</v>
      </c>
      <c r="T127" s="2">
        <f t="shared" si="88"/>
        <v>1</v>
      </c>
      <c r="U127" s="2">
        <f t="shared" si="88"/>
        <v>0</v>
      </c>
      <c r="V127" s="2">
        <f t="shared" si="88"/>
        <v>0</v>
      </c>
      <c r="W127" s="2">
        <f t="shared" si="88"/>
        <v>1</v>
      </c>
      <c r="X127" s="2">
        <f t="shared" si="88"/>
        <v>0</v>
      </c>
      <c r="Y127" s="2">
        <f t="shared" si="88"/>
        <v>0</v>
      </c>
      <c r="AE127" s="2">
        <f t="shared" ref="AE127:AK127" si="89">COUNTIF(AE5:AE120,"CL")</f>
        <v>0</v>
      </c>
      <c r="AF127" s="2">
        <f t="shared" si="89"/>
        <v>2</v>
      </c>
      <c r="AG127" s="2">
        <f t="shared" si="89"/>
        <v>1</v>
      </c>
      <c r="AH127" s="2">
        <f t="shared" si="89"/>
        <v>1</v>
      </c>
      <c r="AI127" s="2">
        <f t="shared" si="89"/>
        <v>0</v>
      </c>
      <c r="AJ127" s="2">
        <f t="shared" si="89"/>
        <v>2</v>
      </c>
      <c r="AK127" s="2">
        <f t="shared" si="89"/>
        <v>1</v>
      </c>
      <c r="AQ127" s="2">
        <f t="shared" ref="AQ127:AW127" si="90">COUNTIF(AQ5:AQ120,"CL")</f>
        <v>5</v>
      </c>
      <c r="AR127" s="2">
        <f t="shared" si="90"/>
        <v>5</v>
      </c>
      <c r="AS127" s="2">
        <f t="shared" si="90"/>
        <v>2</v>
      </c>
      <c r="AT127" s="2">
        <f t="shared" si="90"/>
        <v>4</v>
      </c>
      <c r="AU127" s="2">
        <f t="shared" si="90"/>
        <v>1</v>
      </c>
      <c r="AV127" s="2">
        <f t="shared" si="90"/>
        <v>2</v>
      </c>
      <c r="AW127" s="2">
        <f t="shared" si="90"/>
        <v>4</v>
      </c>
      <c r="BC127" s="2">
        <f>COUNTIF(BC5:BC120,"CL")</f>
        <v>3</v>
      </c>
      <c r="BD127" s="2">
        <f>COUNTIF(BD5:BD120,"CL")</f>
        <v>4</v>
      </c>
      <c r="BE127" s="2">
        <f>COUNTIF(BE5:BE120,"CL")</f>
        <v>0</v>
      </c>
    </row>
    <row r="128" spans="1:62" ht="15" customHeight="1">
      <c r="A128" s="1"/>
      <c r="B128" s="1"/>
      <c r="C128" s="1"/>
      <c r="D128" s="1"/>
      <c r="E128" s="1"/>
      <c r="F128" s="6" t="s">
        <v>137</v>
      </c>
      <c r="G128" s="2">
        <f>G122-G123-G124-G125-G127</f>
        <v>102</v>
      </c>
      <c r="H128" s="2">
        <f t="shared" ref="H128:M128" si="91">H122-H123-H124-H125-H127</f>
        <v>102</v>
      </c>
      <c r="I128" s="2">
        <f t="shared" si="91"/>
        <v>103</v>
      </c>
      <c r="J128" s="2">
        <f t="shared" si="91"/>
        <v>97</v>
      </c>
      <c r="K128" s="2">
        <f t="shared" si="91"/>
        <v>103</v>
      </c>
      <c r="L128" s="2">
        <f t="shared" si="91"/>
        <v>91</v>
      </c>
      <c r="M128" s="2">
        <f t="shared" si="91"/>
        <v>102</v>
      </c>
      <c r="S128" s="2">
        <f t="shared" ref="S128:Y128" si="92">S122-S123-S124-S125-S127</f>
        <v>102</v>
      </c>
      <c r="T128" s="2">
        <f>T122-T123-T124-T125-T127</f>
        <v>101</v>
      </c>
      <c r="U128" s="2">
        <f>U122-U123-U124-U125-U127</f>
        <v>100</v>
      </c>
      <c r="V128" s="2">
        <f t="shared" si="92"/>
        <v>101</v>
      </c>
      <c r="W128" s="2">
        <f t="shared" si="92"/>
        <v>94</v>
      </c>
      <c r="X128" s="2">
        <f t="shared" si="92"/>
        <v>89</v>
      </c>
      <c r="Y128" s="2">
        <f t="shared" si="92"/>
        <v>99</v>
      </c>
      <c r="AE128" s="2">
        <f>AE122-AE123-AE124-AE125-AE127</f>
        <v>100</v>
      </c>
      <c r="AF128" s="2">
        <f t="shared" ref="AF128:AK128" si="93">AF122-AF123-AF124-AF125-AF127</f>
        <v>100</v>
      </c>
      <c r="AG128" s="2">
        <f t="shared" si="93"/>
        <v>100</v>
      </c>
      <c r="AH128" s="2">
        <f t="shared" si="93"/>
        <v>100</v>
      </c>
      <c r="AI128" s="2">
        <f t="shared" si="93"/>
        <v>99</v>
      </c>
      <c r="AJ128" s="2">
        <f t="shared" si="93"/>
        <v>88</v>
      </c>
      <c r="AK128" s="2">
        <f t="shared" si="93"/>
        <v>98</v>
      </c>
      <c r="AQ128" s="2">
        <f t="shared" ref="AQ128:AW128" si="94">AQ122-AQ123-AQ124-AQ125-AQ127</f>
        <v>97</v>
      </c>
      <c r="AR128" s="2">
        <f t="shared" si="94"/>
        <v>98</v>
      </c>
      <c r="AS128" s="2">
        <f>AS122-AS123-AS124-AS125-AS127</f>
        <v>98</v>
      </c>
      <c r="AT128" s="2">
        <f t="shared" si="94"/>
        <v>98</v>
      </c>
      <c r="AU128" s="2">
        <f t="shared" si="94"/>
        <v>98</v>
      </c>
      <c r="AV128" s="2">
        <f t="shared" si="94"/>
        <v>87</v>
      </c>
      <c r="AW128" s="2">
        <f t="shared" si="94"/>
        <v>98</v>
      </c>
      <c r="BC128" s="2">
        <f t="shared" ref="BC128:BE128" si="95">BC122-BC123-BC124-BC125-BC127</f>
        <v>99</v>
      </c>
      <c r="BD128" s="2">
        <f t="shared" si="95"/>
        <v>98</v>
      </c>
      <c r="BE128" s="2">
        <f t="shared" si="95"/>
        <v>114</v>
      </c>
    </row>
    <row r="129" spans="1:57" ht="15" customHeight="1">
      <c r="A129" s="1"/>
      <c r="B129" s="1"/>
      <c r="C129" s="1"/>
      <c r="D129" s="1"/>
      <c r="E129" s="1"/>
      <c r="F129" s="6" t="s">
        <v>138</v>
      </c>
      <c r="G129" s="2">
        <f>+G125+G123+G127</f>
        <v>14</v>
      </c>
      <c r="H129" s="2">
        <f t="shared" ref="H129:M129" si="96">+H125+H123+H127</f>
        <v>15</v>
      </c>
      <c r="I129" s="2">
        <f t="shared" si="96"/>
        <v>14</v>
      </c>
      <c r="J129" s="2">
        <f t="shared" si="96"/>
        <v>20</v>
      </c>
      <c r="K129" s="2">
        <f t="shared" si="96"/>
        <v>14</v>
      </c>
      <c r="L129" s="2">
        <f t="shared" si="96"/>
        <v>26</v>
      </c>
      <c r="M129" s="2">
        <f t="shared" si="96"/>
        <v>15</v>
      </c>
      <c r="S129" s="2">
        <f t="shared" ref="S129:X129" si="97">+S125+S123+S127</f>
        <v>15</v>
      </c>
      <c r="T129" s="2">
        <f t="shared" si="97"/>
        <v>16</v>
      </c>
      <c r="U129" s="2">
        <f t="shared" si="97"/>
        <v>17</v>
      </c>
      <c r="V129" s="2">
        <f t="shared" si="97"/>
        <v>16</v>
      </c>
      <c r="W129" s="2">
        <f t="shared" si="97"/>
        <v>23</v>
      </c>
      <c r="X129" s="2">
        <f t="shared" si="97"/>
        <v>28</v>
      </c>
      <c r="Y129" s="2">
        <f>+Y125+Y123+Y127</f>
        <v>18</v>
      </c>
      <c r="AE129" s="2">
        <f t="shared" ref="AE129:AK129" si="98">+AE125+AE123+AE127</f>
        <v>17</v>
      </c>
      <c r="AF129" s="2">
        <f t="shared" si="98"/>
        <v>17</v>
      </c>
      <c r="AG129" s="2">
        <f t="shared" si="98"/>
        <v>17</v>
      </c>
      <c r="AH129" s="2">
        <f t="shared" si="98"/>
        <v>17</v>
      </c>
      <c r="AI129" s="2">
        <f t="shared" si="98"/>
        <v>17</v>
      </c>
      <c r="AJ129" s="2">
        <f t="shared" si="98"/>
        <v>28</v>
      </c>
      <c r="AK129" s="2">
        <f t="shared" si="98"/>
        <v>18</v>
      </c>
      <c r="AQ129" s="2">
        <f t="shared" ref="AQ129:AW129" si="99">+AQ125+AQ123+AQ127</f>
        <v>19</v>
      </c>
      <c r="AR129" s="2">
        <f t="shared" si="99"/>
        <v>18</v>
      </c>
      <c r="AS129" s="2">
        <f t="shared" si="99"/>
        <v>18</v>
      </c>
      <c r="AT129" s="2">
        <f t="shared" si="99"/>
        <v>17</v>
      </c>
      <c r="AU129" s="2">
        <f t="shared" si="99"/>
        <v>17</v>
      </c>
      <c r="AV129" s="2">
        <f t="shared" si="99"/>
        <v>28</v>
      </c>
      <c r="AW129" s="2">
        <f t="shared" si="99"/>
        <v>17</v>
      </c>
      <c r="BC129" s="2">
        <f t="shared" ref="BC129:BE129" si="100">+BC125+BC123+BC127</f>
        <v>16</v>
      </c>
      <c r="BD129" s="2">
        <f t="shared" si="100"/>
        <v>17</v>
      </c>
      <c r="BE129" s="2">
        <f t="shared" si="100"/>
        <v>1</v>
      </c>
    </row>
    <row r="130" spans="1:57">
      <c r="A130" s="1"/>
      <c r="B130" s="1"/>
      <c r="C130" s="1"/>
      <c r="D130" s="1"/>
      <c r="E130" s="1"/>
      <c r="F130" s="6" t="s">
        <v>139</v>
      </c>
      <c r="G130" s="7">
        <f t="shared" ref="G130" si="101">G129/G122</f>
        <v>0.11965811965811966</v>
      </c>
      <c r="H130" s="7">
        <f t="shared" ref="H130" si="102">H129/H122</f>
        <v>0.12820512820512819</v>
      </c>
      <c r="I130" s="7">
        <f t="shared" ref="I130" si="103">I129/I122</f>
        <v>0.11965811965811966</v>
      </c>
      <c r="J130" s="7">
        <f t="shared" ref="J130" si="104">J129/J122</f>
        <v>0.17094017094017094</v>
      </c>
      <c r="K130" s="7">
        <f t="shared" ref="K130" si="105">K129/K122</f>
        <v>0.11965811965811966</v>
      </c>
      <c r="L130" s="7">
        <f t="shared" ref="L130" si="106">L129/L122</f>
        <v>0.22222222222222221</v>
      </c>
      <c r="M130" s="7">
        <f t="shared" ref="M130" si="107">M129/M122</f>
        <v>0.12820512820512819</v>
      </c>
      <c r="S130" s="7">
        <f t="shared" ref="S130" si="108">S129/S122</f>
        <v>0.12820512820512819</v>
      </c>
      <c r="T130" s="7">
        <f t="shared" ref="T130" si="109">T129/T122</f>
        <v>0.13675213675213677</v>
      </c>
      <c r="U130" s="7">
        <f t="shared" ref="U130" si="110">U129/U122</f>
        <v>0.14529914529914531</v>
      </c>
      <c r="V130" s="7">
        <f t="shared" ref="V130" si="111">V129/V122</f>
        <v>0.13675213675213677</v>
      </c>
      <c r="W130" s="7">
        <f t="shared" ref="W130" si="112">W129/W122</f>
        <v>0.19658119658119658</v>
      </c>
      <c r="X130" s="7">
        <f t="shared" ref="X130" si="113">X129/X122</f>
        <v>0.23931623931623933</v>
      </c>
      <c r="Y130" s="7">
        <f t="shared" ref="Y130" si="114">Y129/Y122</f>
        <v>0.15384615384615385</v>
      </c>
      <c r="AE130" s="7">
        <f t="shared" ref="AE130" si="115">AE129/AE122</f>
        <v>0.14529914529914531</v>
      </c>
      <c r="AF130" s="7">
        <f t="shared" ref="AF130" si="116">AF129/AF122</f>
        <v>0.14529914529914531</v>
      </c>
      <c r="AG130" s="7">
        <f t="shared" ref="AG130" si="117">AG129/AG122</f>
        <v>0.14529914529914531</v>
      </c>
      <c r="AH130" s="7">
        <f t="shared" ref="AH130" si="118">AH129/AH122</f>
        <v>0.14529914529914531</v>
      </c>
      <c r="AI130" s="7">
        <f t="shared" ref="AI130" si="119">AI129/AI122</f>
        <v>0.14655172413793102</v>
      </c>
      <c r="AJ130" s="7">
        <f t="shared" ref="AJ130" si="120">AJ129/AJ122</f>
        <v>0.2413793103448276</v>
      </c>
      <c r="AK130" s="7">
        <f t="shared" ref="AK130" si="121">AK129/AK122</f>
        <v>0.15517241379310345</v>
      </c>
      <c r="AQ130" s="7">
        <f t="shared" ref="AQ130" si="122">AQ129/AQ122</f>
        <v>0.16379310344827586</v>
      </c>
      <c r="AR130" s="7">
        <f t="shared" ref="AR130" si="123">AR129/AR122</f>
        <v>0.15517241379310345</v>
      </c>
      <c r="AS130" s="7">
        <f t="shared" ref="AS130" si="124">AS129/AS122</f>
        <v>0.15517241379310345</v>
      </c>
      <c r="AT130" s="7">
        <f t="shared" ref="AT130" si="125">AT129/AT122</f>
        <v>0.14782608695652175</v>
      </c>
      <c r="AU130" s="7">
        <f t="shared" ref="AU130" si="126">AU129/AU122</f>
        <v>0.14782608695652175</v>
      </c>
      <c r="AV130" s="7">
        <f t="shared" ref="AV130" si="127">AV129/AV122</f>
        <v>0.24347826086956523</v>
      </c>
      <c r="AW130" s="7">
        <f t="shared" ref="AW130" si="128">AW129/AW122</f>
        <v>0.14782608695652175</v>
      </c>
      <c r="BC130" s="7">
        <f t="shared" ref="BC130" si="129">BC129/BC122</f>
        <v>0.1391304347826087</v>
      </c>
      <c r="BD130" s="7">
        <f t="shared" ref="BD130" si="130">BD129/BD122</f>
        <v>0.14782608695652175</v>
      </c>
      <c r="BE130" s="7">
        <f t="shared" ref="BE130" si="131">BE129/BE122</f>
        <v>8.6956521739130436E-3</v>
      </c>
    </row>
    <row r="131" spans="1:57">
      <c r="F131" s="6" t="s">
        <v>140</v>
      </c>
      <c r="G131" s="7">
        <f t="shared" ref="G131" si="132">G128/(G122-G123-G124-G125-G126)</f>
        <v>1</v>
      </c>
      <c r="H131" s="7">
        <f t="shared" ref="H131:M131" si="133">H128/(H122-H123-H124-H125-H126)</f>
        <v>1</v>
      </c>
      <c r="I131" s="7">
        <f t="shared" si="133"/>
        <v>1</v>
      </c>
      <c r="J131" s="7">
        <f t="shared" si="133"/>
        <v>1</v>
      </c>
      <c r="K131" s="7">
        <f t="shared" si="133"/>
        <v>1</v>
      </c>
      <c r="L131" s="7">
        <f t="shared" si="133"/>
        <v>1</v>
      </c>
      <c r="M131" s="7">
        <f t="shared" si="133"/>
        <v>1</v>
      </c>
      <c r="S131" s="7">
        <f t="shared" ref="S131:Y131" si="134">S128/(S122-S123-S124-S125-S126)</f>
        <v>1</v>
      </c>
      <c r="T131" s="7">
        <f t="shared" si="134"/>
        <v>0.99019607843137258</v>
      </c>
      <c r="U131" s="7">
        <f t="shared" si="134"/>
        <v>1</v>
      </c>
      <c r="V131" s="7">
        <f t="shared" si="134"/>
        <v>1</v>
      </c>
      <c r="W131" s="7">
        <f t="shared" si="134"/>
        <v>0.98947368421052628</v>
      </c>
      <c r="X131" s="7">
        <f t="shared" si="134"/>
        <v>1</v>
      </c>
      <c r="Y131" s="7">
        <f t="shared" si="134"/>
        <v>1</v>
      </c>
      <c r="AE131" s="7">
        <f t="shared" ref="AE131:AK131" si="135">AE128/(AE122-AE123-AE124-AE125-AE126)</f>
        <v>1</v>
      </c>
      <c r="AF131" s="7">
        <f t="shared" si="135"/>
        <v>0.98039215686274506</v>
      </c>
      <c r="AG131" s="7">
        <f t="shared" si="135"/>
        <v>0.99009900990099009</v>
      </c>
      <c r="AH131" s="7">
        <f t="shared" si="135"/>
        <v>0.99009900990099009</v>
      </c>
      <c r="AI131" s="7">
        <f t="shared" si="135"/>
        <v>1.010204081632653</v>
      </c>
      <c r="AJ131" s="7">
        <f t="shared" si="135"/>
        <v>0.9887640449438202</v>
      </c>
      <c r="AK131" s="7">
        <f t="shared" si="135"/>
        <v>1</v>
      </c>
      <c r="AQ131" s="7">
        <f t="shared" ref="AQ131:AW131" si="136">AQ128/(AQ122-AQ123-AQ124-AQ125-AQ126)</f>
        <v>0.96039603960396036</v>
      </c>
      <c r="AR131" s="7">
        <f t="shared" si="136"/>
        <v>0.96078431372549022</v>
      </c>
      <c r="AS131" s="7">
        <f t="shared" si="136"/>
        <v>0.98989898989898994</v>
      </c>
      <c r="AT131" s="7">
        <f t="shared" si="136"/>
        <v>0.98</v>
      </c>
      <c r="AU131" s="7">
        <f t="shared" si="136"/>
        <v>1.0103092783505154</v>
      </c>
      <c r="AV131" s="7">
        <f t="shared" si="136"/>
        <v>1</v>
      </c>
      <c r="AW131" s="7">
        <f t="shared" si="136"/>
        <v>0.98</v>
      </c>
      <c r="BC131" s="7">
        <f t="shared" ref="BC131:BE131" si="137">BC128/(BC122-BC123-BC124-BC125-BC126)</f>
        <v>0.99</v>
      </c>
      <c r="BD131" s="7">
        <f t="shared" si="137"/>
        <v>0.98</v>
      </c>
      <c r="BE131" s="7">
        <f t="shared" si="137"/>
        <v>1</v>
      </c>
    </row>
  </sheetData>
  <sortState xmlns:xlrd2="http://schemas.microsoft.com/office/spreadsheetml/2017/richdata2" ref="B4:B120">
    <sortCondition descending="1" ref="B4:B120"/>
  </sortState>
  <mergeCells count="5">
    <mergeCell ref="N2:R2"/>
    <mergeCell ref="Z2:AD2"/>
    <mergeCell ref="AL2:AP2"/>
    <mergeCell ref="AX2:BB2"/>
    <mergeCell ref="BF2:BJ2"/>
  </mergeCells>
  <conditionalFormatting sqref="B4:B120">
    <cfRule type="duplicateValues" dxfId="504" priority="30458"/>
  </conditionalFormatting>
  <conditionalFormatting sqref="D4:D120">
    <cfRule type="cellIs" dxfId="503" priority="273" operator="equal">
      <formula>"Sanjesh "</formula>
    </cfRule>
    <cfRule type="cellIs" dxfId="502" priority="274" operator="equal">
      <formula>"Naina"</formula>
    </cfRule>
  </conditionalFormatting>
  <conditionalFormatting sqref="E4:E120">
    <cfRule type="cellIs" dxfId="501" priority="275" operator="equal">
      <formula>"M"</formula>
    </cfRule>
    <cfRule type="cellIs" dxfId="500" priority="276" operator="equal">
      <formula>"F"</formula>
    </cfRule>
  </conditionalFormatting>
  <conditionalFormatting sqref="F4:F120">
    <cfRule type="cellIs" dxfId="499" priority="265" operator="equal">
      <formula>"HRTC"</formula>
    </cfRule>
    <cfRule type="cellIs" dxfId="498" priority="272" operator="equal">
      <formula>"Inbound"</formula>
    </cfRule>
    <cfRule type="cellIs" dxfId="497" priority="264" operator="equal">
      <formula>"FCS"</formula>
    </cfRule>
    <cfRule type="cellIs" dxfId="496" priority="263" operator="equal">
      <formula>"Himseva manual Inbound"</formula>
    </cfRule>
    <cfRule type="cellIs" dxfId="495" priority="271" operator="equal">
      <formula>"Himseva manual preview"</formula>
    </cfRule>
    <cfRule type="cellIs" dxfId="494" priority="270" operator="equal">
      <formula>"Officer Helpdesk"</formula>
    </cfRule>
    <cfRule type="cellIs" dxfId="493" priority="269" operator="equal">
      <formula>"Disaster"</formula>
    </cfRule>
    <cfRule type="cellIs" dxfId="492" priority="268" operator="equal">
      <formula>"DDTG"</formula>
    </cfRule>
    <cfRule type="cellIs" dxfId="491" priority="267" operator="equal">
      <formula>"Excise &amp; Taxation "</formula>
    </cfRule>
    <cfRule type="cellIs" dxfId="490" priority="266" operator="equal">
      <formula>"Manual Inbound"</formula>
    </cfRule>
  </conditionalFormatting>
  <conditionalFormatting sqref="G4:M120 S4:Y120 AE4:AK120 AQ4:AW120 BC4:BE120">
    <cfRule type="cellIs" dxfId="489" priority="253" operator="equal">
      <formula>"LP"</formula>
    </cfRule>
    <cfRule type="cellIs" dxfId="488" priority="254" operator="equal">
      <formula>"TL Choice WO"</formula>
    </cfRule>
    <cfRule type="cellIs" dxfId="487" priority="256" operator="equal">
      <formula>"10:00-17:00"</formula>
    </cfRule>
    <cfRule type="cellIs" dxfId="486" priority="257" operator="equal">
      <formula>"22:00-7:00"</formula>
    </cfRule>
    <cfRule type="cellIs" dxfId="485" priority="258" operator="equal">
      <formula>"Agent Choice WO"</formula>
    </cfRule>
    <cfRule type="cellIs" dxfId="484" priority="259" operator="equal">
      <formula>"10:00-17:30"</formula>
    </cfRule>
    <cfRule type="cellIs" dxfId="483" priority="260" operator="equal">
      <formula>"7:00-14:30"</formula>
    </cfRule>
    <cfRule type="cellIs" dxfId="482" priority="375" operator="equal">
      <formula>"CO"</formula>
    </cfRule>
    <cfRule type="cellIs" dxfId="481" priority="381" operator="equal">
      <formula>"14:30-22:00"</formula>
    </cfRule>
    <cfRule type="cellIs" dxfId="480" priority="251" operator="equal">
      <formula>"7:00-14:30"</formula>
    </cfRule>
    <cfRule type="cellIs" dxfId="479" priority="252" operator="equal">
      <formula>"HD"</formula>
    </cfRule>
  </conditionalFormatting>
  <conditionalFormatting sqref="G4:M120 AE4:AK120">
    <cfRule type="cellIs" dxfId="478" priority="250" operator="equal">
      <formula>"Left"</formula>
    </cfRule>
    <cfRule type="cellIs" dxfId="477" priority="249" operator="equal">
      <formula>"CL"</formula>
    </cfRule>
  </conditionalFormatting>
  <conditionalFormatting sqref="G4:M120">
    <cfRule type="cellIs" dxfId="476" priority="236" operator="equal">
      <formula>"Holiday"</formula>
    </cfRule>
  </conditionalFormatting>
  <conditionalFormatting sqref="N4:R120 Z4:AD120 AL4:AP120 AX4:BB120 BF4:BJ120 AZ121">
    <cfRule type="containsText" dxfId="475" priority="17648" operator="containsText" text="WO">
      <formula>NOT(ISERROR(SEARCH("WO",N4)))</formula>
    </cfRule>
    <cfRule type="containsText" dxfId="474" priority="17645" operator="containsText" text="Left">
      <formula>NOT(ISERROR(SEARCH("Left",N4)))</formula>
    </cfRule>
    <cfRule type="containsText" dxfId="473" priority="17646" operator="containsText" text="HD">
      <formula>NOT(ISERROR(SEARCH("HD",N4)))</formula>
    </cfRule>
    <cfRule type="containsText" dxfId="472" priority="17647" operator="containsText" text="LP">
      <formula>NOT(ISERROR(SEARCH("LP",N4)))</formula>
    </cfRule>
  </conditionalFormatting>
  <conditionalFormatting sqref="N4:R121 Z4:AD121 AL4:AP121 AX4:BB121 BF4:BJ121">
    <cfRule type="containsText" dxfId="471" priority="289" operator="containsText" text="WO">
      <formula>NOT(ISERROR(SEARCH("WO",N4)))</formula>
    </cfRule>
    <cfRule type="containsText" dxfId="470" priority="284" operator="containsText" text="7:00-14.30">
      <formula>NOT(ISERROR(SEARCH("7:00-14.30",N4)))</formula>
    </cfRule>
    <cfRule type="containsText" dxfId="469" priority="285" operator="containsText" text="Left">
      <formula>NOT(ISERROR(SEARCH("Left",N4)))</formula>
    </cfRule>
    <cfRule type="containsText" dxfId="468" priority="286" operator="containsText" text="Left">
      <formula>NOT(ISERROR(SEARCH("Left",N4)))</formula>
    </cfRule>
    <cfRule type="containsText" dxfId="467" priority="287" operator="containsText" text="HD">
      <formula>NOT(ISERROR(SEARCH("HD",N4)))</formula>
    </cfRule>
    <cfRule type="containsText" dxfId="466" priority="288" operator="containsText" text="LP">
      <formula>NOT(ISERROR(SEARCH("LP",N4)))</formula>
    </cfRule>
  </conditionalFormatting>
  <conditionalFormatting sqref="N4:R121">
    <cfRule type="containsText" dxfId="465" priority="17620" operator="containsText" text="7:00-14.30">
      <formula>NOT(ISERROR(SEARCH("7:00-14.30",N4)))</formula>
    </cfRule>
    <cfRule type="cellIs" dxfId="464" priority="17626" operator="equal">
      <formula>"7:00-14:30"</formula>
    </cfRule>
  </conditionalFormatting>
  <conditionalFormatting sqref="N121:R121">
    <cfRule type="containsText" dxfId="463" priority="17624" operator="containsText" text="LP">
      <formula>NOT(ISERROR(SEARCH("LP",N121)))</formula>
    </cfRule>
    <cfRule type="containsText" dxfId="462" priority="17625" operator="containsText" text="WO">
      <formula>NOT(ISERROR(SEARCH("WO",N121)))</formula>
    </cfRule>
    <cfRule type="containsText" dxfId="461" priority="17621" operator="containsText" text="Left">
      <formula>NOT(ISERROR(SEARCH("Left",N121)))</formula>
    </cfRule>
    <cfRule type="containsText" dxfId="460" priority="17622" operator="containsText" text="Left">
      <formula>NOT(ISERROR(SEARCH("Left",N121)))</formula>
    </cfRule>
    <cfRule type="containsText" dxfId="459" priority="17623" operator="containsText" text="HD">
      <formula>NOT(ISERROR(SEARCH("HD",N121)))</formula>
    </cfRule>
  </conditionalFormatting>
  <conditionalFormatting sqref="S4:Y120">
    <cfRule type="cellIs" dxfId="458" priority="232" operator="equal">
      <formula>"Holiday"</formula>
    </cfRule>
    <cfRule type="cellIs" dxfId="457" priority="233" operator="equal">
      <formula>"CL"</formula>
    </cfRule>
    <cfRule type="cellIs" dxfId="456" priority="234" operator="equal">
      <formula>"Left"</formula>
    </cfRule>
  </conditionalFormatting>
  <conditionalFormatting sqref="Z4:AD121">
    <cfRule type="cellIs" dxfId="455" priority="13946" operator="equal">
      <formula>"7:00-14:30"</formula>
    </cfRule>
    <cfRule type="containsText" dxfId="454" priority="13940" operator="containsText" text="7:00-14.30">
      <formula>NOT(ISERROR(SEARCH("7:00-14.30",Z4)))</formula>
    </cfRule>
  </conditionalFormatting>
  <conditionalFormatting sqref="Z121:AD121">
    <cfRule type="containsText" dxfId="453" priority="13945" operator="containsText" text="WO">
      <formula>NOT(ISERROR(SEARCH("WO",Z121)))</formula>
    </cfRule>
    <cfRule type="containsText" dxfId="452" priority="13944" operator="containsText" text="LP">
      <formula>NOT(ISERROR(SEARCH("LP",Z121)))</formula>
    </cfRule>
    <cfRule type="containsText" dxfId="451" priority="13943" operator="containsText" text="HD">
      <formula>NOT(ISERROR(SEARCH("HD",Z121)))</formula>
    </cfRule>
    <cfRule type="containsText" dxfId="450" priority="13941" operator="containsText" text="Left">
      <formula>NOT(ISERROR(SEARCH("Left",Z121)))</formula>
    </cfRule>
    <cfRule type="containsText" dxfId="449" priority="13942" operator="containsText" text="Left">
      <formula>NOT(ISERROR(SEARCH("Left",Z121)))</formula>
    </cfRule>
  </conditionalFormatting>
  <conditionalFormatting sqref="AE121:AF121">
    <cfRule type="cellIs" dxfId="448" priority="842" operator="equal">
      <formula>"7:00-14:30"</formula>
    </cfRule>
    <cfRule type="cellIs" dxfId="447" priority="843" operator="equal">
      <formula>"HD"</formula>
    </cfRule>
    <cfRule type="cellIs" dxfId="446" priority="845" operator="equal">
      <formula>"TL Choice WO"</formula>
    </cfRule>
    <cfRule type="cellIs" dxfId="445" priority="851" operator="equal">
      <formula>"7:00-14:30"</formula>
    </cfRule>
    <cfRule type="cellIs" dxfId="444" priority="850" operator="equal">
      <formula>"10:00-17:30"</formula>
    </cfRule>
    <cfRule type="cellIs" dxfId="443" priority="849" operator="equal">
      <formula>"Agent Choice WO"</formula>
    </cfRule>
    <cfRule type="cellIs" dxfId="442" priority="848" operator="equal">
      <formula>"22:00-7:00"</formula>
    </cfRule>
    <cfRule type="cellIs" dxfId="441" priority="847" operator="equal">
      <formula>"10:00-17:00"</formula>
    </cfRule>
    <cfRule type="cellIs" dxfId="440" priority="846" operator="equal">
      <formula>"14:30-22:00"</formula>
    </cfRule>
    <cfRule type="cellIs" dxfId="439" priority="844" operator="equal">
      <formula>"LP"</formula>
    </cfRule>
  </conditionalFormatting>
  <conditionalFormatting sqref="AE4:AK120">
    <cfRule type="cellIs" dxfId="438" priority="244" operator="equal">
      <formula>"Holiday"</formula>
    </cfRule>
  </conditionalFormatting>
  <conditionalFormatting sqref="AL4:AP121">
    <cfRule type="cellIs" dxfId="437" priority="10266" operator="equal">
      <formula>"7:00-14:30"</formula>
    </cfRule>
    <cfRule type="containsText" dxfId="436" priority="10260" operator="containsText" text="7:00-14.30">
      <formula>NOT(ISERROR(SEARCH("7:00-14.30",AL4)))</formula>
    </cfRule>
  </conditionalFormatting>
  <conditionalFormatting sqref="AL121:AP121">
    <cfRule type="containsText" dxfId="435" priority="10261" operator="containsText" text="Left">
      <formula>NOT(ISERROR(SEARCH("Left",AL121)))</formula>
    </cfRule>
    <cfRule type="containsText" dxfId="434" priority="10262" operator="containsText" text="Left">
      <formula>NOT(ISERROR(SEARCH("Left",AL121)))</formula>
    </cfRule>
    <cfRule type="containsText" dxfId="433" priority="10263" operator="containsText" text="HD">
      <formula>NOT(ISERROR(SEARCH("HD",AL121)))</formula>
    </cfRule>
    <cfRule type="containsText" dxfId="432" priority="10264" operator="containsText" text="LP">
      <formula>NOT(ISERROR(SEARCH("LP",AL121)))</formula>
    </cfRule>
    <cfRule type="containsText" dxfId="431" priority="10265" operator="containsText" text="WO">
      <formula>NOT(ISERROR(SEARCH("WO",AL121)))</formula>
    </cfRule>
  </conditionalFormatting>
  <conditionalFormatting sqref="AQ4:AW120">
    <cfRule type="cellIs" dxfId="430" priority="230" operator="equal">
      <formula>"Left"</formula>
    </cfRule>
    <cfRule type="cellIs" dxfId="429" priority="228" operator="equal">
      <formula>"Holiday"</formula>
    </cfRule>
    <cfRule type="cellIs" dxfId="428" priority="229" operator="equal">
      <formula>"CL"</formula>
    </cfRule>
  </conditionalFormatting>
  <conditionalFormatting sqref="AX4:BB121">
    <cfRule type="cellIs" dxfId="427" priority="6586" operator="equal">
      <formula>"7:00-14:30"</formula>
    </cfRule>
    <cfRule type="containsText" dxfId="426" priority="6580" operator="containsText" text="7:00-14.30">
      <formula>NOT(ISERROR(SEARCH("7:00-14.30",AX4)))</formula>
    </cfRule>
  </conditionalFormatting>
  <conditionalFormatting sqref="AX121:BB121">
    <cfRule type="containsText" dxfId="425" priority="6585" operator="containsText" text="WO">
      <formula>NOT(ISERROR(SEARCH("WO",AX121)))</formula>
    </cfRule>
    <cfRule type="containsText" dxfId="424" priority="6583" operator="containsText" text="HD">
      <formula>NOT(ISERROR(SEARCH("HD",AX121)))</formula>
    </cfRule>
    <cfRule type="containsText" dxfId="423" priority="6584" operator="containsText" text="LP">
      <formula>NOT(ISERROR(SEARCH("LP",AX121)))</formula>
    </cfRule>
    <cfRule type="containsText" dxfId="422" priority="6582" operator="containsText" text="Left">
      <formula>NOT(ISERROR(SEARCH("Left",AX121)))</formula>
    </cfRule>
    <cfRule type="containsText" dxfId="421" priority="6581" operator="containsText" text="Left">
      <formula>NOT(ISERROR(SEARCH("Left",AX121)))</formula>
    </cfRule>
  </conditionalFormatting>
  <conditionalFormatting sqref="AZ121 N4:R120 Z4:AD120 AL4:AP120 AX4:BB120 BF4:BJ120">
    <cfRule type="containsText" dxfId="420" priority="17644" operator="containsText" text="Left">
      <formula>NOT(ISERROR(SEARCH("Left",N4)))</formula>
    </cfRule>
  </conditionalFormatting>
  <conditionalFormatting sqref="AZ121">
    <cfRule type="containsText" dxfId="419" priority="17643" operator="containsText" text="7:00-14.30">
      <formula>NOT(ISERROR(SEARCH("7:00-14.30",AZ121)))</formula>
    </cfRule>
  </conditionalFormatting>
  <conditionalFormatting sqref="BC4:BE120">
    <cfRule type="cellIs" dxfId="418" priority="238" operator="equal">
      <formula>"Holiday"</formula>
    </cfRule>
    <cfRule type="cellIs" dxfId="417" priority="239" operator="equal">
      <formula>"CL"</formula>
    </cfRule>
    <cfRule type="cellIs" dxfId="416" priority="240" operator="equal">
      <formula>"Left"</formula>
    </cfRule>
  </conditionalFormatting>
  <conditionalFormatting sqref="BF4:BJ121">
    <cfRule type="cellIs" dxfId="415" priority="2906" operator="equal">
      <formula>"7:00-14:30"</formula>
    </cfRule>
    <cfRule type="containsText" dxfId="414" priority="2900" operator="containsText" text="7:00-14.30">
      <formula>NOT(ISERROR(SEARCH("7:00-14.30",BF4)))</formula>
    </cfRule>
  </conditionalFormatting>
  <conditionalFormatting sqref="BF121:BJ121">
    <cfRule type="containsText" dxfId="413" priority="2905" operator="containsText" text="WO">
      <formula>NOT(ISERROR(SEARCH("WO",BF121)))</formula>
    </cfRule>
    <cfRule type="containsText" dxfId="412" priority="2904" operator="containsText" text="LP">
      <formula>NOT(ISERROR(SEARCH("LP",BF121)))</formula>
    </cfRule>
    <cfRule type="containsText" dxfId="411" priority="2903" operator="containsText" text="HD">
      <formula>NOT(ISERROR(SEARCH("HD",BF121)))</formula>
    </cfRule>
    <cfRule type="containsText" dxfId="410" priority="2902" operator="containsText" text="Left">
      <formula>NOT(ISERROR(SEARCH("Left",BF121)))</formula>
    </cfRule>
    <cfRule type="containsText" dxfId="409" priority="2901" operator="containsText" text="Left">
      <formula>NOT(ISERROR(SEARCH("Left",BF121)))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72"/>
  <sheetViews>
    <sheetView zoomScale="106" zoomScaleNormal="106" workbookViewId="0">
      <pane xSplit="6" ySplit="3" topLeftCell="AU45" activePane="bottomRight" state="frozen"/>
      <selection pane="topRight" activeCell="G1" sqref="G1"/>
      <selection pane="bottomLeft" activeCell="A4" sqref="A4"/>
      <selection pane="bottomRight" activeCell="C61" sqref="C61:D61"/>
    </sheetView>
  </sheetViews>
  <sheetFormatPr defaultRowHeight="15"/>
  <cols>
    <col min="1" max="1" width="2.7109375" bestFit="1" customWidth="1"/>
    <col min="2" max="2" width="7.5703125" bestFit="1" customWidth="1"/>
    <col min="3" max="3" width="14.7109375" bestFit="1" customWidth="1"/>
    <col min="4" max="4" width="7.85546875" bestFit="1" customWidth="1"/>
    <col min="5" max="5" width="6.85546875" bestFit="1" customWidth="1"/>
    <col min="6" max="6" width="21" bestFit="1" customWidth="1"/>
    <col min="7" max="14" width="14.7109375" hidden="1" customWidth="1"/>
    <col min="15" max="15" width="11.85546875" hidden="1" customWidth="1"/>
    <col min="16" max="16" width="3.140625" hidden="1" customWidth="1"/>
    <col min="17" max="18" width="3" hidden="1" customWidth="1"/>
    <col min="19" max="26" width="14.7109375" hidden="1" customWidth="1"/>
    <col min="27" max="27" width="11.85546875" hidden="1" customWidth="1"/>
    <col min="28" max="28" width="3.140625" hidden="1" customWidth="1"/>
    <col min="29" max="30" width="3" hidden="1" customWidth="1"/>
    <col min="31" max="38" width="14.7109375" hidden="1" customWidth="1"/>
    <col min="39" max="39" width="11.85546875" hidden="1" customWidth="1"/>
    <col min="40" max="40" width="3.140625" hidden="1" customWidth="1"/>
    <col min="41" max="42" width="3" hidden="1" customWidth="1"/>
    <col min="43" max="44" width="14.7109375" hidden="1" customWidth="1"/>
    <col min="45" max="45" width="15" hidden="1" customWidth="1"/>
    <col min="46" max="46" width="14.7109375" hidden="1" customWidth="1"/>
    <col min="47" max="48" width="14.7109375" customWidth="1"/>
    <col min="49" max="50" width="14.7109375" bestFit="1" customWidth="1"/>
    <col min="51" max="51" width="11.85546875" bestFit="1" customWidth="1"/>
    <col min="52" max="52" width="3.140625" bestFit="1" customWidth="1"/>
    <col min="53" max="54" width="3" bestFit="1" customWidth="1"/>
    <col min="55" max="56" width="14.7109375" bestFit="1" customWidth="1"/>
    <col min="57" max="57" width="9.28515625" bestFit="1" customWidth="1"/>
    <col min="58" max="58" width="14.7109375" bestFit="1" customWidth="1"/>
    <col min="59" max="59" width="11.85546875" bestFit="1" customWidth="1"/>
    <col min="60" max="60" width="3.140625" bestFit="1" customWidth="1"/>
    <col min="61" max="62" width="3" bestFit="1" customWidth="1"/>
    <col min="63" max="63" width="14.7109375" bestFit="1" customWidth="1"/>
    <col min="64" max="64" width="11.85546875" bestFit="1" customWidth="1"/>
    <col min="65" max="65" width="3.140625" bestFit="1" customWidth="1"/>
    <col min="66" max="67" width="3" bestFit="1" customWidth="1"/>
    <col min="68" max="68" width="10" bestFit="1" customWidth="1"/>
    <col min="69" max="69" width="1.85546875" bestFit="1" customWidth="1"/>
  </cols>
  <sheetData>
    <row r="1" spans="1:68">
      <c r="A1" s="27"/>
      <c r="B1" s="27"/>
      <c r="C1" s="27"/>
      <c r="D1" s="27"/>
      <c r="E1" s="27"/>
      <c r="F1" s="27"/>
      <c r="G1" s="28" t="str">
        <f>"Wk-"&amp;WEEKNUM(DAY(G2))</f>
        <v>Wk-1</v>
      </c>
      <c r="H1" s="28" t="str">
        <f t="shared" ref="H1:M1" si="0">"Wk-"&amp;WEEKNUM(DAY(H2))</f>
        <v>Wk-1</v>
      </c>
      <c r="I1" s="28" t="str">
        <f t="shared" si="0"/>
        <v>Wk-1</v>
      </c>
      <c r="J1" s="28" t="str">
        <f t="shared" si="0"/>
        <v>Wk-1</v>
      </c>
      <c r="K1" s="28" t="str">
        <f t="shared" si="0"/>
        <v>Wk-1</v>
      </c>
      <c r="L1" s="28" t="str">
        <f t="shared" si="0"/>
        <v>Wk-1</v>
      </c>
      <c r="M1" s="28" t="str">
        <f t="shared" si="0"/>
        <v>Wk-1</v>
      </c>
      <c r="N1" s="27"/>
      <c r="O1" s="27"/>
      <c r="P1" s="27"/>
      <c r="Q1" s="27"/>
      <c r="R1" s="27"/>
      <c r="S1" s="28" t="str">
        <f>"Wk-"&amp;WEEKNUM(DAY(S2))</f>
        <v>Wk-2</v>
      </c>
      <c r="T1" s="28" t="str">
        <f t="shared" ref="T1:Y1" si="1">"Wk-"&amp;WEEKNUM(DAY(T2))</f>
        <v>Wk-2</v>
      </c>
      <c r="U1" s="28" t="str">
        <f t="shared" si="1"/>
        <v>Wk-2</v>
      </c>
      <c r="V1" s="28" t="str">
        <f t="shared" si="1"/>
        <v>Wk-2</v>
      </c>
      <c r="W1" s="28" t="str">
        <f t="shared" si="1"/>
        <v>Wk-2</v>
      </c>
      <c r="X1" s="28" t="str">
        <f t="shared" si="1"/>
        <v>Wk-2</v>
      </c>
      <c r="Y1" s="28" t="str">
        <f t="shared" si="1"/>
        <v>Wk-2</v>
      </c>
      <c r="Z1" s="27"/>
      <c r="AA1" s="27"/>
      <c r="AB1" s="27"/>
      <c r="AC1" s="27"/>
      <c r="AD1" s="27"/>
      <c r="AE1" s="28" t="str">
        <f>"Wk-"&amp;WEEKNUM(DAY(AE2))</f>
        <v>Wk-3</v>
      </c>
      <c r="AF1" s="28" t="str">
        <f t="shared" ref="AF1:AK1" si="2">"Wk-"&amp;WEEKNUM(DAY(AF2))</f>
        <v>Wk-3</v>
      </c>
      <c r="AG1" s="28" t="str">
        <f t="shared" si="2"/>
        <v>Wk-3</v>
      </c>
      <c r="AH1" s="28" t="str">
        <f t="shared" si="2"/>
        <v>Wk-3</v>
      </c>
      <c r="AI1" s="28" t="str">
        <f t="shared" si="2"/>
        <v>Wk-3</v>
      </c>
      <c r="AJ1" s="28" t="str">
        <f t="shared" si="2"/>
        <v>Wk-3</v>
      </c>
      <c r="AK1" s="28" t="str">
        <f t="shared" si="2"/>
        <v>Wk-3</v>
      </c>
      <c r="AL1" s="27"/>
      <c r="AM1" s="27"/>
      <c r="AN1" s="27"/>
      <c r="AO1" s="27"/>
      <c r="AP1" s="27"/>
      <c r="AQ1" s="28" t="str">
        <f>"Wk-"&amp;WEEKNUM(DAY(AQ2))</f>
        <v>Wk-4</v>
      </c>
      <c r="AR1" s="28" t="str">
        <f t="shared" ref="AR1:AW1" si="3">"Wk-"&amp;WEEKNUM(DAY(AR2))</f>
        <v>Wk-4</v>
      </c>
      <c r="AS1" s="28" t="str">
        <f t="shared" si="3"/>
        <v>Wk-4</v>
      </c>
      <c r="AT1" s="28" t="str">
        <f t="shared" si="3"/>
        <v>Wk-4</v>
      </c>
      <c r="AU1" s="28" t="str">
        <f t="shared" si="3"/>
        <v>Wk-4</v>
      </c>
      <c r="AV1" s="28" t="str">
        <f t="shared" si="3"/>
        <v>Wk-4</v>
      </c>
      <c r="AW1" s="28" t="str">
        <f t="shared" si="3"/>
        <v>Wk-4</v>
      </c>
      <c r="AX1" s="27"/>
      <c r="AY1" s="27"/>
      <c r="AZ1" s="27"/>
      <c r="BA1" s="27"/>
      <c r="BB1" s="27"/>
      <c r="BC1" s="28" t="str">
        <f>"Wk-"&amp;WEEKNUM(DAY(BC2))</f>
        <v>Wk-5</v>
      </c>
      <c r="BD1" s="28" t="str">
        <f t="shared" ref="BD1:BE1" si="4">"Wk-"&amp;WEEKNUM(DAY(BD2))</f>
        <v>Wk-5</v>
      </c>
      <c r="BE1" s="28" t="str">
        <f t="shared" si="4"/>
        <v>Wk-1</v>
      </c>
      <c r="BF1" s="27"/>
      <c r="BG1" s="27"/>
      <c r="BH1" s="27"/>
      <c r="BI1" s="27"/>
      <c r="BJ1" s="27"/>
      <c r="BK1" s="29"/>
      <c r="BL1" s="29"/>
      <c r="BM1" s="29"/>
      <c r="BN1" s="29"/>
      <c r="BO1" s="29"/>
      <c r="BP1" s="30"/>
    </row>
    <row r="2" spans="1:68">
      <c r="A2" s="8"/>
      <c r="B2" s="9" t="s">
        <v>0</v>
      </c>
      <c r="C2" s="9" t="s">
        <v>1</v>
      </c>
      <c r="D2" s="8" t="s">
        <v>2</v>
      </c>
      <c r="E2" s="8" t="s">
        <v>3</v>
      </c>
      <c r="F2" s="10" t="s">
        <v>4</v>
      </c>
      <c r="G2" s="8">
        <v>46266</v>
      </c>
      <c r="H2" s="8">
        <f>G2+1</f>
        <v>46267</v>
      </c>
      <c r="I2" s="8">
        <f t="shared" ref="I2:M2" si="5">H2+1</f>
        <v>46268</v>
      </c>
      <c r="J2" s="8">
        <f t="shared" si="5"/>
        <v>46269</v>
      </c>
      <c r="K2" s="8">
        <f t="shared" si="5"/>
        <v>46270</v>
      </c>
      <c r="L2" s="8">
        <f t="shared" si="5"/>
        <v>46271</v>
      </c>
      <c r="M2" s="8">
        <f t="shared" si="5"/>
        <v>46272</v>
      </c>
      <c r="N2" s="40" t="s">
        <v>141</v>
      </c>
      <c r="O2" s="40"/>
      <c r="P2" s="40"/>
      <c r="Q2" s="40"/>
      <c r="R2" s="40"/>
      <c r="S2" s="8">
        <f>M2+1</f>
        <v>46273</v>
      </c>
      <c r="T2" s="8">
        <f>S2+1</f>
        <v>46274</v>
      </c>
      <c r="U2" s="8">
        <f t="shared" ref="U2" si="6">T2+1</f>
        <v>46275</v>
      </c>
      <c r="V2" s="8">
        <f t="shared" ref="V2" si="7">U2+1</f>
        <v>46276</v>
      </c>
      <c r="W2" s="8">
        <f t="shared" ref="W2" si="8">V2+1</f>
        <v>46277</v>
      </c>
      <c r="X2" s="8">
        <f t="shared" ref="X2" si="9">W2+1</f>
        <v>46278</v>
      </c>
      <c r="Y2" s="8">
        <f t="shared" ref="Y2" si="10">X2+1</f>
        <v>46279</v>
      </c>
      <c r="Z2" s="40" t="s">
        <v>142</v>
      </c>
      <c r="AA2" s="40"/>
      <c r="AB2" s="40"/>
      <c r="AC2" s="40"/>
      <c r="AD2" s="40"/>
      <c r="AE2" s="8">
        <f>Y2+1</f>
        <v>46280</v>
      </c>
      <c r="AF2" s="8">
        <f>AE2+1</f>
        <v>46281</v>
      </c>
      <c r="AG2" s="8">
        <f t="shared" ref="AG2" si="11">AF2+1</f>
        <v>46282</v>
      </c>
      <c r="AH2" s="8">
        <f t="shared" ref="AH2" si="12">AG2+1</f>
        <v>46283</v>
      </c>
      <c r="AI2" s="8">
        <f t="shared" ref="AI2" si="13">AH2+1</f>
        <v>46284</v>
      </c>
      <c r="AJ2" s="8">
        <f t="shared" ref="AJ2" si="14">AI2+1</f>
        <v>46285</v>
      </c>
      <c r="AK2" s="8">
        <f t="shared" ref="AK2" si="15">AJ2+1</f>
        <v>46286</v>
      </c>
      <c r="AL2" s="40" t="s">
        <v>143</v>
      </c>
      <c r="AM2" s="40"/>
      <c r="AN2" s="40"/>
      <c r="AO2" s="40"/>
      <c r="AP2" s="40"/>
      <c r="AQ2" s="8">
        <f>AK2+1</f>
        <v>46287</v>
      </c>
      <c r="AR2" s="8">
        <f>AQ2+1</f>
        <v>46288</v>
      </c>
      <c r="AS2" s="8">
        <f t="shared" ref="AS2" si="16">AR2+1</f>
        <v>46289</v>
      </c>
      <c r="AT2" s="8">
        <f t="shared" ref="AT2" si="17">AS2+1</f>
        <v>46290</v>
      </c>
      <c r="AU2" s="8">
        <f t="shared" ref="AU2" si="18">AT2+1</f>
        <v>46291</v>
      </c>
      <c r="AV2" s="8">
        <f t="shared" ref="AV2" si="19">AU2+1</f>
        <v>46292</v>
      </c>
      <c r="AW2" s="8">
        <f>AV2+1</f>
        <v>46293</v>
      </c>
      <c r="AX2" s="40" t="s">
        <v>144</v>
      </c>
      <c r="AY2" s="40"/>
      <c r="AZ2" s="40"/>
      <c r="BA2" s="40"/>
      <c r="BB2" s="40"/>
      <c r="BC2" s="8">
        <f>AW2+1</f>
        <v>46294</v>
      </c>
      <c r="BD2" s="8">
        <f>BC2+1</f>
        <v>46295</v>
      </c>
      <c r="BE2" s="8">
        <f t="shared" ref="BE2" si="20">BD2+1</f>
        <v>46296</v>
      </c>
      <c r="BF2" s="40" t="s">
        <v>145</v>
      </c>
      <c r="BG2" s="40"/>
      <c r="BH2" s="40"/>
      <c r="BI2" s="40"/>
      <c r="BJ2" s="40"/>
      <c r="BK2" s="39" t="s">
        <v>240</v>
      </c>
      <c r="BL2" s="39"/>
      <c r="BM2" s="39"/>
      <c r="BN2" s="39"/>
      <c r="BO2" s="39"/>
      <c r="BP2" s="30"/>
    </row>
    <row r="3" spans="1:68">
      <c r="A3" s="11"/>
      <c r="B3" s="11"/>
      <c r="C3" s="11"/>
      <c r="D3" s="11"/>
      <c r="E3" s="11"/>
      <c r="F3" s="11"/>
      <c r="G3" s="12" t="str">
        <f>UPPER(TEXT(G2,"ddd"))</f>
        <v>TUE</v>
      </c>
      <c r="H3" s="12" t="str">
        <f t="shared" ref="H3:M3" si="21">UPPER(TEXT(H2,"ddd"))</f>
        <v>WED</v>
      </c>
      <c r="I3" s="12" t="str">
        <f t="shared" si="21"/>
        <v>THU</v>
      </c>
      <c r="J3" s="12" t="str">
        <f t="shared" si="21"/>
        <v>FRI</v>
      </c>
      <c r="K3" s="12" t="str">
        <f t="shared" si="21"/>
        <v>SAT</v>
      </c>
      <c r="L3" s="12" t="str">
        <f t="shared" si="21"/>
        <v>SUN</v>
      </c>
      <c r="M3" s="12" t="str">
        <f t="shared" si="21"/>
        <v>MON</v>
      </c>
      <c r="N3" s="3" t="s">
        <v>7</v>
      </c>
      <c r="O3" s="3" t="s">
        <v>8</v>
      </c>
      <c r="P3" s="3" t="s">
        <v>248</v>
      </c>
      <c r="Q3" s="3" t="s">
        <v>5</v>
      </c>
      <c r="R3" s="3" t="s">
        <v>6</v>
      </c>
      <c r="S3" s="12" t="str">
        <f>UPPER(TEXT(S2,"ddd"))</f>
        <v>TUE</v>
      </c>
      <c r="T3" s="12" t="str">
        <f t="shared" ref="T3:Y3" si="22">UPPER(TEXT(T2,"ddd"))</f>
        <v>WED</v>
      </c>
      <c r="U3" s="12" t="str">
        <f t="shared" si="22"/>
        <v>THU</v>
      </c>
      <c r="V3" s="12" t="str">
        <f t="shared" si="22"/>
        <v>FRI</v>
      </c>
      <c r="W3" s="12" t="str">
        <f t="shared" si="22"/>
        <v>SAT</v>
      </c>
      <c r="X3" s="12" t="str">
        <f t="shared" si="22"/>
        <v>SUN</v>
      </c>
      <c r="Y3" s="12" t="str">
        <f t="shared" si="22"/>
        <v>MON</v>
      </c>
      <c r="Z3" s="3" t="s">
        <v>7</v>
      </c>
      <c r="AA3" s="3" t="s">
        <v>8</v>
      </c>
      <c r="AB3" s="3" t="s">
        <v>248</v>
      </c>
      <c r="AC3" s="3" t="s">
        <v>5</v>
      </c>
      <c r="AD3" s="3" t="s">
        <v>6</v>
      </c>
      <c r="AE3" s="12" t="str">
        <f>UPPER(TEXT(AE2,"ddd"))</f>
        <v>TUE</v>
      </c>
      <c r="AF3" s="12" t="str">
        <f t="shared" ref="AF3:AK3" si="23">UPPER(TEXT(AF2,"ddd"))</f>
        <v>WED</v>
      </c>
      <c r="AG3" s="12" t="str">
        <f t="shared" si="23"/>
        <v>THU</v>
      </c>
      <c r="AH3" s="12" t="str">
        <f t="shared" si="23"/>
        <v>FRI</v>
      </c>
      <c r="AI3" s="12" t="str">
        <f t="shared" si="23"/>
        <v>SAT</v>
      </c>
      <c r="AJ3" s="12" t="str">
        <f t="shared" si="23"/>
        <v>SUN</v>
      </c>
      <c r="AK3" s="12" t="str">
        <f t="shared" si="23"/>
        <v>MON</v>
      </c>
      <c r="AL3" s="3" t="s">
        <v>7</v>
      </c>
      <c r="AM3" s="3" t="s">
        <v>8</v>
      </c>
      <c r="AN3" s="3" t="s">
        <v>248</v>
      </c>
      <c r="AO3" s="3" t="s">
        <v>5</v>
      </c>
      <c r="AP3" s="3" t="s">
        <v>6</v>
      </c>
      <c r="AQ3" s="12" t="str">
        <f>UPPER(TEXT(AQ2,"ddd"))</f>
        <v>TUE</v>
      </c>
      <c r="AR3" s="12" t="str">
        <f t="shared" ref="AR3:AW3" si="24">UPPER(TEXT(AR2,"ddd"))</f>
        <v>WED</v>
      </c>
      <c r="AS3" s="12" t="str">
        <f t="shared" si="24"/>
        <v>THU</v>
      </c>
      <c r="AT3" s="12" t="str">
        <f t="shared" si="24"/>
        <v>FRI</v>
      </c>
      <c r="AU3" s="12" t="str">
        <f t="shared" si="24"/>
        <v>SAT</v>
      </c>
      <c r="AV3" s="12" t="str">
        <f t="shared" si="24"/>
        <v>SUN</v>
      </c>
      <c r="AW3" s="12" t="str">
        <f t="shared" si="24"/>
        <v>MON</v>
      </c>
      <c r="AX3" s="3" t="s">
        <v>7</v>
      </c>
      <c r="AY3" s="3" t="s">
        <v>8</v>
      </c>
      <c r="AZ3" s="3" t="s">
        <v>248</v>
      </c>
      <c r="BA3" s="3" t="s">
        <v>5</v>
      </c>
      <c r="BB3" s="3" t="s">
        <v>6</v>
      </c>
      <c r="BC3" s="12" t="str">
        <f>UPPER(TEXT(BC2,"ddd"))</f>
        <v>TUE</v>
      </c>
      <c r="BD3" s="12" t="str">
        <f t="shared" ref="BD3:BE3" si="25">UPPER(TEXT(BD2,"ddd"))</f>
        <v>WED</v>
      </c>
      <c r="BE3" s="12" t="str">
        <f t="shared" si="25"/>
        <v>THU</v>
      </c>
      <c r="BF3" s="3" t="s">
        <v>7</v>
      </c>
      <c r="BG3" s="3" t="s">
        <v>8</v>
      </c>
      <c r="BH3" s="3" t="s">
        <v>248</v>
      </c>
      <c r="BI3" s="3" t="s">
        <v>5</v>
      </c>
      <c r="BJ3" s="3" t="s">
        <v>6</v>
      </c>
      <c r="BK3" s="20" t="s">
        <v>7</v>
      </c>
      <c r="BL3" s="20" t="s">
        <v>8</v>
      </c>
      <c r="BM3" s="20" t="s">
        <v>248</v>
      </c>
      <c r="BN3" s="20" t="s">
        <v>5</v>
      </c>
      <c r="BO3" s="20" t="s">
        <v>6</v>
      </c>
      <c r="BP3" s="20" t="s">
        <v>263</v>
      </c>
    </row>
    <row r="4" spans="1:68">
      <c r="A4" s="22">
        <f>A2+1</f>
        <v>1</v>
      </c>
      <c r="B4" s="16" t="s">
        <v>68</v>
      </c>
      <c r="C4" s="18" t="s">
        <v>69</v>
      </c>
      <c r="D4" s="15" t="s">
        <v>12</v>
      </c>
      <c r="E4" s="4" t="s">
        <v>13</v>
      </c>
      <c r="F4" s="5" t="s">
        <v>14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15</v>
      </c>
      <c r="M4" s="2" t="s">
        <v>15</v>
      </c>
      <c r="N4" s="2">
        <f t="shared" ref="N4:N34" si="26">COUNTIF($G4:$M4,"Agent Choice WO")</f>
        <v>0</v>
      </c>
      <c r="O4" s="2">
        <f t="shared" ref="O4:O34" si="27">COUNTIF($G4:$M4,"TL Choice WO")</f>
        <v>0</v>
      </c>
      <c r="P4" s="2">
        <f t="shared" ref="P4:P34" si="28">COUNTIF($G4:$M4,"CL")</f>
        <v>0</v>
      </c>
      <c r="Q4" s="2">
        <f t="shared" ref="Q4:Q34" si="29">COUNTIF($G4:$M4,"HD")</f>
        <v>0</v>
      </c>
      <c r="R4" s="2">
        <f t="shared" ref="R4:R34" si="30">COUNTIF($G4:$M4,"LP")</f>
        <v>0</v>
      </c>
      <c r="S4" s="2" t="s">
        <v>15</v>
      </c>
      <c r="T4" s="2" t="s">
        <v>15</v>
      </c>
      <c r="U4" s="2" t="s">
        <v>7</v>
      </c>
      <c r="V4" s="2" t="s">
        <v>15</v>
      </c>
      <c r="W4" s="2" t="s">
        <v>15</v>
      </c>
      <c r="X4" s="2" t="s">
        <v>15</v>
      </c>
      <c r="Y4" s="2" t="s">
        <v>15</v>
      </c>
      <c r="Z4" s="2">
        <f t="shared" ref="Z4:Z34" si="31">COUNTIF($S4:$Y4,"Agent Choice WO")</f>
        <v>1</v>
      </c>
      <c r="AA4" s="2">
        <f t="shared" ref="AA4:AA34" si="32">COUNTIF($S4:$Y4,"TL Choice WO")</f>
        <v>0</v>
      </c>
      <c r="AB4" s="2">
        <f t="shared" ref="AB4:AB34" si="33">COUNTIF($S4:$Y4,"CL")</f>
        <v>0</v>
      </c>
      <c r="AC4" s="2">
        <f t="shared" ref="AC4:AC34" si="34">COUNTIF($S4:$Y4,"HD")</f>
        <v>0</v>
      </c>
      <c r="AD4" s="2">
        <f t="shared" ref="AD4:AD34" si="35">COUNTIF($S4:$Y4,"LP")</f>
        <v>0</v>
      </c>
      <c r="AE4" s="2" t="s">
        <v>7</v>
      </c>
      <c r="AF4" s="2" t="s">
        <v>15</v>
      </c>
      <c r="AG4" s="2" t="s">
        <v>15</v>
      </c>
      <c r="AH4" s="2" t="s">
        <v>15</v>
      </c>
      <c r="AI4" s="2" t="s">
        <v>15</v>
      </c>
      <c r="AJ4" s="2" t="s">
        <v>15</v>
      </c>
      <c r="AK4" s="2" t="s">
        <v>15</v>
      </c>
      <c r="AL4" s="2">
        <f t="shared" ref="AL4:AL34" si="36">COUNTIF($AE4:$AK4,"Agent Choice WO")</f>
        <v>1</v>
      </c>
      <c r="AM4" s="2">
        <f t="shared" ref="AM4:AM34" si="37">COUNTIF($AE4:$AK4,"TL Choice WO")</f>
        <v>0</v>
      </c>
      <c r="AN4" s="2">
        <f t="shared" ref="AN4:AN34" si="38">COUNTIF($AE4:$AK4,"CL")</f>
        <v>0</v>
      </c>
      <c r="AO4" s="2">
        <f t="shared" ref="AO4:AO34" si="39">COUNTIF($AE4:$AK4,"HD")</f>
        <v>0</v>
      </c>
      <c r="AP4" s="2">
        <f t="shared" ref="AP4:AP34" si="40">COUNTIF($AE4:$AK4,"LP")</f>
        <v>0</v>
      </c>
      <c r="AQ4" s="2" t="s">
        <v>15</v>
      </c>
      <c r="AR4" s="2" t="s">
        <v>15</v>
      </c>
      <c r="AS4" s="2" t="s">
        <v>7</v>
      </c>
      <c r="AT4" s="2" t="s">
        <v>7</v>
      </c>
      <c r="AU4" s="2" t="s">
        <v>15</v>
      </c>
      <c r="AV4" s="2" t="s">
        <v>15</v>
      </c>
      <c r="AW4" s="2" t="s">
        <v>15</v>
      </c>
      <c r="AX4" s="2">
        <f t="shared" ref="AX4:AX34" si="41">COUNTIF($AQ4:$AW4,"Agent Choice WO")</f>
        <v>2</v>
      </c>
      <c r="AY4" s="2">
        <f t="shared" ref="AY4:AY34" si="42">COUNTIF($AQ4:$AW4,"TL Choice WO")</f>
        <v>0</v>
      </c>
      <c r="AZ4" s="2">
        <f t="shared" ref="AZ4:AZ34" si="43">COUNTIF($AQ4:$AW4,"CL")</f>
        <v>0</v>
      </c>
      <c r="BA4" s="2">
        <f t="shared" ref="BA4:BA34" si="44">COUNTIF($AQ4:$AW4,"HD")</f>
        <v>0</v>
      </c>
      <c r="BB4" s="2">
        <f t="shared" ref="BB4:BB34" si="45">COUNTIF($AQ4:$AW4,"LP")</f>
        <v>0</v>
      </c>
      <c r="BC4" s="2" t="s">
        <v>15</v>
      </c>
      <c r="BD4" s="2" t="s">
        <v>248</v>
      </c>
      <c r="BE4" s="2" t="s">
        <v>15</v>
      </c>
      <c r="BF4" s="2">
        <f t="shared" ref="BF4:BF34" si="46">COUNTIF($BC4:$BE4,"Agent Choice WO")</f>
        <v>0</v>
      </c>
      <c r="BG4" s="2">
        <f t="shared" ref="BG4:BG34" si="47">COUNTIF($BC4:$BE4,"TL Choice WO")</f>
        <v>0</v>
      </c>
      <c r="BH4" s="2">
        <f t="shared" ref="BH4:BH34" si="48">COUNTIF($BC4:$BE4,"CL")</f>
        <v>1</v>
      </c>
      <c r="BI4" s="2">
        <f t="shared" ref="BI4:BI34" si="49">COUNTIF($BC4:$BE4,"HD")</f>
        <v>0</v>
      </c>
      <c r="BJ4" s="2">
        <f t="shared" ref="BJ4:BJ34" si="50">COUNTIF($BC4:$BE4,"LP")</f>
        <v>0</v>
      </c>
      <c r="BK4" s="2">
        <f>SUMIFS($A4:$BJ4,$A$3:$BJ$3,BK$3)</f>
        <v>4</v>
      </c>
      <c r="BL4" s="2">
        <f>SUMIFS($A4:$BJ4,$A$3:$BJ$3,BL$3)</f>
        <v>0</v>
      </c>
      <c r="BM4" s="2">
        <f>SUMIFS($A4:$BJ4,$A$3:$BJ$3,BM$3)</f>
        <v>1</v>
      </c>
      <c r="BN4" s="2">
        <f>SUMIFS($A4:$BJ4,$A$3:$BJ$3,BN$3)</f>
        <v>0</v>
      </c>
      <c r="BO4" s="2">
        <f>SUMIFS($A4:$BJ4,$A$3:$BJ$3,BO$3)</f>
        <v>0</v>
      </c>
      <c r="BP4" s="2">
        <f>SUM(BK4:BO4)</f>
        <v>5</v>
      </c>
    </row>
    <row r="5" spans="1:68">
      <c r="A5" s="22">
        <f>A4+1</f>
        <v>2</v>
      </c>
      <c r="B5" s="16" t="s">
        <v>131</v>
      </c>
      <c r="C5" s="18" t="s">
        <v>132</v>
      </c>
      <c r="D5" s="15" t="s">
        <v>12</v>
      </c>
      <c r="E5" s="4" t="s">
        <v>13</v>
      </c>
      <c r="F5" s="5" t="s">
        <v>14</v>
      </c>
      <c r="G5" s="2" t="s">
        <v>15</v>
      </c>
      <c r="H5" s="2" t="s">
        <v>15</v>
      </c>
      <c r="I5" s="2" t="s">
        <v>7</v>
      </c>
      <c r="J5" s="2" t="s">
        <v>15</v>
      </c>
      <c r="K5" s="2" t="s">
        <v>15</v>
      </c>
      <c r="L5" s="2" t="s">
        <v>15</v>
      </c>
      <c r="M5" s="2" t="s">
        <v>15</v>
      </c>
      <c r="N5" s="2">
        <f t="shared" si="26"/>
        <v>1</v>
      </c>
      <c r="O5" s="2">
        <f t="shared" si="27"/>
        <v>0</v>
      </c>
      <c r="P5" s="2">
        <f t="shared" si="28"/>
        <v>0</v>
      </c>
      <c r="Q5" s="2">
        <f t="shared" si="29"/>
        <v>0</v>
      </c>
      <c r="R5" s="2">
        <f t="shared" si="30"/>
        <v>0</v>
      </c>
      <c r="S5" s="2" t="s">
        <v>15</v>
      </c>
      <c r="T5" s="2" t="s">
        <v>15</v>
      </c>
      <c r="U5" s="2" t="s">
        <v>15</v>
      </c>
      <c r="V5" s="2" t="s">
        <v>15</v>
      </c>
      <c r="W5" s="2" t="s">
        <v>15</v>
      </c>
      <c r="X5" s="2" t="s">
        <v>15</v>
      </c>
      <c r="Y5" s="2" t="s">
        <v>15</v>
      </c>
      <c r="Z5" s="2">
        <f t="shared" si="31"/>
        <v>0</v>
      </c>
      <c r="AA5" s="2">
        <f t="shared" si="32"/>
        <v>0</v>
      </c>
      <c r="AB5" s="2">
        <f t="shared" si="33"/>
        <v>0</v>
      </c>
      <c r="AC5" s="2">
        <f t="shared" si="34"/>
        <v>0</v>
      </c>
      <c r="AD5" s="2">
        <f t="shared" si="35"/>
        <v>0</v>
      </c>
      <c r="AE5" s="2" t="s">
        <v>15</v>
      </c>
      <c r="AF5" s="2" t="s">
        <v>15</v>
      </c>
      <c r="AG5" s="2" t="s">
        <v>15</v>
      </c>
      <c r="AH5" s="2" t="s">
        <v>15</v>
      </c>
      <c r="AI5" s="2" t="s">
        <v>15</v>
      </c>
      <c r="AJ5" s="2" t="s">
        <v>15</v>
      </c>
      <c r="AK5" s="2" t="s">
        <v>15</v>
      </c>
      <c r="AL5" s="2">
        <f t="shared" si="36"/>
        <v>0</v>
      </c>
      <c r="AM5" s="2">
        <f t="shared" si="37"/>
        <v>0</v>
      </c>
      <c r="AN5" s="2">
        <f t="shared" si="38"/>
        <v>0</v>
      </c>
      <c r="AO5" s="2">
        <f t="shared" si="39"/>
        <v>0</v>
      </c>
      <c r="AP5" s="2">
        <f t="shared" si="40"/>
        <v>0</v>
      </c>
      <c r="AQ5" s="2" t="s">
        <v>7</v>
      </c>
      <c r="AR5" s="2" t="s">
        <v>7</v>
      </c>
      <c r="AS5" s="2" t="s">
        <v>7</v>
      </c>
      <c r="AT5" s="2" t="s">
        <v>248</v>
      </c>
      <c r="AU5" s="2" t="s">
        <v>15</v>
      </c>
      <c r="AV5" s="2" t="s">
        <v>15</v>
      </c>
      <c r="AW5" s="2" t="s">
        <v>15</v>
      </c>
      <c r="AX5" s="2">
        <f t="shared" si="41"/>
        <v>3</v>
      </c>
      <c r="AY5" s="2">
        <f t="shared" si="42"/>
        <v>0</v>
      </c>
      <c r="AZ5" s="2">
        <f t="shared" si="43"/>
        <v>1</v>
      </c>
      <c r="BA5" s="2">
        <f t="shared" si="44"/>
        <v>0</v>
      </c>
      <c r="BB5" s="2">
        <f t="shared" si="45"/>
        <v>0</v>
      </c>
      <c r="BC5" s="2" t="s">
        <v>15</v>
      </c>
      <c r="BD5" s="2" t="s">
        <v>15</v>
      </c>
      <c r="BE5" s="2" t="s">
        <v>15</v>
      </c>
      <c r="BF5" s="2">
        <f t="shared" si="46"/>
        <v>0</v>
      </c>
      <c r="BG5" s="2">
        <f t="shared" si="47"/>
        <v>0</v>
      </c>
      <c r="BH5" s="2">
        <f t="shared" si="48"/>
        <v>0</v>
      </c>
      <c r="BI5" s="2">
        <f t="shared" si="49"/>
        <v>0</v>
      </c>
      <c r="BJ5" s="2">
        <f t="shared" si="50"/>
        <v>0</v>
      </c>
      <c r="BK5" s="2">
        <f t="shared" ref="BK5:BM61" si="51">SUMIFS($A5:$BJ5,$A$3:$BJ$3,BK$3)</f>
        <v>4</v>
      </c>
      <c r="BL5" s="2">
        <f t="shared" si="51"/>
        <v>0</v>
      </c>
      <c r="BM5" s="2">
        <f t="shared" si="51"/>
        <v>1</v>
      </c>
      <c r="BN5" s="2">
        <f t="shared" ref="BN5:BO35" si="52">SUMIFS($A5:$BJ5,$A$3:$BJ$3,BN$3)</f>
        <v>0</v>
      </c>
      <c r="BO5" s="2">
        <f t="shared" si="52"/>
        <v>0</v>
      </c>
      <c r="BP5" s="2">
        <f t="shared" ref="BP5:BP69" si="53">SUM(BK5:BO5)</f>
        <v>5</v>
      </c>
    </row>
    <row r="6" spans="1:68">
      <c r="A6" s="22">
        <f>A5+1</f>
        <v>3</v>
      </c>
      <c r="B6" s="16" t="s">
        <v>133</v>
      </c>
      <c r="C6" s="18" t="s">
        <v>132</v>
      </c>
      <c r="D6" s="15" t="s">
        <v>12</v>
      </c>
      <c r="E6" s="4" t="s">
        <v>13</v>
      </c>
      <c r="F6" s="5" t="s">
        <v>126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>
        <f t="shared" si="26"/>
        <v>0</v>
      </c>
      <c r="O6" s="2">
        <f t="shared" si="27"/>
        <v>0</v>
      </c>
      <c r="P6" s="2">
        <f t="shared" si="28"/>
        <v>0</v>
      </c>
      <c r="Q6" s="2">
        <f t="shared" si="29"/>
        <v>0</v>
      </c>
      <c r="R6" s="2">
        <f t="shared" si="30"/>
        <v>0</v>
      </c>
      <c r="S6" s="2" t="s">
        <v>22</v>
      </c>
      <c r="T6" s="2" t="s">
        <v>7</v>
      </c>
      <c r="U6" s="2" t="s">
        <v>22</v>
      </c>
      <c r="V6" s="2" t="s">
        <v>22</v>
      </c>
      <c r="W6" s="2" t="s">
        <v>22</v>
      </c>
      <c r="X6" s="2" t="s">
        <v>7</v>
      </c>
      <c r="Y6" s="2" t="s">
        <v>8</v>
      </c>
      <c r="Z6" s="2">
        <f t="shared" si="31"/>
        <v>2</v>
      </c>
      <c r="AA6" s="2">
        <f t="shared" si="32"/>
        <v>1</v>
      </c>
      <c r="AB6" s="2">
        <f t="shared" si="33"/>
        <v>0</v>
      </c>
      <c r="AC6" s="2">
        <f t="shared" si="34"/>
        <v>0</v>
      </c>
      <c r="AD6" s="2">
        <f t="shared" si="35"/>
        <v>0</v>
      </c>
      <c r="AE6" s="2" t="s">
        <v>22</v>
      </c>
      <c r="AF6" s="2" t="s">
        <v>22</v>
      </c>
      <c r="AG6" s="2" t="s">
        <v>22</v>
      </c>
      <c r="AH6" s="2" t="s">
        <v>22</v>
      </c>
      <c r="AI6" s="2" t="s">
        <v>22</v>
      </c>
      <c r="AJ6" s="2" t="s">
        <v>7</v>
      </c>
      <c r="AK6" s="2" t="s">
        <v>22</v>
      </c>
      <c r="AL6" s="2">
        <f t="shared" si="36"/>
        <v>1</v>
      </c>
      <c r="AM6" s="2">
        <f t="shared" si="37"/>
        <v>0</v>
      </c>
      <c r="AN6" s="2">
        <f t="shared" si="38"/>
        <v>0</v>
      </c>
      <c r="AO6" s="2">
        <f t="shared" si="39"/>
        <v>0</v>
      </c>
      <c r="AP6" s="2">
        <f t="shared" si="40"/>
        <v>0</v>
      </c>
      <c r="AQ6" s="2" t="s">
        <v>22</v>
      </c>
      <c r="AR6" s="2" t="s">
        <v>22</v>
      </c>
      <c r="AS6" s="2" t="s">
        <v>22</v>
      </c>
      <c r="AT6" s="2" t="s">
        <v>22</v>
      </c>
      <c r="AU6" s="2" t="s">
        <v>22</v>
      </c>
      <c r="AV6" s="2" t="s">
        <v>7</v>
      </c>
      <c r="AW6" s="2" t="s">
        <v>22</v>
      </c>
      <c r="AX6" s="2">
        <f t="shared" si="41"/>
        <v>1</v>
      </c>
      <c r="AY6" s="2">
        <f t="shared" si="42"/>
        <v>0</v>
      </c>
      <c r="AZ6" s="2">
        <f t="shared" si="43"/>
        <v>0</v>
      </c>
      <c r="BA6" s="2">
        <f t="shared" si="44"/>
        <v>0</v>
      </c>
      <c r="BB6" s="2">
        <f t="shared" si="45"/>
        <v>0</v>
      </c>
      <c r="BC6" s="2" t="s">
        <v>22</v>
      </c>
      <c r="BD6" s="2" t="s">
        <v>22</v>
      </c>
      <c r="BE6" s="2" t="s">
        <v>22</v>
      </c>
      <c r="BF6" s="2">
        <f t="shared" si="46"/>
        <v>0</v>
      </c>
      <c r="BG6" s="2">
        <f t="shared" si="47"/>
        <v>0</v>
      </c>
      <c r="BH6" s="2">
        <f t="shared" si="48"/>
        <v>0</v>
      </c>
      <c r="BI6" s="2">
        <f t="shared" si="49"/>
        <v>0</v>
      </c>
      <c r="BJ6" s="2">
        <f t="shared" si="50"/>
        <v>0</v>
      </c>
      <c r="BK6" s="2">
        <f t="shared" si="51"/>
        <v>4</v>
      </c>
      <c r="BL6" s="2">
        <f t="shared" si="51"/>
        <v>1</v>
      </c>
      <c r="BM6" s="2">
        <f t="shared" si="51"/>
        <v>0</v>
      </c>
      <c r="BN6" s="2">
        <f t="shared" si="52"/>
        <v>0</v>
      </c>
      <c r="BO6" s="2">
        <f t="shared" si="52"/>
        <v>0</v>
      </c>
      <c r="BP6" s="2">
        <f t="shared" si="53"/>
        <v>5</v>
      </c>
    </row>
    <row r="7" spans="1:68">
      <c r="A7" s="22">
        <f t="shared" ref="A7:A61" si="54">A6+1</f>
        <v>4</v>
      </c>
      <c r="B7" s="16" t="s">
        <v>98</v>
      </c>
      <c r="C7" s="18" t="s">
        <v>99</v>
      </c>
      <c r="D7" s="15" t="s">
        <v>12</v>
      </c>
      <c r="E7" s="4" t="s">
        <v>13</v>
      </c>
      <c r="F7" s="5" t="s">
        <v>14</v>
      </c>
      <c r="G7" s="2" t="s">
        <v>5</v>
      </c>
      <c r="H7" s="2" t="s">
        <v>7</v>
      </c>
      <c r="I7" s="2" t="s">
        <v>15</v>
      </c>
      <c r="J7" s="2" t="s">
        <v>15</v>
      </c>
      <c r="K7" s="2" t="s">
        <v>15</v>
      </c>
      <c r="L7" s="2" t="s">
        <v>15</v>
      </c>
      <c r="M7" s="2" t="s">
        <v>15</v>
      </c>
      <c r="N7" s="2">
        <f t="shared" si="26"/>
        <v>1</v>
      </c>
      <c r="O7" s="2">
        <f t="shared" si="27"/>
        <v>0</v>
      </c>
      <c r="P7" s="2">
        <f t="shared" si="28"/>
        <v>0</v>
      </c>
      <c r="Q7" s="2">
        <f t="shared" si="29"/>
        <v>1</v>
      </c>
      <c r="R7" s="2">
        <f t="shared" si="30"/>
        <v>0</v>
      </c>
      <c r="S7" s="2" t="s">
        <v>15</v>
      </c>
      <c r="T7" s="2" t="s">
        <v>15</v>
      </c>
      <c r="U7" s="2" t="s">
        <v>15</v>
      </c>
      <c r="V7" s="2" t="s">
        <v>15</v>
      </c>
      <c r="W7" s="2" t="s">
        <v>15</v>
      </c>
      <c r="X7" s="2" t="s">
        <v>7</v>
      </c>
      <c r="Y7" s="2" t="s">
        <v>15</v>
      </c>
      <c r="Z7" s="2">
        <f t="shared" si="31"/>
        <v>1</v>
      </c>
      <c r="AA7" s="2">
        <f t="shared" si="32"/>
        <v>0</v>
      </c>
      <c r="AB7" s="2">
        <f t="shared" si="33"/>
        <v>0</v>
      </c>
      <c r="AC7" s="2">
        <f t="shared" si="34"/>
        <v>0</v>
      </c>
      <c r="AD7" s="2">
        <f t="shared" si="35"/>
        <v>0</v>
      </c>
      <c r="AE7" s="2" t="s">
        <v>15</v>
      </c>
      <c r="AF7" s="2" t="s">
        <v>15</v>
      </c>
      <c r="AG7" s="2" t="s">
        <v>15</v>
      </c>
      <c r="AH7" s="2" t="s">
        <v>15</v>
      </c>
      <c r="AI7" s="2" t="s">
        <v>15</v>
      </c>
      <c r="AJ7" s="2" t="s">
        <v>15</v>
      </c>
      <c r="AK7" s="2" t="s">
        <v>15</v>
      </c>
      <c r="AL7" s="2">
        <f t="shared" si="36"/>
        <v>0</v>
      </c>
      <c r="AM7" s="2">
        <f t="shared" si="37"/>
        <v>0</v>
      </c>
      <c r="AN7" s="2">
        <f t="shared" si="38"/>
        <v>0</v>
      </c>
      <c r="AO7" s="2">
        <f t="shared" si="39"/>
        <v>0</v>
      </c>
      <c r="AP7" s="2">
        <f t="shared" si="40"/>
        <v>0</v>
      </c>
      <c r="AQ7" s="2" t="s">
        <v>15</v>
      </c>
      <c r="AR7" s="2" t="s">
        <v>15</v>
      </c>
      <c r="AS7" s="2" t="s">
        <v>15</v>
      </c>
      <c r="AT7" s="2" t="s">
        <v>15</v>
      </c>
      <c r="AU7" s="2" t="s">
        <v>15</v>
      </c>
      <c r="AV7" s="2" t="s">
        <v>7</v>
      </c>
      <c r="AW7" s="2" t="s">
        <v>7</v>
      </c>
      <c r="AX7" s="2">
        <f t="shared" si="41"/>
        <v>2</v>
      </c>
      <c r="AY7" s="2">
        <f t="shared" si="42"/>
        <v>0</v>
      </c>
      <c r="AZ7" s="2">
        <f t="shared" si="43"/>
        <v>0</v>
      </c>
      <c r="BA7" s="2">
        <f t="shared" si="44"/>
        <v>0</v>
      </c>
      <c r="BB7" s="2">
        <f t="shared" si="45"/>
        <v>0</v>
      </c>
      <c r="BC7" s="2" t="s">
        <v>15</v>
      </c>
      <c r="BD7" s="2" t="s">
        <v>15</v>
      </c>
      <c r="BE7" s="2" t="s">
        <v>15</v>
      </c>
      <c r="BF7" s="2">
        <f t="shared" si="46"/>
        <v>0</v>
      </c>
      <c r="BG7" s="2">
        <f t="shared" si="47"/>
        <v>0</v>
      </c>
      <c r="BH7" s="2">
        <f t="shared" si="48"/>
        <v>0</v>
      </c>
      <c r="BI7" s="2">
        <f t="shared" si="49"/>
        <v>0</v>
      </c>
      <c r="BJ7" s="2">
        <f t="shared" si="50"/>
        <v>0</v>
      </c>
      <c r="BK7" s="2">
        <f t="shared" si="51"/>
        <v>4</v>
      </c>
      <c r="BL7" s="2">
        <f t="shared" si="51"/>
        <v>0</v>
      </c>
      <c r="BM7" s="2">
        <f t="shared" si="51"/>
        <v>0</v>
      </c>
      <c r="BN7" s="2">
        <f t="shared" si="52"/>
        <v>1</v>
      </c>
      <c r="BO7" s="2">
        <f t="shared" si="52"/>
        <v>0</v>
      </c>
      <c r="BP7" s="2">
        <f t="shared" si="53"/>
        <v>5</v>
      </c>
    </row>
    <row r="8" spans="1:68">
      <c r="A8" s="22">
        <f t="shared" si="54"/>
        <v>5</v>
      </c>
      <c r="B8" s="16" t="s">
        <v>10</v>
      </c>
      <c r="C8" s="18" t="s">
        <v>11</v>
      </c>
      <c r="D8" s="15" t="s">
        <v>12</v>
      </c>
      <c r="E8" s="4" t="s">
        <v>13</v>
      </c>
      <c r="F8" s="5" t="s">
        <v>14</v>
      </c>
      <c r="G8" s="2" t="s">
        <v>15</v>
      </c>
      <c r="H8" s="2" t="s">
        <v>15</v>
      </c>
      <c r="I8" s="2" t="s">
        <v>15</v>
      </c>
      <c r="J8" s="2" t="s">
        <v>15</v>
      </c>
      <c r="K8" s="2" t="s">
        <v>15</v>
      </c>
      <c r="L8" s="2" t="s">
        <v>7</v>
      </c>
      <c r="M8" s="2" t="s">
        <v>7</v>
      </c>
      <c r="N8" s="2">
        <f t="shared" si="26"/>
        <v>2</v>
      </c>
      <c r="O8" s="2">
        <f t="shared" si="27"/>
        <v>0</v>
      </c>
      <c r="P8" s="2">
        <f t="shared" si="28"/>
        <v>0</v>
      </c>
      <c r="Q8" s="2">
        <f t="shared" si="29"/>
        <v>0</v>
      </c>
      <c r="R8" s="2">
        <f t="shared" si="30"/>
        <v>0</v>
      </c>
      <c r="S8" s="2" t="s">
        <v>7</v>
      </c>
      <c r="T8" s="2" t="s">
        <v>7</v>
      </c>
      <c r="U8" s="2" t="s">
        <v>15</v>
      </c>
      <c r="V8" s="2" t="s">
        <v>15</v>
      </c>
      <c r="W8" s="2" t="s">
        <v>15</v>
      </c>
      <c r="X8" s="2" t="s">
        <v>15</v>
      </c>
      <c r="Y8" s="2" t="s">
        <v>15</v>
      </c>
      <c r="Z8" s="2">
        <f t="shared" si="31"/>
        <v>2</v>
      </c>
      <c r="AA8" s="2">
        <f t="shared" si="32"/>
        <v>0</v>
      </c>
      <c r="AB8" s="2">
        <f t="shared" si="33"/>
        <v>0</v>
      </c>
      <c r="AC8" s="2">
        <f t="shared" si="34"/>
        <v>0</v>
      </c>
      <c r="AD8" s="2">
        <f t="shared" si="35"/>
        <v>0</v>
      </c>
      <c r="AE8" s="2" t="s">
        <v>15</v>
      </c>
      <c r="AF8" s="2" t="s">
        <v>15</v>
      </c>
      <c r="AG8" s="2" t="s">
        <v>15</v>
      </c>
      <c r="AH8" s="2" t="s">
        <v>15</v>
      </c>
      <c r="AI8" s="2" t="s">
        <v>15</v>
      </c>
      <c r="AJ8" s="2" t="s">
        <v>15</v>
      </c>
      <c r="AK8" s="2" t="s">
        <v>7</v>
      </c>
      <c r="AL8" s="2">
        <f t="shared" si="36"/>
        <v>1</v>
      </c>
      <c r="AM8" s="2">
        <f t="shared" si="37"/>
        <v>0</v>
      </c>
      <c r="AN8" s="2">
        <f t="shared" si="38"/>
        <v>0</v>
      </c>
      <c r="AO8" s="2">
        <f t="shared" si="39"/>
        <v>0</v>
      </c>
      <c r="AP8" s="2">
        <f t="shared" si="40"/>
        <v>0</v>
      </c>
      <c r="AQ8" s="2" t="s">
        <v>15</v>
      </c>
      <c r="AR8" s="2" t="s">
        <v>15</v>
      </c>
      <c r="AS8" s="2" t="s">
        <v>15</v>
      </c>
      <c r="AT8" s="2" t="s">
        <v>15</v>
      </c>
      <c r="AU8" s="2" t="s">
        <v>15</v>
      </c>
      <c r="AV8" s="2" t="s">
        <v>15</v>
      </c>
      <c r="AW8" s="2" t="s">
        <v>15</v>
      </c>
      <c r="AX8" s="2">
        <f t="shared" si="41"/>
        <v>0</v>
      </c>
      <c r="AY8" s="2">
        <f t="shared" si="42"/>
        <v>0</v>
      </c>
      <c r="AZ8" s="2">
        <f t="shared" si="43"/>
        <v>0</v>
      </c>
      <c r="BA8" s="2">
        <f t="shared" si="44"/>
        <v>0</v>
      </c>
      <c r="BB8" s="2">
        <f t="shared" si="45"/>
        <v>0</v>
      </c>
      <c r="BC8" s="2" t="s">
        <v>15</v>
      </c>
      <c r="BD8" s="2" t="s">
        <v>15</v>
      </c>
      <c r="BE8" s="2" t="s">
        <v>15</v>
      </c>
      <c r="BF8" s="2">
        <f t="shared" si="46"/>
        <v>0</v>
      </c>
      <c r="BG8" s="2">
        <f t="shared" si="47"/>
        <v>0</v>
      </c>
      <c r="BH8" s="2">
        <f t="shared" si="48"/>
        <v>0</v>
      </c>
      <c r="BI8" s="2">
        <f t="shared" si="49"/>
        <v>0</v>
      </c>
      <c r="BJ8" s="2">
        <f t="shared" si="50"/>
        <v>0</v>
      </c>
      <c r="BK8" s="2">
        <f t="shared" si="51"/>
        <v>5</v>
      </c>
      <c r="BL8" s="2">
        <f t="shared" si="51"/>
        <v>0</v>
      </c>
      <c r="BM8" s="2">
        <f t="shared" si="51"/>
        <v>0</v>
      </c>
      <c r="BN8" s="2">
        <f t="shared" si="52"/>
        <v>0</v>
      </c>
      <c r="BO8" s="2">
        <f t="shared" si="52"/>
        <v>0</v>
      </c>
      <c r="BP8" s="2">
        <f t="shared" si="53"/>
        <v>5</v>
      </c>
    </row>
    <row r="9" spans="1:68">
      <c r="A9" s="22">
        <f t="shared" si="54"/>
        <v>6</v>
      </c>
      <c r="B9" s="16" t="s">
        <v>89</v>
      </c>
      <c r="C9" s="18" t="s">
        <v>11</v>
      </c>
      <c r="D9" s="15" t="s">
        <v>12</v>
      </c>
      <c r="E9" s="4" t="s">
        <v>13</v>
      </c>
      <c r="F9" s="5" t="s">
        <v>14</v>
      </c>
      <c r="G9" s="2" t="s">
        <v>15</v>
      </c>
      <c r="H9" s="2" t="s">
        <v>15</v>
      </c>
      <c r="I9" s="2" t="s">
        <v>15</v>
      </c>
      <c r="J9" s="2" t="s">
        <v>15</v>
      </c>
      <c r="K9" s="2" t="s">
        <v>15</v>
      </c>
      <c r="L9" s="2" t="s">
        <v>15</v>
      </c>
      <c r="M9" s="2" t="s">
        <v>15</v>
      </c>
      <c r="N9" s="2">
        <f t="shared" si="26"/>
        <v>0</v>
      </c>
      <c r="O9" s="2">
        <f t="shared" si="27"/>
        <v>0</v>
      </c>
      <c r="P9" s="2">
        <f t="shared" si="28"/>
        <v>0</v>
      </c>
      <c r="Q9" s="2">
        <f t="shared" si="29"/>
        <v>0</v>
      </c>
      <c r="R9" s="2">
        <f t="shared" si="30"/>
        <v>0</v>
      </c>
      <c r="S9" s="2" t="s">
        <v>15</v>
      </c>
      <c r="T9" s="2" t="s">
        <v>7</v>
      </c>
      <c r="U9" s="2" t="s">
        <v>15</v>
      </c>
      <c r="V9" s="2" t="s">
        <v>15</v>
      </c>
      <c r="W9" s="2" t="s">
        <v>15</v>
      </c>
      <c r="X9" s="2" t="s">
        <v>15</v>
      </c>
      <c r="Y9" s="2" t="s">
        <v>7</v>
      </c>
      <c r="Z9" s="2">
        <f t="shared" si="31"/>
        <v>2</v>
      </c>
      <c r="AA9" s="2">
        <f t="shared" si="32"/>
        <v>0</v>
      </c>
      <c r="AB9" s="2">
        <f t="shared" si="33"/>
        <v>0</v>
      </c>
      <c r="AC9" s="2">
        <f t="shared" si="34"/>
        <v>0</v>
      </c>
      <c r="AD9" s="2">
        <f t="shared" si="35"/>
        <v>0</v>
      </c>
      <c r="AE9" s="2" t="s">
        <v>15</v>
      </c>
      <c r="AF9" s="2" t="s">
        <v>15</v>
      </c>
      <c r="AG9" s="2" t="s">
        <v>15</v>
      </c>
      <c r="AH9" s="2" t="s">
        <v>15</v>
      </c>
      <c r="AI9" s="2" t="s">
        <v>15</v>
      </c>
      <c r="AJ9" s="2" t="s">
        <v>15</v>
      </c>
      <c r="AK9" s="2" t="s">
        <v>15</v>
      </c>
      <c r="AL9" s="2">
        <f t="shared" si="36"/>
        <v>0</v>
      </c>
      <c r="AM9" s="2">
        <f t="shared" si="37"/>
        <v>0</v>
      </c>
      <c r="AN9" s="2">
        <f t="shared" si="38"/>
        <v>0</v>
      </c>
      <c r="AO9" s="2">
        <f t="shared" si="39"/>
        <v>0</v>
      </c>
      <c r="AP9" s="2">
        <f t="shared" si="40"/>
        <v>0</v>
      </c>
      <c r="AQ9" s="2" t="s">
        <v>7</v>
      </c>
      <c r="AR9" s="2" t="s">
        <v>7</v>
      </c>
      <c r="AS9" s="2" t="s">
        <v>248</v>
      </c>
      <c r="AT9" s="2" t="s">
        <v>15</v>
      </c>
      <c r="AU9" s="2" t="s">
        <v>15</v>
      </c>
      <c r="AV9" s="2" t="s">
        <v>15</v>
      </c>
      <c r="AW9" s="2" t="s">
        <v>15</v>
      </c>
      <c r="AX9" s="2">
        <f t="shared" si="41"/>
        <v>2</v>
      </c>
      <c r="AY9" s="2">
        <f t="shared" si="42"/>
        <v>0</v>
      </c>
      <c r="AZ9" s="2">
        <f t="shared" si="43"/>
        <v>1</v>
      </c>
      <c r="BA9" s="2">
        <f t="shared" si="44"/>
        <v>0</v>
      </c>
      <c r="BB9" s="2">
        <f t="shared" si="45"/>
        <v>0</v>
      </c>
      <c r="BC9" s="2" t="s">
        <v>15</v>
      </c>
      <c r="BD9" s="2" t="s">
        <v>15</v>
      </c>
      <c r="BE9" s="2" t="s">
        <v>15</v>
      </c>
      <c r="BF9" s="2">
        <f t="shared" si="46"/>
        <v>0</v>
      </c>
      <c r="BG9" s="2">
        <f t="shared" si="47"/>
        <v>0</v>
      </c>
      <c r="BH9" s="2">
        <f t="shared" si="48"/>
        <v>0</v>
      </c>
      <c r="BI9" s="2">
        <f t="shared" si="49"/>
        <v>0</v>
      </c>
      <c r="BJ9" s="2">
        <f t="shared" si="50"/>
        <v>0</v>
      </c>
      <c r="BK9" s="2">
        <f t="shared" si="51"/>
        <v>4</v>
      </c>
      <c r="BL9" s="2">
        <f t="shared" si="51"/>
        <v>0</v>
      </c>
      <c r="BM9" s="2">
        <f t="shared" si="51"/>
        <v>1</v>
      </c>
      <c r="BN9" s="2">
        <f t="shared" si="52"/>
        <v>0</v>
      </c>
      <c r="BO9" s="2">
        <f t="shared" si="52"/>
        <v>0</v>
      </c>
      <c r="BP9" s="2">
        <f t="shared" si="53"/>
        <v>5</v>
      </c>
    </row>
    <row r="10" spans="1:68">
      <c r="A10" s="22">
        <f t="shared" si="54"/>
        <v>7</v>
      </c>
      <c r="B10" s="16" t="s">
        <v>81</v>
      </c>
      <c r="C10" s="18" t="s">
        <v>82</v>
      </c>
      <c r="D10" s="15" t="s">
        <v>12</v>
      </c>
      <c r="E10" s="4" t="s">
        <v>13</v>
      </c>
      <c r="F10" s="5" t="s">
        <v>78</v>
      </c>
      <c r="G10" s="2" t="s">
        <v>47</v>
      </c>
      <c r="H10" s="2" t="s">
        <v>47</v>
      </c>
      <c r="I10" s="2" t="s">
        <v>7</v>
      </c>
      <c r="J10" s="2" t="s">
        <v>7</v>
      </c>
      <c r="K10" s="2" t="s">
        <v>7</v>
      </c>
      <c r="L10" s="2" t="s">
        <v>7</v>
      </c>
      <c r="M10" s="2" t="s">
        <v>47</v>
      </c>
      <c r="N10" s="2">
        <f t="shared" si="26"/>
        <v>4</v>
      </c>
      <c r="O10" s="2">
        <f t="shared" si="27"/>
        <v>0</v>
      </c>
      <c r="P10" s="2">
        <f t="shared" si="28"/>
        <v>0</v>
      </c>
      <c r="Q10" s="2">
        <f t="shared" si="29"/>
        <v>0</v>
      </c>
      <c r="R10" s="2">
        <f t="shared" si="30"/>
        <v>0</v>
      </c>
      <c r="S10" s="2" t="s">
        <v>47</v>
      </c>
      <c r="T10" s="2" t="s">
        <v>47</v>
      </c>
      <c r="U10" s="2" t="s">
        <v>47</v>
      </c>
      <c r="V10" s="2" t="s">
        <v>47</v>
      </c>
      <c r="W10" s="2" t="s">
        <v>47</v>
      </c>
      <c r="X10" s="2" t="s">
        <v>47</v>
      </c>
      <c r="Y10" s="2" t="s">
        <v>47</v>
      </c>
      <c r="Z10" s="2">
        <f t="shared" si="31"/>
        <v>0</v>
      </c>
      <c r="AA10" s="2">
        <f t="shared" si="32"/>
        <v>0</v>
      </c>
      <c r="AB10" s="2">
        <f t="shared" si="33"/>
        <v>0</v>
      </c>
      <c r="AC10" s="2">
        <f t="shared" si="34"/>
        <v>0</v>
      </c>
      <c r="AD10" s="2">
        <f t="shared" si="35"/>
        <v>0</v>
      </c>
      <c r="AE10" s="2" t="s">
        <v>47</v>
      </c>
      <c r="AF10" s="2" t="s">
        <v>248</v>
      </c>
      <c r="AG10" s="2" t="s">
        <v>248</v>
      </c>
      <c r="AH10" s="2" t="s">
        <v>47</v>
      </c>
      <c r="AI10" s="2" t="s">
        <v>47</v>
      </c>
      <c r="AJ10" s="2" t="s">
        <v>47</v>
      </c>
      <c r="AK10" s="2" t="s">
        <v>47</v>
      </c>
      <c r="AL10" s="2">
        <f t="shared" si="36"/>
        <v>0</v>
      </c>
      <c r="AM10" s="2">
        <f t="shared" si="37"/>
        <v>0</v>
      </c>
      <c r="AN10" s="2">
        <f t="shared" si="38"/>
        <v>2</v>
      </c>
      <c r="AO10" s="2">
        <f t="shared" si="39"/>
        <v>0</v>
      </c>
      <c r="AP10" s="2">
        <f t="shared" si="40"/>
        <v>0</v>
      </c>
      <c r="AQ10" s="2" t="s">
        <v>47</v>
      </c>
      <c r="AR10" s="2" t="s">
        <v>47</v>
      </c>
      <c r="AS10" s="2" t="s">
        <v>47</v>
      </c>
      <c r="AT10" s="2" t="s">
        <v>47</v>
      </c>
      <c r="AU10" s="2" t="s">
        <v>47</v>
      </c>
      <c r="AV10" s="2" t="s">
        <v>47</v>
      </c>
      <c r="AW10" s="2" t="s">
        <v>47</v>
      </c>
      <c r="AX10" s="2">
        <f t="shared" si="41"/>
        <v>0</v>
      </c>
      <c r="AY10" s="2">
        <f t="shared" si="42"/>
        <v>0</v>
      </c>
      <c r="AZ10" s="2">
        <f t="shared" si="43"/>
        <v>0</v>
      </c>
      <c r="BA10" s="2">
        <f t="shared" si="44"/>
        <v>0</v>
      </c>
      <c r="BB10" s="2">
        <f t="shared" si="45"/>
        <v>0</v>
      </c>
      <c r="BC10" s="2" t="s">
        <v>47</v>
      </c>
      <c r="BD10" s="2" t="s">
        <v>47</v>
      </c>
      <c r="BE10" s="2" t="s">
        <v>47</v>
      </c>
      <c r="BF10" s="2">
        <f t="shared" si="46"/>
        <v>0</v>
      </c>
      <c r="BG10" s="2">
        <f t="shared" si="47"/>
        <v>0</v>
      </c>
      <c r="BH10" s="2">
        <f t="shared" si="48"/>
        <v>0</v>
      </c>
      <c r="BI10" s="2">
        <f t="shared" si="49"/>
        <v>0</v>
      </c>
      <c r="BJ10" s="2">
        <f t="shared" si="50"/>
        <v>0</v>
      </c>
      <c r="BK10" s="2">
        <f t="shared" si="51"/>
        <v>4</v>
      </c>
      <c r="BL10" s="2">
        <f t="shared" si="51"/>
        <v>0</v>
      </c>
      <c r="BM10" s="2">
        <f t="shared" si="51"/>
        <v>2</v>
      </c>
      <c r="BN10" s="2">
        <f t="shared" si="52"/>
        <v>0</v>
      </c>
      <c r="BO10" s="2">
        <f t="shared" si="52"/>
        <v>0</v>
      </c>
      <c r="BP10" s="2">
        <f t="shared" si="53"/>
        <v>6</v>
      </c>
    </row>
    <row r="11" spans="1:68">
      <c r="A11" s="22">
        <f t="shared" si="54"/>
        <v>8</v>
      </c>
      <c r="B11" s="16" t="s">
        <v>33</v>
      </c>
      <c r="C11" s="18" t="s">
        <v>34</v>
      </c>
      <c r="D11" s="15" t="s">
        <v>12</v>
      </c>
      <c r="E11" s="4" t="s">
        <v>13</v>
      </c>
      <c r="F11" s="5" t="s">
        <v>14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15</v>
      </c>
      <c r="M11" s="2" t="s">
        <v>15</v>
      </c>
      <c r="N11" s="2">
        <f t="shared" si="26"/>
        <v>0</v>
      </c>
      <c r="O11" s="2">
        <f t="shared" si="27"/>
        <v>0</v>
      </c>
      <c r="P11" s="2">
        <f t="shared" si="28"/>
        <v>0</v>
      </c>
      <c r="Q11" s="2">
        <f t="shared" si="29"/>
        <v>0</v>
      </c>
      <c r="R11" s="2">
        <f t="shared" si="30"/>
        <v>0</v>
      </c>
      <c r="S11" s="2" t="s">
        <v>15</v>
      </c>
      <c r="T11" s="2" t="s">
        <v>15</v>
      </c>
      <c r="U11" s="2" t="s">
        <v>15</v>
      </c>
      <c r="V11" s="2" t="s">
        <v>15</v>
      </c>
      <c r="W11" s="2" t="s">
        <v>15</v>
      </c>
      <c r="X11" s="2" t="s">
        <v>15</v>
      </c>
      <c r="Y11" s="2" t="s">
        <v>15</v>
      </c>
      <c r="Z11" s="2">
        <f t="shared" si="31"/>
        <v>0</v>
      </c>
      <c r="AA11" s="2">
        <f t="shared" si="32"/>
        <v>0</v>
      </c>
      <c r="AB11" s="2">
        <f t="shared" si="33"/>
        <v>0</v>
      </c>
      <c r="AC11" s="2">
        <f t="shared" si="34"/>
        <v>0</v>
      </c>
      <c r="AD11" s="2">
        <f t="shared" si="35"/>
        <v>0</v>
      </c>
      <c r="AE11" s="2" t="s">
        <v>15</v>
      </c>
      <c r="AF11" s="2" t="s">
        <v>15</v>
      </c>
      <c r="AG11" s="2" t="s">
        <v>15</v>
      </c>
      <c r="AH11" s="2" t="s">
        <v>15</v>
      </c>
      <c r="AI11" s="2" t="s">
        <v>7</v>
      </c>
      <c r="AJ11" s="2" t="s">
        <v>7</v>
      </c>
      <c r="AK11" s="2" t="s">
        <v>7</v>
      </c>
      <c r="AL11" s="2">
        <f t="shared" si="36"/>
        <v>3</v>
      </c>
      <c r="AM11" s="2">
        <f t="shared" si="37"/>
        <v>0</v>
      </c>
      <c r="AN11" s="2">
        <f t="shared" si="38"/>
        <v>0</v>
      </c>
      <c r="AO11" s="2">
        <f t="shared" si="39"/>
        <v>0</v>
      </c>
      <c r="AP11" s="2">
        <f t="shared" si="40"/>
        <v>0</v>
      </c>
      <c r="AQ11" s="2" t="s">
        <v>7</v>
      </c>
      <c r="AR11" s="2" t="s">
        <v>248</v>
      </c>
      <c r="AS11" s="2" t="s">
        <v>248</v>
      </c>
      <c r="AT11" s="2" t="s">
        <v>6</v>
      </c>
      <c r="AU11" s="2" t="s">
        <v>15</v>
      </c>
      <c r="AV11" s="2" t="s">
        <v>15</v>
      </c>
      <c r="AW11" s="2" t="s">
        <v>15</v>
      </c>
      <c r="AX11" s="2">
        <f t="shared" si="41"/>
        <v>1</v>
      </c>
      <c r="AY11" s="2">
        <f t="shared" si="42"/>
        <v>0</v>
      </c>
      <c r="AZ11" s="2">
        <f t="shared" si="43"/>
        <v>2</v>
      </c>
      <c r="BA11" s="2">
        <f t="shared" si="44"/>
        <v>0</v>
      </c>
      <c r="BB11" s="2">
        <f t="shared" si="45"/>
        <v>1</v>
      </c>
      <c r="BC11" s="2" t="s">
        <v>15</v>
      </c>
      <c r="BD11" s="2" t="s">
        <v>15</v>
      </c>
      <c r="BE11" s="2" t="s">
        <v>15</v>
      </c>
      <c r="BF11" s="2">
        <f t="shared" si="46"/>
        <v>0</v>
      </c>
      <c r="BG11" s="2">
        <f t="shared" si="47"/>
        <v>0</v>
      </c>
      <c r="BH11" s="2">
        <f t="shared" si="48"/>
        <v>0</v>
      </c>
      <c r="BI11" s="2">
        <f t="shared" si="49"/>
        <v>0</v>
      </c>
      <c r="BJ11" s="2">
        <f t="shared" si="50"/>
        <v>0</v>
      </c>
      <c r="BK11" s="2">
        <f t="shared" si="51"/>
        <v>4</v>
      </c>
      <c r="BL11" s="2">
        <f t="shared" si="51"/>
        <v>0</v>
      </c>
      <c r="BM11" s="2">
        <f t="shared" si="51"/>
        <v>2</v>
      </c>
      <c r="BN11" s="2">
        <f t="shared" si="52"/>
        <v>0</v>
      </c>
      <c r="BO11" s="2">
        <f t="shared" si="52"/>
        <v>1</v>
      </c>
      <c r="BP11" s="2">
        <f t="shared" si="53"/>
        <v>7</v>
      </c>
    </row>
    <row r="12" spans="1:68">
      <c r="A12" s="22">
        <f t="shared" si="54"/>
        <v>9</v>
      </c>
      <c r="B12" s="16" t="s">
        <v>120</v>
      </c>
      <c r="C12" s="18" t="s">
        <v>121</v>
      </c>
      <c r="D12" s="15" t="s">
        <v>12</v>
      </c>
      <c r="E12" s="4" t="s">
        <v>13</v>
      </c>
      <c r="F12" s="5" t="s">
        <v>14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7</v>
      </c>
      <c r="L12" s="2" t="s">
        <v>7</v>
      </c>
      <c r="M12" s="2" t="s">
        <v>7</v>
      </c>
      <c r="N12" s="2">
        <f t="shared" si="26"/>
        <v>3</v>
      </c>
      <c r="O12" s="2">
        <f t="shared" si="27"/>
        <v>0</v>
      </c>
      <c r="P12" s="2">
        <f t="shared" si="28"/>
        <v>0</v>
      </c>
      <c r="Q12" s="2">
        <f t="shared" si="29"/>
        <v>0</v>
      </c>
      <c r="R12" s="2">
        <f t="shared" si="30"/>
        <v>0</v>
      </c>
      <c r="S12" s="2" t="s">
        <v>7</v>
      </c>
      <c r="T12" s="2" t="s">
        <v>6</v>
      </c>
      <c r="U12" s="2" t="s">
        <v>6</v>
      </c>
      <c r="V12" s="2" t="s">
        <v>6</v>
      </c>
      <c r="W12" s="2" t="s">
        <v>6</v>
      </c>
      <c r="X12" s="2" t="s">
        <v>6</v>
      </c>
      <c r="Y12" s="2" t="s">
        <v>6</v>
      </c>
      <c r="Z12" s="2">
        <f t="shared" si="31"/>
        <v>1</v>
      </c>
      <c r="AA12" s="2">
        <f t="shared" si="32"/>
        <v>0</v>
      </c>
      <c r="AB12" s="2">
        <f t="shared" si="33"/>
        <v>0</v>
      </c>
      <c r="AC12" s="2">
        <f t="shared" si="34"/>
        <v>0</v>
      </c>
      <c r="AD12" s="2">
        <f t="shared" si="35"/>
        <v>6</v>
      </c>
      <c r="AE12" s="2" t="s">
        <v>6</v>
      </c>
      <c r="AF12" s="2" t="s">
        <v>6</v>
      </c>
      <c r="AG12" s="2" t="s">
        <v>6</v>
      </c>
      <c r="AH12" s="2" t="s">
        <v>6</v>
      </c>
      <c r="AI12" s="2" t="s">
        <v>6</v>
      </c>
      <c r="AJ12" s="2" t="s">
        <v>15</v>
      </c>
      <c r="AK12" s="2" t="s">
        <v>15</v>
      </c>
      <c r="AL12" s="2">
        <f t="shared" si="36"/>
        <v>0</v>
      </c>
      <c r="AM12" s="2">
        <f t="shared" si="37"/>
        <v>0</v>
      </c>
      <c r="AN12" s="2">
        <f t="shared" si="38"/>
        <v>0</v>
      </c>
      <c r="AO12" s="2">
        <f t="shared" si="39"/>
        <v>0</v>
      </c>
      <c r="AP12" s="2">
        <f t="shared" si="40"/>
        <v>5</v>
      </c>
      <c r="AQ12" s="2" t="s">
        <v>15</v>
      </c>
      <c r="AR12" s="2" t="s">
        <v>15</v>
      </c>
      <c r="AS12" s="2" t="s">
        <v>15</v>
      </c>
      <c r="AT12" s="2" t="s">
        <v>15</v>
      </c>
      <c r="AU12" s="2" t="s">
        <v>15</v>
      </c>
      <c r="AV12" s="2" t="s">
        <v>15</v>
      </c>
      <c r="AW12" s="2" t="s">
        <v>15</v>
      </c>
      <c r="AX12" s="2">
        <f t="shared" si="41"/>
        <v>0</v>
      </c>
      <c r="AY12" s="2">
        <f t="shared" si="42"/>
        <v>0</v>
      </c>
      <c r="AZ12" s="2">
        <f t="shared" si="43"/>
        <v>0</v>
      </c>
      <c r="BA12" s="2">
        <f t="shared" si="44"/>
        <v>0</v>
      </c>
      <c r="BB12" s="2">
        <f t="shared" si="45"/>
        <v>0</v>
      </c>
      <c r="BC12" s="2" t="s">
        <v>15</v>
      </c>
      <c r="BD12" s="2" t="s">
        <v>15</v>
      </c>
      <c r="BE12" s="2" t="s">
        <v>15</v>
      </c>
      <c r="BF12" s="2">
        <f t="shared" si="46"/>
        <v>0</v>
      </c>
      <c r="BG12" s="2">
        <f t="shared" si="47"/>
        <v>0</v>
      </c>
      <c r="BH12" s="2">
        <f t="shared" si="48"/>
        <v>0</v>
      </c>
      <c r="BI12" s="2">
        <f t="shared" si="49"/>
        <v>0</v>
      </c>
      <c r="BJ12" s="2">
        <f t="shared" si="50"/>
        <v>0</v>
      </c>
      <c r="BK12" s="2">
        <f t="shared" si="51"/>
        <v>4</v>
      </c>
      <c r="BL12" s="2">
        <f t="shared" si="51"/>
        <v>0</v>
      </c>
      <c r="BM12" s="2">
        <f t="shared" si="51"/>
        <v>0</v>
      </c>
      <c r="BN12" s="2">
        <f t="shared" si="52"/>
        <v>0</v>
      </c>
      <c r="BO12" s="2">
        <f t="shared" si="52"/>
        <v>11</v>
      </c>
      <c r="BP12" s="2">
        <f t="shared" si="53"/>
        <v>15</v>
      </c>
    </row>
    <row r="13" spans="1:68">
      <c r="A13" s="22">
        <f t="shared" si="54"/>
        <v>10</v>
      </c>
      <c r="B13" s="16" t="s">
        <v>50</v>
      </c>
      <c r="C13" s="18" t="s">
        <v>51</v>
      </c>
      <c r="D13" s="15" t="s">
        <v>12</v>
      </c>
      <c r="E13" s="4" t="s">
        <v>13</v>
      </c>
      <c r="F13" s="5" t="s">
        <v>18</v>
      </c>
      <c r="G13" s="2" t="s">
        <v>15</v>
      </c>
      <c r="H13" s="2" t="s">
        <v>15</v>
      </c>
      <c r="I13" s="2" t="s">
        <v>15</v>
      </c>
      <c r="J13" s="2" t="s">
        <v>15</v>
      </c>
      <c r="K13" s="2" t="s">
        <v>15</v>
      </c>
      <c r="L13" s="2" t="s">
        <v>15</v>
      </c>
      <c r="M13" s="2" t="s">
        <v>15</v>
      </c>
      <c r="N13" s="2">
        <f t="shared" si="26"/>
        <v>0</v>
      </c>
      <c r="O13" s="2">
        <f t="shared" si="27"/>
        <v>0</v>
      </c>
      <c r="P13" s="2">
        <f t="shared" si="28"/>
        <v>0</v>
      </c>
      <c r="Q13" s="2">
        <f t="shared" si="29"/>
        <v>0</v>
      </c>
      <c r="R13" s="2">
        <f t="shared" si="30"/>
        <v>0</v>
      </c>
      <c r="S13" s="2" t="s">
        <v>15</v>
      </c>
      <c r="T13" s="2" t="s">
        <v>15</v>
      </c>
      <c r="U13" s="2" t="s">
        <v>7</v>
      </c>
      <c r="V13" s="2" t="s">
        <v>15</v>
      </c>
      <c r="W13" s="2" t="s">
        <v>15</v>
      </c>
      <c r="X13" s="2" t="s">
        <v>15</v>
      </c>
      <c r="Y13" s="2" t="s">
        <v>15</v>
      </c>
      <c r="Z13" s="2">
        <f t="shared" si="31"/>
        <v>1</v>
      </c>
      <c r="AA13" s="2">
        <f t="shared" si="32"/>
        <v>0</v>
      </c>
      <c r="AB13" s="2">
        <f t="shared" si="33"/>
        <v>0</v>
      </c>
      <c r="AC13" s="2">
        <f t="shared" si="34"/>
        <v>0</v>
      </c>
      <c r="AD13" s="2">
        <f t="shared" si="35"/>
        <v>0</v>
      </c>
      <c r="AE13" s="2" t="s">
        <v>15</v>
      </c>
      <c r="AF13" s="2" t="s">
        <v>15</v>
      </c>
      <c r="AG13" s="2" t="s">
        <v>15</v>
      </c>
      <c r="AH13" s="2" t="s">
        <v>15</v>
      </c>
      <c r="AI13" s="2" t="s">
        <v>7</v>
      </c>
      <c r="AJ13" s="2" t="s">
        <v>15</v>
      </c>
      <c r="AK13" s="2" t="s">
        <v>15</v>
      </c>
      <c r="AL13" s="2">
        <f t="shared" si="36"/>
        <v>1</v>
      </c>
      <c r="AM13" s="2">
        <f t="shared" si="37"/>
        <v>0</v>
      </c>
      <c r="AN13" s="2">
        <f t="shared" si="38"/>
        <v>0</v>
      </c>
      <c r="AO13" s="2">
        <f t="shared" si="39"/>
        <v>0</v>
      </c>
      <c r="AP13" s="2">
        <f t="shared" si="40"/>
        <v>0</v>
      </c>
      <c r="AQ13" s="2" t="s">
        <v>15</v>
      </c>
      <c r="AR13" s="2" t="s">
        <v>7</v>
      </c>
      <c r="AS13" s="2" t="s">
        <v>15</v>
      </c>
      <c r="AT13" s="2" t="s">
        <v>15</v>
      </c>
      <c r="AU13" s="2" t="s">
        <v>15</v>
      </c>
      <c r="AV13" s="2" t="s">
        <v>15</v>
      </c>
      <c r="AW13" s="2" t="s">
        <v>15</v>
      </c>
      <c r="AX13" s="2">
        <f t="shared" si="41"/>
        <v>1</v>
      </c>
      <c r="AY13" s="2">
        <f t="shared" si="42"/>
        <v>0</v>
      </c>
      <c r="AZ13" s="2">
        <f t="shared" si="43"/>
        <v>0</v>
      </c>
      <c r="BA13" s="2">
        <f t="shared" si="44"/>
        <v>0</v>
      </c>
      <c r="BB13" s="2">
        <f t="shared" si="45"/>
        <v>0</v>
      </c>
      <c r="BC13" s="2" t="s">
        <v>15</v>
      </c>
      <c r="BD13" s="2" t="s">
        <v>7</v>
      </c>
      <c r="BE13" s="2" t="s">
        <v>15</v>
      </c>
      <c r="BF13" s="2">
        <f t="shared" si="46"/>
        <v>1</v>
      </c>
      <c r="BG13" s="2">
        <f t="shared" si="47"/>
        <v>0</v>
      </c>
      <c r="BH13" s="2">
        <f t="shared" si="48"/>
        <v>0</v>
      </c>
      <c r="BI13" s="2">
        <f t="shared" si="49"/>
        <v>0</v>
      </c>
      <c r="BJ13" s="2">
        <f t="shared" si="50"/>
        <v>0</v>
      </c>
      <c r="BK13" s="2">
        <f t="shared" si="51"/>
        <v>4</v>
      </c>
      <c r="BL13" s="2">
        <f t="shared" si="51"/>
        <v>0</v>
      </c>
      <c r="BM13" s="2">
        <f t="shared" si="51"/>
        <v>0</v>
      </c>
      <c r="BN13" s="2">
        <f t="shared" si="52"/>
        <v>0</v>
      </c>
      <c r="BO13" s="2">
        <f t="shared" si="52"/>
        <v>0</v>
      </c>
      <c r="BP13" s="2">
        <f t="shared" si="53"/>
        <v>4</v>
      </c>
    </row>
    <row r="14" spans="1:68">
      <c r="A14" s="22">
        <f t="shared" si="54"/>
        <v>11</v>
      </c>
      <c r="B14" s="16" t="s">
        <v>65</v>
      </c>
      <c r="C14" s="18" t="s">
        <v>66</v>
      </c>
      <c r="D14" s="15" t="s">
        <v>12</v>
      </c>
      <c r="E14" s="4" t="s">
        <v>13</v>
      </c>
      <c r="F14" s="5" t="s">
        <v>14</v>
      </c>
      <c r="G14" s="2" t="s">
        <v>15</v>
      </c>
      <c r="H14" s="2" t="s">
        <v>15</v>
      </c>
      <c r="I14" s="2" t="s">
        <v>15</v>
      </c>
      <c r="J14" s="2" t="s">
        <v>15</v>
      </c>
      <c r="K14" s="2" t="s">
        <v>15</v>
      </c>
      <c r="L14" s="2" t="s">
        <v>15</v>
      </c>
      <c r="M14" s="2" t="s">
        <v>15</v>
      </c>
      <c r="N14" s="2">
        <f t="shared" si="26"/>
        <v>0</v>
      </c>
      <c r="O14" s="2">
        <f t="shared" si="27"/>
        <v>0</v>
      </c>
      <c r="P14" s="2">
        <f t="shared" si="28"/>
        <v>0</v>
      </c>
      <c r="Q14" s="2">
        <f t="shared" si="29"/>
        <v>0</v>
      </c>
      <c r="R14" s="2">
        <f t="shared" si="30"/>
        <v>0</v>
      </c>
      <c r="S14" s="2" t="s">
        <v>15</v>
      </c>
      <c r="T14" s="2" t="s">
        <v>15</v>
      </c>
      <c r="U14" s="2" t="s">
        <v>15</v>
      </c>
      <c r="V14" s="2" t="s">
        <v>7</v>
      </c>
      <c r="W14" s="2" t="s">
        <v>15</v>
      </c>
      <c r="X14" s="2" t="s">
        <v>15</v>
      </c>
      <c r="Y14" s="2" t="s">
        <v>15</v>
      </c>
      <c r="Z14" s="2">
        <f t="shared" si="31"/>
        <v>1</v>
      </c>
      <c r="AA14" s="2">
        <f t="shared" si="32"/>
        <v>0</v>
      </c>
      <c r="AB14" s="2">
        <f t="shared" si="33"/>
        <v>0</v>
      </c>
      <c r="AC14" s="2">
        <f t="shared" si="34"/>
        <v>0</v>
      </c>
      <c r="AD14" s="2">
        <f t="shared" si="35"/>
        <v>0</v>
      </c>
      <c r="AE14" s="2" t="s">
        <v>15</v>
      </c>
      <c r="AF14" s="2" t="s">
        <v>15</v>
      </c>
      <c r="AG14" s="2" t="s">
        <v>15</v>
      </c>
      <c r="AH14" s="2" t="s">
        <v>15</v>
      </c>
      <c r="AI14" s="2" t="s">
        <v>15</v>
      </c>
      <c r="AJ14" s="2" t="s">
        <v>7</v>
      </c>
      <c r="AK14" s="2" t="s">
        <v>7</v>
      </c>
      <c r="AL14" s="2">
        <f t="shared" si="36"/>
        <v>2</v>
      </c>
      <c r="AM14" s="2">
        <f t="shared" si="37"/>
        <v>0</v>
      </c>
      <c r="AN14" s="2">
        <f t="shared" si="38"/>
        <v>0</v>
      </c>
      <c r="AO14" s="2">
        <f t="shared" si="39"/>
        <v>0</v>
      </c>
      <c r="AP14" s="2">
        <f t="shared" si="40"/>
        <v>0</v>
      </c>
      <c r="AQ14" s="2" t="s">
        <v>7</v>
      </c>
      <c r="AR14" s="2" t="s">
        <v>248</v>
      </c>
      <c r="AS14" s="2" t="s">
        <v>15</v>
      </c>
      <c r="AT14" s="2" t="s">
        <v>15</v>
      </c>
      <c r="AU14" s="2" t="s">
        <v>15</v>
      </c>
      <c r="AV14" s="2" t="s">
        <v>15</v>
      </c>
      <c r="AW14" s="2" t="s">
        <v>15</v>
      </c>
      <c r="AX14" s="2">
        <f t="shared" si="41"/>
        <v>1</v>
      </c>
      <c r="AY14" s="2">
        <f t="shared" si="42"/>
        <v>0</v>
      </c>
      <c r="AZ14" s="2">
        <f t="shared" si="43"/>
        <v>1</v>
      </c>
      <c r="BA14" s="2">
        <f t="shared" si="44"/>
        <v>0</v>
      </c>
      <c r="BB14" s="2">
        <f t="shared" si="45"/>
        <v>0</v>
      </c>
      <c r="BC14" s="2" t="s">
        <v>15</v>
      </c>
      <c r="BD14" s="2" t="s">
        <v>15</v>
      </c>
      <c r="BE14" s="2" t="s">
        <v>15</v>
      </c>
      <c r="BF14" s="2">
        <f t="shared" si="46"/>
        <v>0</v>
      </c>
      <c r="BG14" s="2">
        <f t="shared" si="47"/>
        <v>0</v>
      </c>
      <c r="BH14" s="2">
        <f t="shared" si="48"/>
        <v>0</v>
      </c>
      <c r="BI14" s="2">
        <f t="shared" si="49"/>
        <v>0</v>
      </c>
      <c r="BJ14" s="2">
        <f t="shared" si="50"/>
        <v>0</v>
      </c>
      <c r="BK14" s="2">
        <f t="shared" si="51"/>
        <v>4</v>
      </c>
      <c r="BL14" s="2">
        <f t="shared" si="51"/>
        <v>0</v>
      </c>
      <c r="BM14" s="2">
        <f t="shared" si="51"/>
        <v>1</v>
      </c>
      <c r="BN14" s="2">
        <f t="shared" si="52"/>
        <v>0</v>
      </c>
      <c r="BO14" s="2">
        <f t="shared" si="52"/>
        <v>0</v>
      </c>
      <c r="BP14" s="2">
        <f t="shared" si="53"/>
        <v>5</v>
      </c>
    </row>
    <row r="15" spans="1:68">
      <c r="A15" s="22">
        <f t="shared" si="54"/>
        <v>12</v>
      </c>
      <c r="B15" s="16" t="s">
        <v>31</v>
      </c>
      <c r="C15" s="18" t="s">
        <v>32</v>
      </c>
      <c r="D15" s="15" t="s">
        <v>12</v>
      </c>
      <c r="E15" s="4" t="s">
        <v>13</v>
      </c>
      <c r="F15" s="5" t="s">
        <v>18</v>
      </c>
      <c r="G15" s="2" t="s">
        <v>15</v>
      </c>
      <c r="H15" s="2" t="s">
        <v>15</v>
      </c>
      <c r="I15" s="2" t="s">
        <v>15</v>
      </c>
      <c r="J15" s="2" t="s">
        <v>15</v>
      </c>
      <c r="K15" s="2" t="s">
        <v>15</v>
      </c>
      <c r="L15" s="2" t="s">
        <v>15</v>
      </c>
      <c r="M15" s="2" t="s">
        <v>15</v>
      </c>
      <c r="N15" s="2">
        <f t="shared" si="26"/>
        <v>0</v>
      </c>
      <c r="O15" s="2">
        <f t="shared" si="27"/>
        <v>0</v>
      </c>
      <c r="P15" s="2">
        <f t="shared" si="28"/>
        <v>0</v>
      </c>
      <c r="Q15" s="2">
        <f t="shared" si="29"/>
        <v>0</v>
      </c>
      <c r="R15" s="2">
        <f t="shared" si="30"/>
        <v>0</v>
      </c>
      <c r="S15" s="2" t="s">
        <v>15</v>
      </c>
      <c r="T15" s="2" t="s">
        <v>15</v>
      </c>
      <c r="U15" s="2" t="s">
        <v>7</v>
      </c>
      <c r="V15" s="2" t="s">
        <v>15</v>
      </c>
      <c r="W15" s="2" t="s">
        <v>15</v>
      </c>
      <c r="X15" s="2" t="s">
        <v>15</v>
      </c>
      <c r="Y15" s="2" t="s">
        <v>15</v>
      </c>
      <c r="Z15" s="2">
        <f t="shared" si="31"/>
        <v>1</v>
      </c>
      <c r="AA15" s="2">
        <f t="shared" si="32"/>
        <v>0</v>
      </c>
      <c r="AB15" s="2">
        <f t="shared" si="33"/>
        <v>0</v>
      </c>
      <c r="AC15" s="2">
        <f t="shared" si="34"/>
        <v>0</v>
      </c>
      <c r="AD15" s="2">
        <f t="shared" si="35"/>
        <v>0</v>
      </c>
      <c r="AE15" s="2" t="s">
        <v>15</v>
      </c>
      <c r="AF15" s="2" t="s">
        <v>15</v>
      </c>
      <c r="AG15" s="2" t="s">
        <v>7</v>
      </c>
      <c r="AH15" s="2" t="s">
        <v>15</v>
      </c>
      <c r="AI15" s="2" t="s">
        <v>15</v>
      </c>
      <c r="AJ15" s="2" t="s">
        <v>15</v>
      </c>
      <c r="AK15" s="2" t="s">
        <v>15</v>
      </c>
      <c r="AL15" s="2">
        <f t="shared" si="36"/>
        <v>1</v>
      </c>
      <c r="AM15" s="2">
        <f t="shared" si="37"/>
        <v>0</v>
      </c>
      <c r="AN15" s="2">
        <f t="shared" si="38"/>
        <v>0</v>
      </c>
      <c r="AO15" s="2">
        <f t="shared" si="39"/>
        <v>0</v>
      </c>
      <c r="AP15" s="2">
        <f t="shared" si="40"/>
        <v>0</v>
      </c>
      <c r="AQ15" s="2" t="s">
        <v>15</v>
      </c>
      <c r="AR15" s="2" t="s">
        <v>15</v>
      </c>
      <c r="AS15" s="2" t="s">
        <v>15</v>
      </c>
      <c r="AT15" s="2" t="s">
        <v>7</v>
      </c>
      <c r="AU15" s="2" t="s">
        <v>15</v>
      </c>
      <c r="AV15" s="2" t="s">
        <v>7</v>
      </c>
      <c r="AW15" s="2" t="s">
        <v>15</v>
      </c>
      <c r="AX15" s="2">
        <f t="shared" si="41"/>
        <v>2</v>
      </c>
      <c r="AY15" s="2">
        <f t="shared" si="42"/>
        <v>0</v>
      </c>
      <c r="AZ15" s="2">
        <f t="shared" si="43"/>
        <v>0</v>
      </c>
      <c r="BA15" s="2">
        <f t="shared" si="44"/>
        <v>0</v>
      </c>
      <c r="BB15" s="2">
        <f t="shared" si="45"/>
        <v>0</v>
      </c>
      <c r="BC15" s="2" t="s">
        <v>15</v>
      </c>
      <c r="BD15" s="2" t="s">
        <v>248</v>
      </c>
      <c r="BE15" s="2" t="s">
        <v>15</v>
      </c>
      <c r="BF15" s="2">
        <f t="shared" si="46"/>
        <v>0</v>
      </c>
      <c r="BG15" s="2">
        <f t="shared" si="47"/>
        <v>0</v>
      </c>
      <c r="BH15" s="2">
        <f t="shared" si="48"/>
        <v>1</v>
      </c>
      <c r="BI15" s="2">
        <f t="shared" si="49"/>
        <v>0</v>
      </c>
      <c r="BJ15" s="2">
        <f t="shared" si="50"/>
        <v>0</v>
      </c>
      <c r="BK15" s="2">
        <f t="shared" si="51"/>
        <v>4</v>
      </c>
      <c r="BL15" s="2">
        <f t="shared" si="51"/>
        <v>0</v>
      </c>
      <c r="BM15" s="2">
        <f t="shared" si="51"/>
        <v>1</v>
      </c>
      <c r="BN15" s="2">
        <f t="shared" si="52"/>
        <v>0</v>
      </c>
      <c r="BO15" s="2">
        <f t="shared" si="52"/>
        <v>0</v>
      </c>
      <c r="BP15" s="2">
        <f t="shared" si="53"/>
        <v>5</v>
      </c>
    </row>
    <row r="16" spans="1:68">
      <c r="A16" s="22">
        <f t="shared" si="54"/>
        <v>13</v>
      </c>
      <c r="B16" s="16" t="s">
        <v>83</v>
      </c>
      <c r="C16" s="18" t="s">
        <v>84</v>
      </c>
      <c r="D16" s="15" t="s">
        <v>12</v>
      </c>
      <c r="E16" s="4" t="s">
        <v>13</v>
      </c>
      <c r="F16" s="5" t="s">
        <v>67</v>
      </c>
      <c r="G16" s="2" t="s">
        <v>15</v>
      </c>
      <c r="H16" s="2" t="s">
        <v>15</v>
      </c>
      <c r="I16" s="2" t="s">
        <v>15</v>
      </c>
      <c r="J16" s="2" t="s">
        <v>15</v>
      </c>
      <c r="K16" s="2" t="s">
        <v>15</v>
      </c>
      <c r="L16" s="2" t="s">
        <v>15</v>
      </c>
      <c r="M16" s="2" t="s">
        <v>15</v>
      </c>
      <c r="N16" s="2">
        <f t="shared" si="26"/>
        <v>0</v>
      </c>
      <c r="O16" s="2">
        <f t="shared" si="27"/>
        <v>0</v>
      </c>
      <c r="P16" s="2">
        <f t="shared" si="28"/>
        <v>0</v>
      </c>
      <c r="Q16" s="2">
        <f t="shared" si="29"/>
        <v>0</v>
      </c>
      <c r="R16" s="2">
        <f t="shared" si="30"/>
        <v>0</v>
      </c>
      <c r="S16" s="2" t="s">
        <v>15</v>
      </c>
      <c r="T16" s="2" t="s">
        <v>15</v>
      </c>
      <c r="U16" s="2" t="s">
        <v>7</v>
      </c>
      <c r="V16" s="2" t="s">
        <v>15</v>
      </c>
      <c r="W16" s="2" t="s">
        <v>15</v>
      </c>
      <c r="X16" s="2" t="s">
        <v>15</v>
      </c>
      <c r="Y16" s="2" t="s">
        <v>15</v>
      </c>
      <c r="Z16" s="2">
        <f t="shared" si="31"/>
        <v>1</v>
      </c>
      <c r="AA16" s="2">
        <f t="shared" si="32"/>
        <v>0</v>
      </c>
      <c r="AB16" s="2">
        <f t="shared" si="33"/>
        <v>0</v>
      </c>
      <c r="AC16" s="2">
        <f t="shared" si="34"/>
        <v>0</v>
      </c>
      <c r="AD16" s="2">
        <f t="shared" si="35"/>
        <v>0</v>
      </c>
      <c r="AE16" s="2" t="s">
        <v>15</v>
      </c>
      <c r="AF16" s="2" t="s">
        <v>15</v>
      </c>
      <c r="AG16" s="2" t="s">
        <v>15</v>
      </c>
      <c r="AH16" s="2" t="s">
        <v>15</v>
      </c>
      <c r="AI16" s="2" t="s">
        <v>15</v>
      </c>
      <c r="AJ16" s="2" t="s">
        <v>15</v>
      </c>
      <c r="AK16" s="2" t="s">
        <v>7</v>
      </c>
      <c r="AL16" s="2">
        <f t="shared" si="36"/>
        <v>1</v>
      </c>
      <c r="AM16" s="2">
        <f t="shared" si="37"/>
        <v>0</v>
      </c>
      <c r="AN16" s="2">
        <f t="shared" si="38"/>
        <v>0</v>
      </c>
      <c r="AO16" s="2">
        <f t="shared" si="39"/>
        <v>0</v>
      </c>
      <c r="AP16" s="2">
        <f t="shared" si="40"/>
        <v>0</v>
      </c>
      <c r="AQ16" s="2" t="s">
        <v>7</v>
      </c>
      <c r="AR16" s="2" t="s">
        <v>7</v>
      </c>
      <c r="AS16" s="2" t="s">
        <v>15</v>
      </c>
      <c r="AT16" s="2" t="s">
        <v>15</v>
      </c>
      <c r="AU16" s="2" t="s">
        <v>15</v>
      </c>
      <c r="AV16" s="2" t="s">
        <v>15</v>
      </c>
      <c r="AW16" s="2" t="s">
        <v>15</v>
      </c>
      <c r="AX16" s="2">
        <f t="shared" si="41"/>
        <v>2</v>
      </c>
      <c r="AY16" s="2">
        <f t="shared" si="42"/>
        <v>0</v>
      </c>
      <c r="AZ16" s="2">
        <f t="shared" si="43"/>
        <v>0</v>
      </c>
      <c r="BA16" s="2">
        <f t="shared" si="44"/>
        <v>0</v>
      </c>
      <c r="BB16" s="2">
        <f t="shared" si="45"/>
        <v>0</v>
      </c>
      <c r="BC16" s="2" t="s">
        <v>15</v>
      </c>
      <c r="BD16" s="2" t="s">
        <v>15</v>
      </c>
      <c r="BE16" s="2" t="s">
        <v>15</v>
      </c>
      <c r="BF16" s="2">
        <f t="shared" si="46"/>
        <v>0</v>
      </c>
      <c r="BG16" s="2">
        <f t="shared" si="47"/>
        <v>0</v>
      </c>
      <c r="BH16" s="2">
        <f t="shared" si="48"/>
        <v>0</v>
      </c>
      <c r="BI16" s="2">
        <f t="shared" si="49"/>
        <v>0</v>
      </c>
      <c r="BJ16" s="2">
        <f t="shared" si="50"/>
        <v>0</v>
      </c>
      <c r="BK16" s="2">
        <f t="shared" si="51"/>
        <v>4</v>
      </c>
      <c r="BL16" s="2">
        <f t="shared" si="51"/>
        <v>0</v>
      </c>
      <c r="BM16" s="2">
        <f t="shared" si="51"/>
        <v>0</v>
      </c>
      <c r="BN16" s="2">
        <f t="shared" si="52"/>
        <v>0</v>
      </c>
      <c r="BO16" s="2">
        <f t="shared" si="52"/>
        <v>0</v>
      </c>
      <c r="BP16" s="2">
        <f t="shared" si="53"/>
        <v>4</v>
      </c>
    </row>
    <row r="17" spans="1:68">
      <c r="A17" s="22">
        <f t="shared" si="54"/>
        <v>14</v>
      </c>
      <c r="B17" s="16" t="s">
        <v>129</v>
      </c>
      <c r="C17" s="18" t="s">
        <v>130</v>
      </c>
      <c r="D17" s="15" t="s">
        <v>12</v>
      </c>
      <c r="E17" s="4" t="s">
        <v>13</v>
      </c>
      <c r="F17" s="5" t="s">
        <v>14</v>
      </c>
      <c r="G17" s="2" t="s">
        <v>15</v>
      </c>
      <c r="H17" s="2" t="s">
        <v>15</v>
      </c>
      <c r="I17" s="2" t="s">
        <v>15</v>
      </c>
      <c r="J17" s="2" t="s">
        <v>7</v>
      </c>
      <c r="K17" s="2" t="s">
        <v>15</v>
      </c>
      <c r="L17" s="2" t="s">
        <v>15</v>
      </c>
      <c r="M17" s="2" t="s">
        <v>15</v>
      </c>
      <c r="N17" s="2">
        <f t="shared" si="26"/>
        <v>1</v>
      </c>
      <c r="O17" s="2">
        <f t="shared" si="27"/>
        <v>0</v>
      </c>
      <c r="P17" s="2">
        <f t="shared" si="28"/>
        <v>0</v>
      </c>
      <c r="Q17" s="2">
        <f t="shared" si="29"/>
        <v>0</v>
      </c>
      <c r="R17" s="2">
        <f t="shared" si="30"/>
        <v>0</v>
      </c>
      <c r="S17" s="2" t="s">
        <v>15</v>
      </c>
      <c r="T17" s="2" t="s">
        <v>15</v>
      </c>
      <c r="U17" s="2" t="s">
        <v>15</v>
      </c>
      <c r="V17" s="2" t="s">
        <v>15</v>
      </c>
      <c r="W17" s="2" t="s">
        <v>7</v>
      </c>
      <c r="X17" s="2" t="s">
        <v>7</v>
      </c>
      <c r="Y17" s="2" t="s">
        <v>7</v>
      </c>
      <c r="Z17" s="2">
        <f t="shared" si="31"/>
        <v>3</v>
      </c>
      <c r="AA17" s="2">
        <f t="shared" si="32"/>
        <v>0</v>
      </c>
      <c r="AB17" s="2">
        <f t="shared" si="33"/>
        <v>0</v>
      </c>
      <c r="AC17" s="2">
        <f t="shared" si="34"/>
        <v>0</v>
      </c>
      <c r="AD17" s="2">
        <f t="shared" si="35"/>
        <v>0</v>
      </c>
      <c r="AE17" s="2" t="s">
        <v>15</v>
      </c>
      <c r="AF17" s="2" t="s">
        <v>15</v>
      </c>
      <c r="AG17" s="2" t="s">
        <v>15</v>
      </c>
      <c r="AH17" s="2" t="s">
        <v>15</v>
      </c>
      <c r="AI17" s="2" t="s">
        <v>15</v>
      </c>
      <c r="AJ17" s="2" t="s">
        <v>15</v>
      </c>
      <c r="AK17" s="2" t="s">
        <v>15</v>
      </c>
      <c r="AL17" s="2">
        <f t="shared" si="36"/>
        <v>0</v>
      </c>
      <c r="AM17" s="2">
        <f t="shared" si="37"/>
        <v>0</v>
      </c>
      <c r="AN17" s="2">
        <f t="shared" si="38"/>
        <v>0</v>
      </c>
      <c r="AO17" s="2">
        <f t="shared" si="39"/>
        <v>0</v>
      </c>
      <c r="AP17" s="2">
        <f t="shared" si="40"/>
        <v>0</v>
      </c>
      <c r="AQ17" s="2" t="s">
        <v>15</v>
      </c>
      <c r="AR17" s="2" t="s">
        <v>15</v>
      </c>
      <c r="AS17" s="2" t="s">
        <v>15</v>
      </c>
      <c r="AT17" s="2" t="s">
        <v>15</v>
      </c>
      <c r="AU17" s="2" t="s">
        <v>15</v>
      </c>
      <c r="AV17" s="2" t="s">
        <v>15</v>
      </c>
      <c r="AW17" s="2" t="s">
        <v>15</v>
      </c>
      <c r="AX17" s="2">
        <f t="shared" si="41"/>
        <v>0</v>
      </c>
      <c r="AY17" s="2">
        <f t="shared" si="42"/>
        <v>0</v>
      </c>
      <c r="AZ17" s="2">
        <f t="shared" si="43"/>
        <v>0</v>
      </c>
      <c r="BA17" s="2">
        <f t="shared" si="44"/>
        <v>0</v>
      </c>
      <c r="BB17" s="2">
        <f t="shared" si="45"/>
        <v>0</v>
      </c>
      <c r="BC17" s="2" t="s">
        <v>15</v>
      </c>
      <c r="BD17" s="2" t="s">
        <v>15</v>
      </c>
      <c r="BE17" s="2" t="s">
        <v>15</v>
      </c>
      <c r="BF17" s="2">
        <f t="shared" si="46"/>
        <v>0</v>
      </c>
      <c r="BG17" s="2">
        <f t="shared" si="47"/>
        <v>0</v>
      </c>
      <c r="BH17" s="2">
        <f t="shared" si="48"/>
        <v>0</v>
      </c>
      <c r="BI17" s="2">
        <f t="shared" si="49"/>
        <v>0</v>
      </c>
      <c r="BJ17" s="2">
        <f t="shared" si="50"/>
        <v>0</v>
      </c>
      <c r="BK17" s="2">
        <f t="shared" si="51"/>
        <v>4</v>
      </c>
      <c r="BL17" s="2">
        <f t="shared" si="51"/>
        <v>0</v>
      </c>
      <c r="BM17" s="2">
        <f t="shared" si="51"/>
        <v>0</v>
      </c>
      <c r="BN17" s="2">
        <f t="shared" si="52"/>
        <v>0</v>
      </c>
      <c r="BO17" s="2">
        <f t="shared" si="52"/>
        <v>0</v>
      </c>
      <c r="BP17" s="2">
        <f t="shared" si="53"/>
        <v>4</v>
      </c>
    </row>
    <row r="18" spans="1:68">
      <c r="A18" s="22">
        <f t="shared" si="54"/>
        <v>15</v>
      </c>
      <c r="B18" s="16" t="s">
        <v>74</v>
      </c>
      <c r="C18" s="18" t="s">
        <v>75</v>
      </c>
      <c r="D18" s="15" t="s">
        <v>12</v>
      </c>
      <c r="E18" s="4" t="s">
        <v>13</v>
      </c>
      <c r="F18" s="5" t="s">
        <v>14</v>
      </c>
      <c r="G18" s="2" t="s">
        <v>15</v>
      </c>
      <c r="H18" s="2" t="s">
        <v>7</v>
      </c>
      <c r="I18" s="2" t="s">
        <v>15</v>
      </c>
      <c r="J18" s="2" t="s">
        <v>15</v>
      </c>
      <c r="K18" s="2" t="s">
        <v>15</v>
      </c>
      <c r="L18" s="2" t="s">
        <v>15</v>
      </c>
      <c r="M18" s="2" t="s">
        <v>15</v>
      </c>
      <c r="N18" s="2">
        <f t="shared" si="26"/>
        <v>1</v>
      </c>
      <c r="O18" s="2">
        <f t="shared" si="27"/>
        <v>0</v>
      </c>
      <c r="P18" s="2">
        <f t="shared" si="28"/>
        <v>0</v>
      </c>
      <c r="Q18" s="2">
        <f t="shared" si="29"/>
        <v>0</v>
      </c>
      <c r="R18" s="2">
        <f t="shared" si="30"/>
        <v>0</v>
      </c>
      <c r="S18" s="2" t="s">
        <v>15</v>
      </c>
      <c r="T18" s="2" t="s">
        <v>15</v>
      </c>
      <c r="U18" s="2" t="s">
        <v>15</v>
      </c>
      <c r="V18" s="2" t="s">
        <v>15</v>
      </c>
      <c r="W18" s="2" t="s">
        <v>15</v>
      </c>
      <c r="X18" s="2" t="s">
        <v>15</v>
      </c>
      <c r="Y18" s="2" t="s">
        <v>15</v>
      </c>
      <c r="Z18" s="2">
        <f t="shared" si="31"/>
        <v>0</v>
      </c>
      <c r="AA18" s="2">
        <f t="shared" si="32"/>
        <v>0</v>
      </c>
      <c r="AB18" s="2">
        <f t="shared" si="33"/>
        <v>0</v>
      </c>
      <c r="AC18" s="2">
        <f t="shared" si="34"/>
        <v>0</v>
      </c>
      <c r="AD18" s="2">
        <f t="shared" si="35"/>
        <v>0</v>
      </c>
      <c r="AE18" s="2" t="s">
        <v>15</v>
      </c>
      <c r="AF18" s="2" t="s">
        <v>15</v>
      </c>
      <c r="AG18" s="2" t="s">
        <v>7</v>
      </c>
      <c r="AH18" s="2" t="s">
        <v>7</v>
      </c>
      <c r="AI18" s="2" t="s">
        <v>15</v>
      </c>
      <c r="AJ18" s="2" t="s">
        <v>15</v>
      </c>
      <c r="AK18" s="2" t="s">
        <v>15</v>
      </c>
      <c r="AL18" s="2">
        <f t="shared" si="36"/>
        <v>2</v>
      </c>
      <c r="AM18" s="2">
        <f t="shared" si="37"/>
        <v>0</v>
      </c>
      <c r="AN18" s="2">
        <f t="shared" si="38"/>
        <v>0</v>
      </c>
      <c r="AO18" s="2">
        <f t="shared" si="39"/>
        <v>0</v>
      </c>
      <c r="AP18" s="2">
        <f t="shared" si="40"/>
        <v>0</v>
      </c>
      <c r="AQ18" s="2" t="s">
        <v>15</v>
      </c>
      <c r="AR18" s="2" t="s">
        <v>15</v>
      </c>
      <c r="AS18" s="2" t="s">
        <v>15</v>
      </c>
      <c r="AT18" s="2" t="s">
        <v>15</v>
      </c>
      <c r="AU18" s="2" t="s">
        <v>15</v>
      </c>
      <c r="AV18" s="2" t="s">
        <v>7</v>
      </c>
      <c r="AW18" s="2" t="s">
        <v>248</v>
      </c>
      <c r="AX18" s="2">
        <f t="shared" si="41"/>
        <v>1</v>
      </c>
      <c r="AY18" s="2">
        <f t="shared" si="42"/>
        <v>0</v>
      </c>
      <c r="AZ18" s="2">
        <f t="shared" si="43"/>
        <v>1</v>
      </c>
      <c r="BA18" s="2">
        <f t="shared" si="44"/>
        <v>0</v>
      </c>
      <c r="BB18" s="2">
        <f t="shared" si="45"/>
        <v>0</v>
      </c>
      <c r="BC18" s="2" t="s">
        <v>15</v>
      </c>
      <c r="BD18" s="2" t="s">
        <v>15</v>
      </c>
      <c r="BE18" s="2" t="s">
        <v>15</v>
      </c>
      <c r="BF18" s="2">
        <f t="shared" si="46"/>
        <v>0</v>
      </c>
      <c r="BG18" s="2">
        <f t="shared" si="47"/>
        <v>0</v>
      </c>
      <c r="BH18" s="2">
        <f t="shared" si="48"/>
        <v>0</v>
      </c>
      <c r="BI18" s="2">
        <f t="shared" si="49"/>
        <v>0</v>
      </c>
      <c r="BJ18" s="2">
        <f t="shared" si="50"/>
        <v>0</v>
      </c>
      <c r="BK18" s="2">
        <f t="shared" si="51"/>
        <v>4</v>
      </c>
      <c r="BL18" s="2">
        <f t="shared" si="51"/>
        <v>0</v>
      </c>
      <c r="BM18" s="2">
        <f t="shared" si="51"/>
        <v>1</v>
      </c>
      <c r="BN18" s="2">
        <f t="shared" si="52"/>
        <v>0</v>
      </c>
      <c r="BO18" s="2">
        <f t="shared" si="52"/>
        <v>0</v>
      </c>
      <c r="BP18" s="2">
        <f t="shared" si="53"/>
        <v>5</v>
      </c>
    </row>
    <row r="19" spans="1:68">
      <c r="A19" s="22">
        <f t="shared" si="54"/>
        <v>16</v>
      </c>
      <c r="B19" s="16" t="s">
        <v>85</v>
      </c>
      <c r="C19" s="18" t="s">
        <v>86</v>
      </c>
      <c r="D19" s="15" t="s">
        <v>12</v>
      </c>
      <c r="E19" s="4" t="s">
        <v>29</v>
      </c>
      <c r="F19" s="5" t="s">
        <v>14</v>
      </c>
      <c r="G19" s="2" t="s">
        <v>15</v>
      </c>
      <c r="H19" s="2" t="s">
        <v>15</v>
      </c>
      <c r="I19" s="2" t="s">
        <v>15</v>
      </c>
      <c r="J19" s="2" t="s">
        <v>15</v>
      </c>
      <c r="K19" s="2" t="s">
        <v>15</v>
      </c>
      <c r="L19" s="2" t="s">
        <v>15</v>
      </c>
      <c r="M19" s="2" t="s">
        <v>15</v>
      </c>
      <c r="N19" s="2">
        <f t="shared" si="26"/>
        <v>0</v>
      </c>
      <c r="O19" s="2">
        <f t="shared" si="27"/>
        <v>0</v>
      </c>
      <c r="P19" s="2">
        <f t="shared" si="28"/>
        <v>0</v>
      </c>
      <c r="Q19" s="2">
        <f t="shared" si="29"/>
        <v>0</v>
      </c>
      <c r="R19" s="2">
        <f t="shared" si="30"/>
        <v>0</v>
      </c>
      <c r="S19" s="2" t="s">
        <v>15</v>
      </c>
      <c r="T19" s="2" t="s">
        <v>15</v>
      </c>
      <c r="U19" s="2" t="s">
        <v>15</v>
      </c>
      <c r="V19" s="2" t="s">
        <v>15</v>
      </c>
      <c r="W19" s="2" t="s">
        <v>15</v>
      </c>
      <c r="X19" s="2" t="s">
        <v>15</v>
      </c>
      <c r="Y19" s="2" t="s">
        <v>15</v>
      </c>
      <c r="Z19" s="2">
        <f t="shared" si="31"/>
        <v>0</v>
      </c>
      <c r="AA19" s="2">
        <f t="shared" si="32"/>
        <v>0</v>
      </c>
      <c r="AB19" s="2">
        <f t="shared" si="33"/>
        <v>0</v>
      </c>
      <c r="AC19" s="2">
        <f t="shared" si="34"/>
        <v>0</v>
      </c>
      <c r="AD19" s="2">
        <f t="shared" si="35"/>
        <v>0</v>
      </c>
      <c r="AE19" s="2" t="s">
        <v>7</v>
      </c>
      <c r="AF19" s="2" t="s">
        <v>7</v>
      </c>
      <c r="AG19" s="2" t="s">
        <v>15</v>
      </c>
      <c r="AH19" s="2" t="s">
        <v>7</v>
      </c>
      <c r="AI19" s="2" t="s">
        <v>15</v>
      </c>
      <c r="AJ19" s="2" t="s">
        <v>15</v>
      </c>
      <c r="AK19" s="2" t="s">
        <v>15</v>
      </c>
      <c r="AL19" s="2">
        <f t="shared" si="36"/>
        <v>3</v>
      </c>
      <c r="AM19" s="2">
        <f t="shared" si="37"/>
        <v>0</v>
      </c>
      <c r="AN19" s="2">
        <f t="shared" si="38"/>
        <v>0</v>
      </c>
      <c r="AO19" s="2">
        <f t="shared" si="39"/>
        <v>0</v>
      </c>
      <c r="AP19" s="2">
        <f t="shared" si="40"/>
        <v>0</v>
      </c>
      <c r="AQ19" s="2" t="s">
        <v>15</v>
      </c>
      <c r="AR19" s="2" t="s">
        <v>15</v>
      </c>
      <c r="AS19" s="2" t="s">
        <v>15</v>
      </c>
      <c r="AT19" s="2" t="s">
        <v>15</v>
      </c>
      <c r="AU19" s="2" t="s">
        <v>15</v>
      </c>
      <c r="AV19" s="2" t="s">
        <v>15</v>
      </c>
      <c r="AW19" s="2" t="s">
        <v>15</v>
      </c>
      <c r="AX19" s="2">
        <f t="shared" si="41"/>
        <v>0</v>
      </c>
      <c r="AY19" s="2">
        <f t="shared" si="42"/>
        <v>0</v>
      </c>
      <c r="AZ19" s="2">
        <f t="shared" si="43"/>
        <v>0</v>
      </c>
      <c r="BA19" s="2">
        <f t="shared" si="44"/>
        <v>0</v>
      </c>
      <c r="BB19" s="2">
        <f t="shared" si="45"/>
        <v>0</v>
      </c>
      <c r="BC19" s="2" t="s">
        <v>15</v>
      </c>
      <c r="BD19" s="2" t="s">
        <v>7</v>
      </c>
      <c r="BE19" s="2" t="s">
        <v>15</v>
      </c>
      <c r="BF19" s="2">
        <f t="shared" si="46"/>
        <v>1</v>
      </c>
      <c r="BG19" s="2">
        <f t="shared" si="47"/>
        <v>0</v>
      </c>
      <c r="BH19" s="2">
        <f t="shared" si="48"/>
        <v>0</v>
      </c>
      <c r="BI19" s="2">
        <f t="shared" si="49"/>
        <v>0</v>
      </c>
      <c r="BJ19" s="2">
        <f t="shared" si="50"/>
        <v>0</v>
      </c>
      <c r="BK19" s="2">
        <f t="shared" si="51"/>
        <v>4</v>
      </c>
      <c r="BL19" s="2">
        <f t="shared" si="51"/>
        <v>0</v>
      </c>
      <c r="BM19" s="2">
        <f t="shared" si="51"/>
        <v>0</v>
      </c>
      <c r="BN19" s="2">
        <f t="shared" si="52"/>
        <v>0</v>
      </c>
      <c r="BO19" s="2">
        <f t="shared" si="52"/>
        <v>0</v>
      </c>
      <c r="BP19" s="2">
        <f t="shared" si="53"/>
        <v>4</v>
      </c>
    </row>
    <row r="20" spans="1:68">
      <c r="A20" s="22">
        <f t="shared" si="54"/>
        <v>17</v>
      </c>
      <c r="B20" s="16" t="s">
        <v>114</v>
      </c>
      <c r="C20" s="18" t="s">
        <v>115</v>
      </c>
      <c r="D20" s="15" t="s">
        <v>12</v>
      </c>
      <c r="E20" s="4" t="s">
        <v>13</v>
      </c>
      <c r="F20" s="5" t="s">
        <v>14</v>
      </c>
      <c r="G20" s="2" t="s">
        <v>15</v>
      </c>
      <c r="H20" s="2" t="s">
        <v>15</v>
      </c>
      <c r="I20" s="2" t="s">
        <v>15</v>
      </c>
      <c r="J20" s="2" t="s">
        <v>15</v>
      </c>
      <c r="K20" s="2" t="s">
        <v>15</v>
      </c>
      <c r="L20" s="2" t="s">
        <v>15</v>
      </c>
      <c r="M20" s="2" t="s">
        <v>15</v>
      </c>
      <c r="N20" s="2">
        <f t="shared" si="26"/>
        <v>0</v>
      </c>
      <c r="O20" s="2">
        <f t="shared" si="27"/>
        <v>0</v>
      </c>
      <c r="P20" s="2">
        <f t="shared" si="28"/>
        <v>0</v>
      </c>
      <c r="Q20" s="2">
        <f t="shared" si="29"/>
        <v>0</v>
      </c>
      <c r="R20" s="2">
        <f t="shared" si="30"/>
        <v>0</v>
      </c>
      <c r="S20" s="2" t="s">
        <v>15</v>
      </c>
      <c r="T20" s="2" t="s">
        <v>7</v>
      </c>
      <c r="U20" s="2" t="s">
        <v>15</v>
      </c>
      <c r="V20" s="2" t="s">
        <v>15</v>
      </c>
      <c r="W20" s="2" t="s">
        <v>15</v>
      </c>
      <c r="X20" s="2" t="s">
        <v>15</v>
      </c>
      <c r="Y20" s="2" t="s">
        <v>15</v>
      </c>
      <c r="Z20" s="2">
        <f t="shared" si="31"/>
        <v>1</v>
      </c>
      <c r="AA20" s="2">
        <f t="shared" si="32"/>
        <v>0</v>
      </c>
      <c r="AB20" s="2">
        <f t="shared" si="33"/>
        <v>0</v>
      </c>
      <c r="AC20" s="2">
        <f t="shared" si="34"/>
        <v>0</v>
      </c>
      <c r="AD20" s="2">
        <f t="shared" si="35"/>
        <v>0</v>
      </c>
      <c r="AE20" s="2" t="s">
        <v>15</v>
      </c>
      <c r="AF20" s="2" t="s">
        <v>15</v>
      </c>
      <c r="AG20" s="2" t="s">
        <v>7</v>
      </c>
      <c r="AH20" s="2" t="s">
        <v>15</v>
      </c>
      <c r="AI20" s="2" t="s">
        <v>15</v>
      </c>
      <c r="AJ20" s="2" t="s">
        <v>7</v>
      </c>
      <c r="AK20" s="2" t="s">
        <v>7</v>
      </c>
      <c r="AL20" s="2">
        <f t="shared" si="36"/>
        <v>3</v>
      </c>
      <c r="AM20" s="2">
        <f t="shared" si="37"/>
        <v>0</v>
      </c>
      <c r="AN20" s="2">
        <f t="shared" si="38"/>
        <v>0</v>
      </c>
      <c r="AO20" s="2">
        <f t="shared" si="39"/>
        <v>0</v>
      </c>
      <c r="AP20" s="2">
        <f t="shared" si="40"/>
        <v>0</v>
      </c>
      <c r="AQ20" s="2" t="s">
        <v>248</v>
      </c>
      <c r="AR20" s="2" t="s">
        <v>15</v>
      </c>
      <c r="AS20" s="2" t="s">
        <v>15</v>
      </c>
      <c r="AT20" s="2" t="s">
        <v>15</v>
      </c>
      <c r="AU20" s="2" t="s">
        <v>15</v>
      </c>
      <c r="AV20" s="2" t="s">
        <v>15</v>
      </c>
      <c r="AW20" s="2" t="s">
        <v>15</v>
      </c>
      <c r="AX20" s="2">
        <f t="shared" si="41"/>
        <v>0</v>
      </c>
      <c r="AY20" s="2">
        <f t="shared" si="42"/>
        <v>0</v>
      </c>
      <c r="AZ20" s="2">
        <f t="shared" si="43"/>
        <v>1</v>
      </c>
      <c r="BA20" s="2">
        <f t="shared" si="44"/>
        <v>0</v>
      </c>
      <c r="BB20" s="2">
        <f t="shared" si="45"/>
        <v>0</v>
      </c>
      <c r="BC20" s="2" t="s">
        <v>15</v>
      </c>
      <c r="BD20" s="2" t="s">
        <v>15</v>
      </c>
      <c r="BE20" s="2" t="s">
        <v>15</v>
      </c>
      <c r="BF20" s="2">
        <f t="shared" si="46"/>
        <v>0</v>
      </c>
      <c r="BG20" s="2">
        <f t="shared" si="47"/>
        <v>0</v>
      </c>
      <c r="BH20" s="2">
        <f t="shared" si="48"/>
        <v>0</v>
      </c>
      <c r="BI20" s="2">
        <f t="shared" si="49"/>
        <v>0</v>
      </c>
      <c r="BJ20" s="2">
        <f t="shared" si="50"/>
        <v>0</v>
      </c>
      <c r="BK20" s="2">
        <f t="shared" si="51"/>
        <v>4</v>
      </c>
      <c r="BL20" s="2">
        <f t="shared" si="51"/>
        <v>0</v>
      </c>
      <c r="BM20" s="2">
        <f t="shared" si="51"/>
        <v>1</v>
      </c>
      <c r="BN20" s="2">
        <f t="shared" si="52"/>
        <v>0</v>
      </c>
      <c r="BO20" s="2">
        <f t="shared" si="52"/>
        <v>0</v>
      </c>
      <c r="BP20" s="2">
        <f t="shared" si="53"/>
        <v>5</v>
      </c>
    </row>
    <row r="21" spans="1:68">
      <c r="A21" s="22">
        <f t="shared" si="54"/>
        <v>18</v>
      </c>
      <c r="B21" s="16" t="s">
        <v>124</v>
      </c>
      <c r="C21" s="18" t="s">
        <v>125</v>
      </c>
      <c r="D21" s="15" t="s">
        <v>12</v>
      </c>
      <c r="E21" s="4" t="s">
        <v>13</v>
      </c>
      <c r="F21" s="5" t="s">
        <v>126</v>
      </c>
      <c r="G21" s="2" t="s">
        <v>22</v>
      </c>
      <c r="H21" s="2" t="s">
        <v>22</v>
      </c>
      <c r="I21" s="2" t="s">
        <v>22</v>
      </c>
      <c r="J21" s="2" t="s">
        <v>22</v>
      </c>
      <c r="K21" s="2" t="s">
        <v>22</v>
      </c>
      <c r="L21" s="2" t="s">
        <v>7</v>
      </c>
      <c r="M21" s="2" t="s">
        <v>22</v>
      </c>
      <c r="N21" s="2">
        <f t="shared" si="26"/>
        <v>1</v>
      </c>
      <c r="O21" s="2">
        <f t="shared" si="27"/>
        <v>0</v>
      </c>
      <c r="P21" s="2">
        <f t="shared" si="28"/>
        <v>0</v>
      </c>
      <c r="Q21" s="2">
        <f t="shared" si="29"/>
        <v>0</v>
      </c>
      <c r="R21" s="2">
        <f t="shared" si="30"/>
        <v>0</v>
      </c>
      <c r="S21" s="2" t="s">
        <v>22</v>
      </c>
      <c r="T21" s="2" t="s">
        <v>22</v>
      </c>
      <c r="U21" s="2" t="s">
        <v>22</v>
      </c>
      <c r="V21" s="2" t="s">
        <v>22</v>
      </c>
      <c r="W21" s="2" t="s">
        <v>22</v>
      </c>
      <c r="X21" s="2" t="s">
        <v>7</v>
      </c>
      <c r="Y21" s="2" t="s">
        <v>22</v>
      </c>
      <c r="Z21" s="2">
        <f t="shared" si="31"/>
        <v>1</v>
      </c>
      <c r="AA21" s="2">
        <f t="shared" si="32"/>
        <v>0</v>
      </c>
      <c r="AB21" s="2">
        <f t="shared" si="33"/>
        <v>0</v>
      </c>
      <c r="AC21" s="2">
        <f t="shared" si="34"/>
        <v>0</v>
      </c>
      <c r="AD21" s="2">
        <f t="shared" si="35"/>
        <v>0</v>
      </c>
      <c r="AE21" s="2" t="s">
        <v>22</v>
      </c>
      <c r="AF21" s="2" t="s">
        <v>22</v>
      </c>
      <c r="AG21" s="2" t="s">
        <v>22</v>
      </c>
      <c r="AH21" s="2" t="s">
        <v>22</v>
      </c>
      <c r="AI21" s="2" t="s">
        <v>22</v>
      </c>
      <c r="AJ21" s="2" t="s">
        <v>7</v>
      </c>
      <c r="AK21" s="2" t="s">
        <v>22</v>
      </c>
      <c r="AL21" s="2">
        <f t="shared" si="36"/>
        <v>1</v>
      </c>
      <c r="AM21" s="2">
        <f t="shared" si="37"/>
        <v>0</v>
      </c>
      <c r="AN21" s="2">
        <f t="shared" si="38"/>
        <v>0</v>
      </c>
      <c r="AO21" s="2">
        <f t="shared" si="39"/>
        <v>0</v>
      </c>
      <c r="AP21" s="2">
        <f t="shared" si="40"/>
        <v>0</v>
      </c>
      <c r="AQ21" s="2" t="s">
        <v>22</v>
      </c>
      <c r="AR21" s="2" t="s">
        <v>22</v>
      </c>
      <c r="AS21" s="2" t="s">
        <v>22</v>
      </c>
      <c r="AT21" s="2" t="s">
        <v>7</v>
      </c>
      <c r="AU21" s="2" t="s">
        <v>22</v>
      </c>
      <c r="AV21" s="2" t="s">
        <v>7</v>
      </c>
      <c r="AW21" s="2" t="s">
        <v>22</v>
      </c>
      <c r="AX21" s="2">
        <f t="shared" si="41"/>
        <v>2</v>
      </c>
      <c r="AY21" s="2">
        <f t="shared" si="42"/>
        <v>0</v>
      </c>
      <c r="AZ21" s="2">
        <f t="shared" si="43"/>
        <v>0</v>
      </c>
      <c r="BA21" s="2">
        <f t="shared" si="44"/>
        <v>0</v>
      </c>
      <c r="BB21" s="2">
        <f t="shared" si="45"/>
        <v>0</v>
      </c>
      <c r="BC21" s="2" t="s">
        <v>22</v>
      </c>
      <c r="BD21" s="2" t="s">
        <v>22</v>
      </c>
      <c r="BE21" s="2" t="s">
        <v>22</v>
      </c>
      <c r="BF21" s="2">
        <f t="shared" si="46"/>
        <v>0</v>
      </c>
      <c r="BG21" s="2">
        <f t="shared" si="47"/>
        <v>0</v>
      </c>
      <c r="BH21" s="2">
        <f t="shared" si="48"/>
        <v>0</v>
      </c>
      <c r="BI21" s="2">
        <f t="shared" si="49"/>
        <v>0</v>
      </c>
      <c r="BJ21" s="2">
        <f t="shared" si="50"/>
        <v>0</v>
      </c>
      <c r="BK21" s="2">
        <f t="shared" si="51"/>
        <v>5</v>
      </c>
      <c r="BL21" s="2">
        <f t="shared" si="51"/>
        <v>0</v>
      </c>
      <c r="BM21" s="2">
        <f t="shared" si="51"/>
        <v>0</v>
      </c>
      <c r="BN21" s="2">
        <f t="shared" si="52"/>
        <v>0</v>
      </c>
      <c r="BO21" s="2">
        <f t="shared" si="52"/>
        <v>0</v>
      </c>
      <c r="BP21" s="2">
        <f t="shared" si="53"/>
        <v>5</v>
      </c>
    </row>
    <row r="22" spans="1:68">
      <c r="A22" s="22">
        <f t="shared" si="54"/>
        <v>19</v>
      </c>
      <c r="B22" s="16" t="s">
        <v>102</v>
      </c>
      <c r="C22" s="18" t="s">
        <v>103</v>
      </c>
      <c r="D22" s="15" t="s">
        <v>12</v>
      </c>
      <c r="E22" s="4" t="s">
        <v>13</v>
      </c>
      <c r="F22" s="5" t="s">
        <v>14</v>
      </c>
      <c r="G22" s="2" t="s">
        <v>15</v>
      </c>
      <c r="H22" s="2" t="s">
        <v>15</v>
      </c>
      <c r="I22" s="2" t="s">
        <v>15</v>
      </c>
      <c r="J22" s="2" t="s">
        <v>7</v>
      </c>
      <c r="K22" s="2" t="s">
        <v>7</v>
      </c>
      <c r="L22" s="2" t="s">
        <v>7</v>
      </c>
      <c r="M22" s="2" t="s">
        <v>15</v>
      </c>
      <c r="N22" s="2">
        <f t="shared" si="26"/>
        <v>3</v>
      </c>
      <c r="O22" s="2">
        <f t="shared" si="27"/>
        <v>0</v>
      </c>
      <c r="P22" s="2">
        <f t="shared" si="28"/>
        <v>0</v>
      </c>
      <c r="Q22" s="2">
        <f t="shared" si="29"/>
        <v>0</v>
      </c>
      <c r="R22" s="2">
        <f t="shared" si="30"/>
        <v>0</v>
      </c>
      <c r="S22" s="2" t="s">
        <v>15</v>
      </c>
      <c r="T22" s="2" t="s">
        <v>15</v>
      </c>
      <c r="U22" s="2" t="s">
        <v>15</v>
      </c>
      <c r="V22" s="2" t="s">
        <v>15</v>
      </c>
      <c r="W22" s="2" t="s">
        <v>15</v>
      </c>
      <c r="X22" s="2" t="s">
        <v>15</v>
      </c>
      <c r="Y22" s="2" t="s">
        <v>15</v>
      </c>
      <c r="Z22" s="2">
        <f t="shared" si="31"/>
        <v>0</v>
      </c>
      <c r="AA22" s="2">
        <f t="shared" si="32"/>
        <v>0</v>
      </c>
      <c r="AB22" s="2">
        <f t="shared" si="33"/>
        <v>0</v>
      </c>
      <c r="AC22" s="2">
        <f t="shared" si="34"/>
        <v>0</v>
      </c>
      <c r="AD22" s="2">
        <f t="shared" si="35"/>
        <v>0</v>
      </c>
      <c r="AE22" s="2" t="s">
        <v>15</v>
      </c>
      <c r="AF22" s="2" t="s">
        <v>15</v>
      </c>
      <c r="AG22" s="2" t="s">
        <v>15</v>
      </c>
      <c r="AH22" s="2" t="s">
        <v>7</v>
      </c>
      <c r="AI22" s="2" t="s">
        <v>15</v>
      </c>
      <c r="AJ22" s="2" t="s">
        <v>15</v>
      </c>
      <c r="AK22" s="2" t="s">
        <v>15</v>
      </c>
      <c r="AL22" s="2">
        <f t="shared" si="36"/>
        <v>1</v>
      </c>
      <c r="AM22" s="2">
        <f t="shared" si="37"/>
        <v>0</v>
      </c>
      <c r="AN22" s="2">
        <f t="shared" si="38"/>
        <v>0</v>
      </c>
      <c r="AO22" s="2">
        <f t="shared" si="39"/>
        <v>0</v>
      </c>
      <c r="AP22" s="2">
        <f t="shared" si="40"/>
        <v>0</v>
      </c>
      <c r="AQ22" s="2" t="s">
        <v>15</v>
      </c>
      <c r="AR22" s="2" t="s">
        <v>15</v>
      </c>
      <c r="AS22" s="2" t="s">
        <v>15</v>
      </c>
      <c r="AT22" s="2" t="s">
        <v>15</v>
      </c>
      <c r="AU22" s="2" t="s">
        <v>15</v>
      </c>
      <c r="AV22" s="2" t="s">
        <v>15</v>
      </c>
      <c r="AW22" s="2" t="s">
        <v>15</v>
      </c>
      <c r="AX22" s="2">
        <f t="shared" si="41"/>
        <v>0</v>
      </c>
      <c r="AY22" s="2">
        <f t="shared" si="42"/>
        <v>0</v>
      </c>
      <c r="AZ22" s="2">
        <f t="shared" si="43"/>
        <v>0</v>
      </c>
      <c r="BA22" s="2">
        <f t="shared" si="44"/>
        <v>0</v>
      </c>
      <c r="BB22" s="2">
        <f t="shared" si="45"/>
        <v>0</v>
      </c>
      <c r="BC22" s="2" t="s">
        <v>15</v>
      </c>
      <c r="BD22" s="2" t="s">
        <v>15</v>
      </c>
      <c r="BE22" s="2" t="s">
        <v>15</v>
      </c>
      <c r="BF22" s="2">
        <f t="shared" si="46"/>
        <v>0</v>
      </c>
      <c r="BG22" s="2">
        <f t="shared" si="47"/>
        <v>0</v>
      </c>
      <c r="BH22" s="2">
        <f t="shared" si="48"/>
        <v>0</v>
      </c>
      <c r="BI22" s="2">
        <f t="shared" si="49"/>
        <v>0</v>
      </c>
      <c r="BJ22" s="2">
        <f t="shared" si="50"/>
        <v>0</v>
      </c>
      <c r="BK22" s="2">
        <f t="shared" si="51"/>
        <v>4</v>
      </c>
      <c r="BL22" s="2">
        <f t="shared" si="51"/>
        <v>0</v>
      </c>
      <c r="BM22" s="2">
        <f t="shared" si="51"/>
        <v>0</v>
      </c>
      <c r="BN22" s="2">
        <f t="shared" si="52"/>
        <v>0</v>
      </c>
      <c r="BO22" s="2">
        <f t="shared" si="52"/>
        <v>0</v>
      </c>
      <c r="BP22" s="2">
        <f t="shared" si="53"/>
        <v>4</v>
      </c>
    </row>
    <row r="23" spans="1:68">
      <c r="A23" s="22">
        <f t="shared" si="54"/>
        <v>20</v>
      </c>
      <c r="B23" s="16" t="s">
        <v>37</v>
      </c>
      <c r="C23" s="18" t="s">
        <v>38</v>
      </c>
      <c r="D23" s="15" t="s">
        <v>12</v>
      </c>
      <c r="E23" s="4" t="s">
        <v>13</v>
      </c>
      <c r="F23" s="5" t="s">
        <v>18</v>
      </c>
      <c r="G23" s="2" t="s">
        <v>15</v>
      </c>
      <c r="H23" s="2" t="s">
        <v>15</v>
      </c>
      <c r="I23" s="2" t="s">
        <v>15</v>
      </c>
      <c r="J23" s="2" t="s">
        <v>15</v>
      </c>
      <c r="K23" s="2" t="s">
        <v>7</v>
      </c>
      <c r="L23" s="2" t="s">
        <v>7</v>
      </c>
      <c r="M23" s="2" t="s">
        <v>7</v>
      </c>
      <c r="N23" s="2">
        <f t="shared" si="26"/>
        <v>3</v>
      </c>
      <c r="O23" s="2">
        <f t="shared" si="27"/>
        <v>0</v>
      </c>
      <c r="P23" s="2">
        <f t="shared" si="28"/>
        <v>0</v>
      </c>
      <c r="Q23" s="2">
        <f t="shared" si="29"/>
        <v>0</v>
      </c>
      <c r="R23" s="2">
        <f t="shared" si="30"/>
        <v>0</v>
      </c>
      <c r="S23" s="2" t="s">
        <v>7</v>
      </c>
      <c r="T23" s="2" t="s">
        <v>248</v>
      </c>
      <c r="U23" s="2" t="s">
        <v>6</v>
      </c>
      <c r="V23" s="2" t="s">
        <v>6</v>
      </c>
      <c r="W23" s="2" t="s">
        <v>6</v>
      </c>
      <c r="X23" s="2" t="s">
        <v>6</v>
      </c>
      <c r="Y23" s="2" t="s">
        <v>15</v>
      </c>
      <c r="Z23" s="2">
        <f t="shared" si="31"/>
        <v>1</v>
      </c>
      <c r="AA23" s="2">
        <f t="shared" si="32"/>
        <v>0</v>
      </c>
      <c r="AB23" s="2">
        <f t="shared" si="33"/>
        <v>1</v>
      </c>
      <c r="AC23" s="2">
        <f t="shared" si="34"/>
        <v>0</v>
      </c>
      <c r="AD23" s="2">
        <f t="shared" si="35"/>
        <v>4</v>
      </c>
      <c r="AE23" s="2" t="s">
        <v>15</v>
      </c>
      <c r="AF23" s="2" t="s">
        <v>15</v>
      </c>
      <c r="AG23" s="2" t="s">
        <v>15</v>
      </c>
      <c r="AH23" s="2" t="s">
        <v>15</v>
      </c>
      <c r="AI23" s="2" t="s">
        <v>15</v>
      </c>
      <c r="AJ23" s="2" t="s">
        <v>15</v>
      </c>
      <c r="AK23" s="2" t="s">
        <v>15</v>
      </c>
      <c r="AL23" s="2">
        <f t="shared" si="36"/>
        <v>0</v>
      </c>
      <c r="AM23" s="2">
        <f t="shared" si="37"/>
        <v>0</v>
      </c>
      <c r="AN23" s="2">
        <f t="shared" si="38"/>
        <v>0</v>
      </c>
      <c r="AO23" s="2">
        <f t="shared" si="39"/>
        <v>0</v>
      </c>
      <c r="AP23" s="2">
        <f t="shared" si="40"/>
        <v>0</v>
      </c>
      <c r="AQ23" s="2" t="s">
        <v>15</v>
      </c>
      <c r="AR23" s="2" t="s">
        <v>15</v>
      </c>
      <c r="AS23" s="2" t="s">
        <v>15</v>
      </c>
      <c r="AT23" s="2" t="s">
        <v>15</v>
      </c>
      <c r="AU23" s="2" t="s">
        <v>15</v>
      </c>
      <c r="AV23" s="2" t="s">
        <v>15</v>
      </c>
      <c r="AW23" s="2" t="s">
        <v>15</v>
      </c>
      <c r="AX23" s="2">
        <f t="shared" si="41"/>
        <v>0</v>
      </c>
      <c r="AY23" s="2">
        <f t="shared" si="42"/>
        <v>0</v>
      </c>
      <c r="AZ23" s="2">
        <f t="shared" si="43"/>
        <v>0</v>
      </c>
      <c r="BA23" s="2">
        <f t="shared" si="44"/>
        <v>0</v>
      </c>
      <c r="BB23" s="2">
        <f t="shared" si="45"/>
        <v>0</v>
      </c>
      <c r="BC23" s="2" t="s">
        <v>15</v>
      </c>
      <c r="BD23" s="2" t="s">
        <v>15</v>
      </c>
      <c r="BE23" s="2" t="s">
        <v>15</v>
      </c>
      <c r="BF23" s="2">
        <f t="shared" si="46"/>
        <v>0</v>
      </c>
      <c r="BG23" s="2">
        <f t="shared" si="47"/>
        <v>0</v>
      </c>
      <c r="BH23" s="2">
        <f t="shared" si="48"/>
        <v>0</v>
      </c>
      <c r="BI23" s="2">
        <f t="shared" si="49"/>
        <v>0</v>
      </c>
      <c r="BJ23" s="2">
        <f t="shared" si="50"/>
        <v>0</v>
      </c>
      <c r="BK23" s="2">
        <f t="shared" si="51"/>
        <v>4</v>
      </c>
      <c r="BL23" s="2">
        <f t="shared" si="51"/>
        <v>0</v>
      </c>
      <c r="BM23" s="2">
        <f t="shared" si="51"/>
        <v>1</v>
      </c>
      <c r="BN23" s="2">
        <f t="shared" si="52"/>
        <v>0</v>
      </c>
      <c r="BO23" s="2">
        <f t="shared" si="52"/>
        <v>4</v>
      </c>
      <c r="BP23" s="2">
        <f t="shared" si="53"/>
        <v>9</v>
      </c>
    </row>
    <row r="24" spans="1:68">
      <c r="A24" s="22">
        <f t="shared" si="54"/>
        <v>21</v>
      </c>
      <c r="B24" s="16" t="s">
        <v>96</v>
      </c>
      <c r="C24" s="18" t="s">
        <v>97</v>
      </c>
      <c r="D24" s="15" t="s">
        <v>12</v>
      </c>
      <c r="E24" s="4" t="s">
        <v>13</v>
      </c>
      <c r="F24" s="5" t="s">
        <v>14</v>
      </c>
      <c r="G24" s="2" t="s">
        <v>15</v>
      </c>
      <c r="H24" s="2" t="s">
        <v>7</v>
      </c>
      <c r="I24" s="2" t="s">
        <v>15</v>
      </c>
      <c r="J24" s="2" t="s">
        <v>15</v>
      </c>
      <c r="K24" s="2" t="s">
        <v>15</v>
      </c>
      <c r="L24" s="2" t="s">
        <v>15</v>
      </c>
      <c r="M24" s="2" t="s">
        <v>15</v>
      </c>
      <c r="N24" s="2">
        <f t="shared" si="26"/>
        <v>1</v>
      </c>
      <c r="O24" s="2">
        <f t="shared" si="27"/>
        <v>0</v>
      </c>
      <c r="P24" s="2">
        <f t="shared" si="28"/>
        <v>0</v>
      </c>
      <c r="Q24" s="2">
        <f t="shared" si="29"/>
        <v>0</v>
      </c>
      <c r="R24" s="2">
        <f t="shared" si="30"/>
        <v>0</v>
      </c>
      <c r="S24" s="2" t="s">
        <v>15</v>
      </c>
      <c r="T24" s="2" t="s">
        <v>7</v>
      </c>
      <c r="U24" s="2" t="s">
        <v>15</v>
      </c>
      <c r="V24" s="2" t="s">
        <v>15</v>
      </c>
      <c r="W24" s="2" t="s">
        <v>15</v>
      </c>
      <c r="X24" s="2" t="s">
        <v>15</v>
      </c>
      <c r="Y24" s="2" t="s">
        <v>15</v>
      </c>
      <c r="Z24" s="2">
        <f t="shared" si="31"/>
        <v>1</v>
      </c>
      <c r="AA24" s="2">
        <f t="shared" si="32"/>
        <v>0</v>
      </c>
      <c r="AB24" s="2">
        <f t="shared" si="33"/>
        <v>0</v>
      </c>
      <c r="AC24" s="2">
        <f t="shared" si="34"/>
        <v>0</v>
      </c>
      <c r="AD24" s="2">
        <f t="shared" si="35"/>
        <v>0</v>
      </c>
      <c r="AE24" s="2" t="s">
        <v>7</v>
      </c>
      <c r="AF24" s="2" t="s">
        <v>15</v>
      </c>
      <c r="AG24" s="2" t="s">
        <v>15</v>
      </c>
      <c r="AH24" s="2" t="s">
        <v>15</v>
      </c>
      <c r="AI24" s="2" t="s">
        <v>15</v>
      </c>
      <c r="AJ24" s="2" t="s">
        <v>15</v>
      </c>
      <c r="AK24" s="2" t="s">
        <v>15</v>
      </c>
      <c r="AL24" s="2">
        <f t="shared" si="36"/>
        <v>1</v>
      </c>
      <c r="AM24" s="2">
        <f t="shared" si="37"/>
        <v>0</v>
      </c>
      <c r="AN24" s="2">
        <f t="shared" si="38"/>
        <v>0</v>
      </c>
      <c r="AO24" s="2">
        <f t="shared" si="39"/>
        <v>0</v>
      </c>
      <c r="AP24" s="2">
        <f t="shared" si="40"/>
        <v>0</v>
      </c>
      <c r="AQ24" s="2" t="s">
        <v>15</v>
      </c>
      <c r="AR24" s="2" t="s">
        <v>15</v>
      </c>
      <c r="AS24" s="2" t="s">
        <v>7</v>
      </c>
      <c r="AT24" s="2" t="s">
        <v>248</v>
      </c>
      <c r="AU24" s="2" t="s">
        <v>15</v>
      </c>
      <c r="AV24" s="2" t="s">
        <v>15</v>
      </c>
      <c r="AW24" s="2" t="s">
        <v>15</v>
      </c>
      <c r="AX24" s="2">
        <f t="shared" si="41"/>
        <v>1</v>
      </c>
      <c r="AY24" s="2">
        <f t="shared" si="42"/>
        <v>0</v>
      </c>
      <c r="AZ24" s="2">
        <f t="shared" si="43"/>
        <v>1</v>
      </c>
      <c r="BA24" s="2">
        <f t="shared" si="44"/>
        <v>0</v>
      </c>
      <c r="BB24" s="2">
        <f t="shared" si="45"/>
        <v>0</v>
      </c>
      <c r="BC24" s="2" t="s">
        <v>15</v>
      </c>
      <c r="BD24" s="2" t="s">
        <v>15</v>
      </c>
      <c r="BE24" s="2" t="s">
        <v>15</v>
      </c>
      <c r="BF24" s="2">
        <f t="shared" si="46"/>
        <v>0</v>
      </c>
      <c r="BG24" s="2">
        <f t="shared" si="47"/>
        <v>0</v>
      </c>
      <c r="BH24" s="2">
        <f t="shared" si="48"/>
        <v>0</v>
      </c>
      <c r="BI24" s="2">
        <f t="shared" si="49"/>
        <v>0</v>
      </c>
      <c r="BJ24" s="2">
        <f t="shared" si="50"/>
        <v>0</v>
      </c>
      <c r="BK24" s="2">
        <f t="shared" si="51"/>
        <v>4</v>
      </c>
      <c r="BL24" s="2">
        <f t="shared" si="51"/>
        <v>0</v>
      </c>
      <c r="BM24" s="2">
        <f t="shared" si="51"/>
        <v>1</v>
      </c>
      <c r="BN24" s="2">
        <f t="shared" si="52"/>
        <v>0</v>
      </c>
      <c r="BO24" s="2">
        <f t="shared" si="52"/>
        <v>0</v>
      </c>
      <c r="BP24" s="2">
        <f t="shared" si="53"/>
        <v>5</v>
      </c>
    </row>
    <row r="25" spans="1:68">
      <c r="A25" s="22">
        <f t="shared" si="54"/>
        <v>22</v>
      </c>
      <c r="B25" s="16" t="s">
        <v>92</v>
      </c>
      <c r="C25" s="18" t="s">
        <v>93</v>
      </c>
      <c r="D25" s="15" t="s">
        <v>12</v>
      </c>
      <c r="E25" s="4" t="s">
        <v>13</v>
      </c>
      <c r="F25" s="5" t="s">
        <v>14</v>
      </c>
      <c r="G25" s="2" t="s">
        <v>15</v>
      </c>
      <c r="H25" s="2" t="s">
        <v>15</v>
      </c>
      <c r="I25" s="2" t="s">
        <v>15</v>
      </c>
      <c r="J25" s="2" t="s">
        <v>15</v>
      </c>
      <c r="K25" s="2" t="s">
        <v>15</v>
      </c>
      <c r="L25" s="2" t="s">
        <v>15</v>
      </c>
      <c r="M25" s="2" t="s">
        <v>15</v>
      </c>
      <c r="N25" s="2">
        <f t="shared" si="26"/>
        <v>0</v>
      </c>
      <c r="O25" s="2">
        <f t="shared" si="27"/>
        <v>0</v>
      </c>
      <c r="P25" s="2">
        <f t="shared" si="28"/>
        <v>0</v>
      </c>
      <c r="Q25" s="2">
        <f t="shared" si="29"/>
        <v>0</v>
      </c>
      <c r="R25" s="2">
        <f t="shared" si="30"/>
        <v>0</v>
      </c>
      <c r="S25" s="2" t="s">
        <v>15</v>
      </c>
      <c r="T25" s="2" t="s">
        <v>15</v>
      </c>
      <c r="U25" s="2" t="s">
        <v>15</v>
      </c>
      <c r="V25" s="2" t="s">
        <v>15</v>
      </c>
      <c r="W25" s="2" t="s">
        <v>15</v>
      </c>
      <c r="X25" s="2" t="s">
        <v>15</v>
      </c>
      <c r="Y25" s="2" t="s">
        <v>15</v>
      </c>
      <c r="Z25" s="2">
        <f t="shared" si="31"/>
        <v>0</v>
      </c>
      <c r="AA25" s="2">
        <f t="shared" si="32"/>
        <v>0</v>
      </c>
      <c r="AB25" s="2">
        <f t="shared" si="33"/>
        <v>0</v>
      </c>
      <c r="AC25" s="2">
        <f t="shared" si="34"/>
        <v>0</v>
      </c>
      <c r="AD25" s="2">
        <f t="shared" si="35"/>
        <v>0</v>
      </c>
      <c r="AE25" s="2" t="s">
        <v>15</v>
      </c>
      <c r="AF25" s="2" t="s">
        <v>15</v>
      </c>
      <c r="AG25" s="2" t="s">
        <v>15</v>
      </c>
      <c r="AH25" s="2" t="s">
        <v>7</v>
      </c>
      <c r="AI25" s="2" t="s">
        <v>7</v>
      </c>
      <c r="AJ25" s="2" t="s">
        <v>7</v>
      </c>
      <c r="AK25" s="2" t="s">
        <v>7</v>
      </c>
      <c r="AL25" s="2">
        <f t="shared" si="36"/>
        <v>4</v>
      </c>
      <c r="AM25" s="2">
        <f t="shared" si="37"/>
        <v>0</v>
      </c>
      <c r="AN25" s="2">
        <f t="shared" si="38"/>
        <v>0</v>
      </c>
      <c r="AO25" s="2">
        <f t="shared" si="39"/>
        <v>0</v>
      </c>
      <c r="AP25" s="2">
        <f t="shared" si="40"/>
        <v>0</v>
      </c>
      <c r="AQ25" s="2" t="s">
        <v>248</v>
      </c>
      <c r="AR25" s="2" t="s">
        <v>248</v>
      </c>
      <c r="AS25" s="2" t="s">
        <v>15</v>
      </c>
      <c r="AT25" s="2" t="s">
        <v>15</v>
      </c>
      <c r="AU25" s="2" t="s">
        <v>15</v>
      </c>
      <c r="AV25" s="2" t="s">
        <v>15</v>
      </c>
      <c r="AW25" s="2" t="s">
        <v>15</v>
      </c>
      <c r="AX25" s="2">
        <f t="shared" si="41"/>
        <v>0</v>
      </c>
      <c r="AY25" s="2">
        <f t="shared" si="42"/>
        <v>0</v>
      </c>
      <c r="AZ25" s="2">
        <f t="shared" si="43"/>
        <v>2</v>
      </c>
      <c r="BA25" s="2">
        <f t="shared" si="44"/>
        <v>0</v>
      </c>
      <c r="BB25" s="2">
        <f t="shared" si="45"/>
        <v>0</v>
      </c>
      <c r="BC25" s="2" t="s">
        <v>15</v>
      </c>
      <c r="BD25" s="2" t="s">
        <v>15</v>
      </c>
      <c r="BE25" s="2" t="s">
        <v>15</v>
      </c>
      <c r="BF25" s="2">
        <f t="shared" si="46"/>
        <v>0</v>
      </c>
      <c r="BG25" s="2">
        <f t="shared" si="47"/>
        <v>0</v>
      </c>
      <c r="BH25" s="2">
        <f t="shared" si="48"/>
        <v>0</v>
      </c>
      <c r="BI25" s="2">
        <f t="shared" si="49"/>
        <v>0</v>
      </c>
      <c r="BJ25" s="2">
        <f t="shared" si="50"/>
        <v>0</v>
      </c>
      <c r="BK25" s="2">
        <f t="shared" si="51"/>
        <v>4</v>
      </c>
      <c r="BL25" s="2">
        <f t="shared" si="51"/>
        <v>0</v>
      </c>
      <c r="BM25" s="2">
        <f t="shared" si="51"/>
        <v>2</v>
      </c>
      <c r="BN25" s="2">
        <f t="shared" si="52"/>
        <v>0</v>
      </c>
      <c r="BO25" s="2">
        <f t="shared" si="52"/>
        <v>0</v>
      </c>
      <c r="BP25" s="2">
        <f t="shared" si="53"/>
        <v>6</v>
      </c>
    </row>
    <row r="26" spans="1:68">
      <c r="A26" s="22">
        <f t="shared" si="54"/>
        <v>23</v>
      </c>
      <c r="B26" s="16" t="s">
        <v>58</v>
      </c>
      <c r="C26" s="18" t="s">
        <v>59</v>
      </c>
      <c r="D26" s="15" t="s">
        <v>12</v>
      </c>
      <c r="E26" s="4" t="s">
        <v>29</v>
      </c>
      <c r="F26" s="5" t="s">
        <v>14</v>
      </c>
      <c r="G26" s="2" t="s">
        <v>15</v>
      </c>
      <c r="H26" s="2" t="s">
        <v>15</v>
      </c>
      <c r="I26" s="2" t="s">
        <v>15</v>
      </c>
      <c r="J26" s="2" t="s">
        <v>15</v>
      </c>
      <c r="K26" s="2" t="s">
        <v>15</v>
      </c>
      <c r="L26" s="2" t="s">
        <v>15</v>
      </c>
      <c r="M26" s="2" t="s">
        <v>15</v>
      </c>
      <c r="N26" s="2">
        <f t="shared" si="26"/>
        <v>0</v>
      </c>
      <c r="O26" s="2">
        <f t="shared" si="27"/>
        <v>0</v>
      </c>
      <c r="P26" s="2">
        <f t="shared" si="28"/>
        <v>0</v>
      </c>
      <c r="Q26" s="2">
        <f t="shared" si="29"/>
        <v>0</v>
      </c>
      <c r="R26" s="2">
        <f t="shared" si="30"/>
        <v>0</v>
      </c>
      <c r="S26" s="2" t="s">
        <v>7</v>
      </c>
      <c r="T26" s="2" t="s">
        <v>7</v>
      </c>
      <c r="U26" s="2" t="s">
        <v>7</v>
      </c>
      <c r="V26" s="2" t="s">
        <v>7</v>
      </c>
      <c r="W26" s="2" t="s">
        <v>248</v>
      </c>
      <c r="X26" s="2" t="s">
        <v>15</v>
      </c>
      <c r="Y26" s="2" t="s">
        <v>15</v>
      </c>
      <c r="Z26" s="2">
        <f t="shared" si="31"/>
        <v>4</v>
      </c>
      <c r="AA26" s="2">
        <f t="shared" si="32"/>
        <v>0</v>
      </c>
      <c r="AB26" s="2">
        <f t="shared" si="33"/>
        <v>1</v>
      </c>
      <c r="AC26" s="2">
        <f t="shared" si="34"/>
        <v>0</v>
      </c>
      <c r="AD26" s="2">
        <f t="shared" si="35"/>
        <v>0</v>
      </c>
      <c r="AE26" s="2" t="s">
        <v>15</v>
      </c>
      <c r="AF26" s="2" t="s">
        <v>15</v>
      </c>
      <c r="AG26" s="2" t="s">
        <v>15</v>
      </c>
      <c r="AH26" s="2" t="s">
        <v>15</v>
      </c>
      <c r="AI26" s="2" t="s">
        <v>15</v>
      </c>
      <c r="AJ26" s="2" t="s">
        <v>15</v>
      </c>
      <c r="AK26" s="2" t="s">
        <v>15</v>
      </c>
      <c r="AL26" s="2">
        <f t="shared" si="36"/>
        <v>0</v>
      </c>
      <c r="AM26" s="2">
        <f t="shared" si="37"/>
        <v>0</v>
      </c>
      <c r="AN26" s="2">
        <f t="shared" si="38"/>
        <v>0</v>
      </c>
      <c r="AO26" s="2">
        <f t="shared" si="39"/>
        <v>0</v>
      </c>
      <c r="AP26" s="2">
        <f t="shared" si="40"/>
        <v>0</v>
      </c>
      <c r="AQ26" s="2" t="s">
        <v>15</v>
      </c>
      <c r="AR26" s="2" t="s">
        <v>15</v>
      </c>
      <c r="AS26" s="2" t="s">
        <v>15</v>
      </c>
      <c r="AT26" s="2" t="s">
        <v>15</v>
      </c>
      <c r="AU26" s="2" t="s">
        <v>15</v>
      </c>
      <c r="AV26" s="2" t="s">
        <v>15</v>
      </c>
      <c r="AW26" s="2" t="s">
        <v>15</v>
      </c>
      <c r="AX26" s="2">
        <f t="shared" si="41"/>
        <v>0</v>
      </c>
      <c r="AY26" s="2">
        <f t="shared" si="42"/>
        <v>0</v>
      </c>
      <c r="AZ26" s="2">
        <f t="shared" si="43"/>
        <v>0</v>
      </c>
      <c r="BA26" s="2">
        <f t="shared" si="44"/>
        <v>0</v>
      </c>
      <c r="BB26" s="2">
        <f t="shared" si="45"/>
        <v>0</v>
      </c>
      <c r="BC26" s="2" t="s">
        <v>15</v>
      </c>
      <c r="BD26" s="2" t="s">
        <v>15</v>
      </c>
      <c r="BE26" s="2" t="s">
        <v>15</v>
      </c>
      <c r="BF26" s="2">
        <f t="shared" si="46"/>
        <v>0</v>
      </c>
      <c r="BG26" s="2">
        <f t="shared" si="47"/>
        <v>0</v>
      </c>
      <c r="BH26" s="2">
        <f t="shared" si="48"/>
        <v>0</v>
      </c>
      <c r="BI26" s="2">
        <f t="shared" si="49"/>
        <v>0</v>
      </c>
      <c r="BJ26" s="2">
        <f t="shared" si="50"/>
        <v>0</v>
      </c>
      <c r="BK26" s="2">
        <f t="shared" si="51"/>
        <v>4</v>
      </c>
      <c r="BL26" s="2">
        <f t="shared" si="51"/>
        <v>0</v>
      </c>
      <c r="BM26" s="2">
        <f t="shared" si="51"/>
        <v>1</v>
      </c>
      <c r="BN26" s="2">
        <f t="shared" si="52"/>
        <v>0</v>
      </c>
      <c r="BO26" s="2">
        <f t="shared" si="52"/>
        <v>0</v>
      </c>
      <c r="BP26" s="2">
        <f t="shared" si="53"/>
        <v>5</v>
      </c>
    </row>
    <row r="27" spans="1:68">
      <c r="A27" s="22">
        <f t="shared" si="54"/>
        <v>24</v>
      </c>
      <c r="B27" s="16" t="s">
        <v>16</v>
      </c>
      <c r="C27" s="18" t="s">
        <v>17</v>
      </c>
      <c r="D27" s="15" t="s">
        <v>12</v>
      </c>
      <c r="E27" s="4" t="s">
        <v>13</v>
      </c>
      <c r="F27" s="5" t="s">
        <v>18</v>
      </c>
      <c r="G27" s="2" t="s">
        <v>15</v>
      </c>
      <c r="H27" s="2" t="s">
        <v>15</v>
      </c>
      <c r="I27" s="2" t="s">
        <v>15</v>
      </c>
      <c r="J27" s="2" t="s">
        <v>15</v>
      </c>
      <c r="K27" s="2" t="s">
        <v>15</v>
      </c>
      <c r="L27" s="2" t="s">
        <v>15</v>
      </c>
      <c r="M27" s="2" t="s">
        <v>15</v>
      </c>
      <c r="N27" s="2">
        <f t="shared" si="26"/>
        <v>0</v>
      </c>
      <c r="O27" s="2">
        <f t="shared" si="27"/>
        <v>0</v>
      </c>
      <c r="P27" s="2">
        <f t="shared" si="28"/>
        <v>0</v>
      </c>
      <c r="Q27" s="2">
        <f t="shared" si="29"/>
        <v>0</v>
      </c>
      <c r="R27" s="2">
        <f t="shared" si="30"/>
        <v>0</v>
      </c>
      <c r="S27" s="2" t="s">
        <v>15</v>
      </c>
      <c r="T27" s="2" t="s">
        <v>15</v>
      </c>
      <c r="U27" s="2" t="s">
        <v>15</v>
      </c>
      <c r="V27" s="2" t="s">
        <v>15</v>
      </c>
      <c r="W27" s="2" t="s">
        <v>15</v>
      </c>
      <c r="X27" s="2" t="s">
        <v>15</v>
      </c>
      <c r="Y27" s="2" t="s">
        <v>15</v>
      </c>
      <c r="Z27" s="2">
        <f t="shared" si="31"/>
        <v>0</v>
      </c>
      <c r="AA27" s="2">
        <f t="shared" si="32"/>
        <v>0</v>
      </c>
      <c r="AB27" s="2">
        <f t="shared" si="33"/>
        <v>0</v>
      </c>
      <c r="AC27" s="2">
        <f t="shared" si="34"/>
        <v>0</v>
      </c>
      <c r="AD27" s="2">
        <f t="shared" si="35"/>
        <v>0</v>
      </c>
      <c r="AE27" s="2" t="s">
        <v>15</v>
      </c>
      <c r="AF27" s="2" t="s">
        <v>8</v>
      </c>
      <c r="AG27" s="2" t="s">
        <v>15</v>
      </c>
      <c r="AH27" s="2" t="s">
        <v>15</v>
      </c>
      <c r="AI27" s="2" t="s">
        <v>15</v>
      </c>
      <c r="AJ27" s="2" t="s">
        <v>15</v>
      </c>
      <c r="AK27" s="2" t="s">
        <v>7</v>
      </c>
      <c r="AL27" s="2">
        <f t="shared" si="36"/>
        <v>1</v>
      </c>
      <c r="AM27" s="2">
        <f t="shared" si="37"/>
        <v>1</v>
      </c>
      <c r="AN27" s="2">
        <f t="shared" si="38"/>
        <v>0</v>
      </c>
      <c r="AO27" s="2">
        <f t="shared" si="39"/>
        <v>0</v>
      </c>
      <c r="AP27" s="2">
        <f t="shared" si="40"/>
        <v>0</v>
      </c>
      <c r="AQ27" s="2" t="s">
        <v>15</v>
      </c>
      <c r="AR27" s="2" t="s">
        <v>15</v>
      </c>
      <c r="AS27" s="2" t="s">
        <v>7</v>
      </c>
      <c r="AT27" s="2" t="s">
        <v>7</v>
      </c>
      <c r="AU27" s="2" t="s">
        <v>15</v>
      </c>
      <c r="AV27" s="2" t="s">
        <v>15</v>
      </c>
      <c r="AW27" s="2" t="s">
        <v>15</v>
      </c>
      <c r="AX27" s="2">
        <f t="shared" si="41"/>
        <v>2</v>
      </c>
      <c r="AY27" s="2">
        <f t="shared" si="42"/>
        <v>0</v>
      </c>
      <c r="AZ27" s="2">
        <f t="shared" si="43"/>
        <v>0</v>
      </c>
      <c r="BA27" s="2">
        <f t="shared" si="44"/>
        <v>0</v>
      </c>
      <c r="BB27" s="2">
        <f t="shared" si="45"/>
        <v>0</v>
      </c>
      <c r="BC27" s="2" t="s">
        <v>15</v>
      </c>
      <c r="BD27" s="2" t="s">
        <v>7</v>
      </c>
      <c r="BE27" s="2" t="s">
        <v>15</v>
      </c>
      <c r="BF27" s="2">
        <f t="shared" si="46"/>
        <v>1</v>
      </c>
      <c r="BG27" s="2">
        <f t="shared" si="47"/>
        <v>0</v>
      </c>
      <c r="BH27" s="2">
        <f t="shared" si="48"/>
        <v>0</v>
      </c>
      <c r="BI27" s="2">
        <f t="shared" si="49"/>
        <v>0</v>
      </c>
      <c r="BJ27" s="2">
        <f t="shared" si="50"/>
        <v>0</v>
      </c>
      <c r="BK27" s="2">
        <f t="shared" si="51"/>
        <v>4</v>
      </c>
      <c r="BL27" s="2">
        <f t="shared" si="51"/>
        <v>1</v>
      </c>
      <c r="BM27" s="2">
        <f t="shared" si="51"/>
        <v>0</v>
      </c>
      <c r="BN27" s="2">
        <f t="shared" si="52"/>
        <v>0</v>
      </c>
      <c r="BO27" s="2">
        <f t="shared" si="52"/>
        <v>0</v>
      </c>
      <c r="BP27" s="2">
        <f t="shared" si="53"/>
        <v>5</v>
      </c>
    </row>
    <row r="28" spans="1:68">
      <c r="A28" s="22">
        <f t="shared" si="54"/>
        <v>25</v>
      </c>
      <c r="B28" s="16" t="s">
        <v>25</v>
      </c>
      <c r="C28" s="18" t="s">
        <v>26</v>
      </c>
      <c r="D28" s="15" t="s">
        <v>12</v>
      </c>
      <c r="E28" s="4" t="s">
        <v>13</v>
      </c>
      <c r="F28" s="5" t="s">
        <v>18</v>
      </c>
      <c r="G28" s="2" t="s">
        <v>15</v>
      </c>
      <c r="H28" s="2" t="s">
        <v>15</v>
      </c>
      <c r="I28" s="2" t="s">
        <v>15</v>
      </c>
      <c r="J28" s="2" t="s">
        <v>15</v>
      </c>
      <c r="K28" s="2" t="s">
        <v>15</v>
      </c>
      <c r="L28" s="2" t="s">
        <v>15</v>
      </c>
      <c r="M28" s="2" t="s">
        <v>15</v>
      </c>
      <c r="N28" s="2">
        <f t="shared" si="26"/>
        <v>0</v>
      </c>
      <c r="O28" s="2">
        <f t="shared" si="27"/>
        <v>0</v>
      </c>
      <c r="P28" s="2">
        <f t="shared" si="28"/>
        <v>0</v>
      </c>
      <c r="Q28" s="2">
        <f t="shared" si="29"/>
        <v>0</v>
      </c>
      <c r="R28" s="2">
        <f t="shared" si="30"/>
        <v>0</v>
      </c>
      <c r="S28" s="2" t="s">
        <v>15</v>
      </c>
      <c r="T28" s="2" t="s">
        <v>15</v>
      </c>
      <c r="U28" s="2" t="s">
        <v>15</v>
      </c>
      <c r="V28" s="2" t="s">
        <v>7</v>
      </c>
      <c r="W28" s="2" t="s">
        <v>7</v>
      </c>
      <c r="X28" s="2" t="s">
        <v>15</v>
      </c>
      <c r="Y28" s="2" t="s">
        <v>15</v>
      </c>
      <c r="Z28" s="2">
        <f t="shared" si="31"/>
        <v>2</v>
      </c>
      <c r="AA28" s="2">
        <f t="shared" si="32"/>
        <v>0</v>
      </c>
      <c r="AB28" s="2">
        <f t="shared" si="33"/>
        <v>0</v>
      </c>
      <c r="AC28" s="2">
        <f t="shared" si="34"/>
        <v>0</v>
      </c>
      <c r="AD28" s="2">
        <f t="shared" si="35"/>
        <v>0</v>
      </c>
      <c r="AE28" s="2" t="s">
        <v>15</v>
      </c>
      <c r="AF28" s="2" t="s">
        <v>15</v>
      </c>
      <c r="AG28" s="2" t="s">
        <v>15</v>
      </c>
      <c r="AH28" s="2" t="s">
        <v>15</v>
      </c>
      <c r="AI28" s="2" t="s">
        <v>15</v>
      </c>
      <c r="AJ28" s="2" t="s">
        <v>15</v>
      </c>
      <c r="AK28" s="2" t="s">
        <v>7</v>
      </c>
      <c r="AL28" s="2">
        <f t="shared" si="36"/>
        <v>1</v>
      </c>
      <c r="AM28" s="2">
        <f t="shared" si="37"/>
        <v>0</v>
      </c>
      <c r="AN28" s="2">
        <f t="shared" si="38"/>
        <v>0</v>
      </c>
      <c r="AO28" s="2">
        <f t="shared" si="39"/>
        <v>0</v>
      </c>
      <c r="AP28" s="2">
        <f t="shared" si="40"/>
        <v>0</v>
      </c>
      <c r="AQ28" s="2" t="s">
        <v>15</v>
      </c>
      <c r="AR28" s="2" t="s">
        <v>15</v>
      </c>
      <c r="AS28" s="2" t="s">
        <v>15</v>
      </c>
      <c r="AT28" s="2" t="s">
        <v>15</v>
      </c>
      <c r="AU28" s="2" t="s">
        <v>15</v>
      </c>
      <c r="AV28" s="2" t="s">
        <v>15</v>
      </c>
      <c r="AW28" s="2" t="s">
        <v>7</v>
      </c>
      <c r="AX28" s="2">
        <f t="shared" si="41"/>
        <v>1</v>
      </c>
      <c r="AY28" s="2">
        <f t="shared" si="42"/>
        <v>0</v>
      </c>
      <c r="AZ28" s="2">
        <f t="shared" si="43"/>
        <v>0</v>
      </c>
      <c r="BA28" s="2">
        <f t="shared" si="44"/>
        <v>0</v>
      </c>
      <c r="BB28" s="2">
        <f t="shared" si="45"/>
        <v>0</v>
      </c>
      <c r="BC28" s="2" t="s">
        <v>248</v>
      </c>
      <c r="BD28" s="2" t="s">
        <v>15</v>
      </c>
      <c r="BE28" s="2" t="s">
        <v>15</v>
      </c>
      <c r="BF28" s="2">
        <f t="shared" si="46"/>
        <v>0</v>
      </c>
      <c r="BG28" s="2">
        <f t="shared" si="47"/>
        <v>0</v>
      </c>
      <c r="BH28" s="2">
        <f t="shared" si="48"/>
        <v>1</v>
      </c>
      <c r="BI28" s="2">
        <f t="shared" si="49"/>
        <v>0</v>
      </c>
      <c r="BJ28" s="2">
        <f t="shared" si="50"/>
        <v>0</v>
      </c>
      <c r="BK28" s="2">
        <f t="shared" si="51"/>
        <v>4</v>
      </c>
      <c r="BL28" s="2">
        <f t="shared" si="51"/>
        <v>0</v>
      </c>
      <c r="BM28" s="2">
        <f t="shared" si="51"/>
        <v>1</v>
      </c>
      <c r="BN28" s="2">
        <f t="shared" si="52"/>
        <v>0</v>
      </c>
      <c r="BO28" s="2">
        <f t="shared" si="52"/>
        <v>0</v>
      </c>
      <c r="BP28" s="2">
        <f t="shared" si="53"/>
        <v>5</v>
      </c>
    </row>
    <row r="29" spans="1:68">
      <c r="A29" s="22">
        <f t="shared" si="54"/>
        <v>26</v>
      </c>
      <c r="B29" s="16" t="s">
        <v>70</v>
      </c>
      <c r="C29" s="18" t="s">
        <v>71</v>
      </c>
      <c r="D29" s="15" t="s">
        <v>12</v>
      </c>
      <c r="E29" s="4" t="s">
        <v>29</v>
      </c>
      <c r="F29" s="5" t="s">
        <v>14</v>
      </c>
      <c r="G29" s="2" t="s">
        <v>15</v>
      </c>
      <c r="H29" s="2" t="s">
        <v>15</v>
      </c>
      <c r="I29" s="2" t="s">
        <v>15</v>
      </c>
      <c r="J29" s="2" t="s">
        <v>15</v>
      </c>
      <c r="K29" s="2" t="s">
        <v>15</v>
      </c>
      <c r="L29" s="2" t="s">
        <v>15</v>
      </c>
      <c r="M29" s="2" t="s">
        <v>15</v>
      </c>
      <c r="N29" s="2">
        <f t="shared" si="26"/>
        <v>0</v>
      </c>
      <c r="O29" s="2">
        <f t="shared" si="27"/>
        <v>0</v>
      </c>
      <c r="P29" s="2">
        <f t="shared" si="28"/>
        <v>0</v>
      </c>
      <c r="Q29" s="2">
        <f t="shared" si="29"/>
        <v>0</v>
      </c>
      <c r="R29" s="2">
        <f t="shared" si="30"/>
        <v>0</v>
      </c>
      <c r="S29" s="2" t="s">
        <v>15</v>
      </c>
      <c r="T29" s="2" t="s">
        <v>15</v>
      </c>
      <c r="U29" s="2" t="s">
        <v>15</v>
      </c>
      <c r="V29" s="2" t="s">
        <v>15</v>
      </c>
      <c r="W29" s="2" t="s">
        <v>7</v>
      </c>
      <c r="X29" s="2" t="s">
        <v>7</v>
      </c>
      <c r="Y29" s="2" t="s">
        <v>7</v>
      </c>
      <c r="Z29" s="2">
        <f t="shared" si="31"/>
        <v>3</v>
      </c>
      <c r="AA29" s="2">
        <f t="shared" si="32"/>
        <v>0</v>
      </c>
      <c r="AB29" s="2">
        <f t="shared" si="33"/>
        <v>0</v>
      </c>
      <c r="AC29" s="2">
        <f t="shared" si="34"/>
        <v>0</v>
      </c>
      <c r="AD29" s="2">
        <f t="shared" si="35"/>
        <v>0</v>
      </c>
      <c r="AE29" s="2" t="s">
        <v>7</v>
      </c>
      <c r="AF29" s="2" t="s">
        <v>15</v>
      </c>
      <c r="AG29" s="2" t="s">
        <v>15</v>
      </c>
      <c r="AH29" s="2" t="s">
        <v>15</v>
      </c>
      <c r="AI29" s="2" t="s">
        <v>15</v>
      </c>
      <c r="AJ29" s="2" t="s">
        <v>15</v>
      </c>
      <c r="AK29" s="2" t="s">
        <v>15</v>
      </c>
      <c r="AL29" s="2">
        <f t="shared" si="36"/>
        <v>1</v>
      </c>
      <c r="AM29" s="2">
        <f t="shared" si="37"/>
        <v>0</v>
      </c>
      <c r="AN29" s="2">
        <f t="shared" si="38"/>
        <v>0</v>
      </c>
      <c r="AO29" s="2">
        <f t="shared" si="39"/>
        <v>0</v>
      </c>
      <c r="AP29" s="2">
        <f t="shared" si="40"/>
        <v>0</v>
      </c>
      <c r="AQ29" s="2" t="s">
        <v>15</v>
      </c>
      <c r="AR29" s="2" t="s">
        <v>15</v>
      </c>
      <c r="AS29" s="2" t="s">
        <v>15</v>
      </c>
      <c r="AT29" s="2" t="s">
        <v>15</v>
      </c>
      <c r="AU29" s="2" t="s">
        <v>15</v>
      </c>
      <c r="AV29" s="2" t="s">
        <v>15</v>
      </c>
      <c r="AW29" s="2" t="s">
        <v>15</v>
      </c>
      <c r="AX29" s="2">
        <f t="shared" si="41"/>
        <v>0</v>
      </c>
      <c r="AY29" s="2">
        <f t="shared" si="42"/>
        <v>0</v>
      </c>
      <c r="AZ29" s="2">
        <f t="shared" si="43"/>
        <v>0</v>
      </c>
      <c r="BA29" s="2">
        <f t="shared" si="44"/>
        <v>0</v>
      </c>
      <c r="BB29" s="2">
        <f t="shared" si="45"/>
        <v>0</v>
      </c>
      <c r="BC29" s="2" t="s">
        <v>15</v>
      </c>
      <c r="BD29" s="2" t="s">
        <v>15</v>
      </c>
      <c r="BE29" s="2" t="s">
        <v>15</v>
      </c>
      <c r="BF29" s="2">
        <f t="shared" si="46"/>
        <v>0</v>
      </c>
      <c r="BG29" s="2">
        <f t="shared" si="47"/>
        <v>0</v>
      </c>
      <c r="BH29" s="2">
        <f t="shared" si="48"/>
        <v>0</v>
      </c>
      <c r="BI29" s="2">
        <f t="shared" si="49"/>
        <v>0</v>
      </c>
      <c r="BJ29" s="2">
        <f t="shared" si="50"/>
        <v>0</v>
      </c>
      <c r="BK29" s="2">
        <f t="shared" si="51"/>
        <v>4</v>
      </c>
      <c r="BL29" s="2">
        <f t="shared" si="51"/>
        <v>0</v>
      </c>
      <c r="BM29" s="2">
        <f t="shared" si="51"/>
        <v>0</v>
      </c>
      <c r="BN29" s="2">
        <f t="shared" si="52"/>
        <v>0</v>
      </c>
      <c r="BO29" s="2">
        <f t="shared" si="52"/>
        <v>0</v>
      </c>
      <c r="BP29" s="2">
        <f t="shared" si="53"/>
        <v>4</v>
      </c>
    </row>
    <row r="30" spans="1:68">
      <c r="A30" s="22">
        <f t="shared" si="54"/>
        <v>27</v>
      </c>
      <c r="B30" s="16" t="s">
        <v>63</v>
      </c>
      <c r="C30" s="18" t="s">
        <v>64</v>
      </c>
      <c r="D30" s="15" t="s">
        <v>12</v>
      </c>
      <c r="E30" s="4" t="s">
        <v>13</v>
      </c>
      <c r="F30" s="5" t="s">
        <v>18</v>
      </c>
      <c r="G30" s="2" t="s">
        <v>7</v>
      </c>
      <c r="H30" s="2" t="s">
        <v>7</v>
      </c>
      <c r="I30" s="2" t="s">
        <v>7</v>
      </c>
      <c r="J30" s="2" t="s">
        <v>7</v>
      </c>
      <c r="K30" s="2" t="s">
        <v>15</v>
      </c>
      <c r="L30" s="2" t="s">
        <v>15</v>
      </c>
      <c r="M30" s="2" t="s">
        <v>15</v>
      </c>
      <c r="N30" s="2">
        <f t="shared" si="26"/>
        <v>4</v>
      </c>
      <c r="O30" s="2">
        <f t="shared" si="27"/>
        <v>0</v>
      </c>
      <c r="P30" s="2">
        <f t="shared" si="28"/>
        <v>0</v>
      </c>
      <c r="Q30" s="2">
        <f t="shared" si="29"/>
        <v>0</v>
      </c>
      <c r="R30" s="2">
        <f t="shared" si="30"/>
        <v>0</v>
      </c>
      <c r="S30" s="2" t="s">
        <v>15</v>
      </c>
      <c r="T30" s="2" t="s">
        <v>15</v>
      </c>
      <c r="U30" s="2" t="s">
        <v>15</v>
      </c>
      <c r="V30" s="2" t="s">
        <v>15</v>
      </c>
      <c r="W30" s="2" t="s">
        <v>15</v>
      </c>
      <c r="X30" s="2" t="s">
        <v>15</v>
      </c>
      <c r="Y30" s="2" t="s">
        <v>15</v>
      </c>
      <c r="Z30" s="2">
        <f t="shared" si="31"/>
        <v>0</v>
      </c>
      <c r="AA30" s="2">
        <f t="shared" si="32"/>
        <v>0</v>
      </c>
      <c r="AB30" s="2">
        <f t="shared" si="33"/>
        <v>0</v>
      </c>
      <c r="AC30" s="2">
        <f t="shared" si="34"/>
        <v>0</v>
      </c>
      <c r="AD30" s="2">
        <f t="shared" si="35"/>
        <v>0</v>
      </c>
      <c r="AE30" s="2" t="s">
        <v>15</v>
      </c>
      <c r="AF30" s="2" t="s">
        <v>15</v>
      </c>
      <c r="AG30" s="2" t="s">
        <v>15</v>
      </c>
      <c r="AH30" s="2" t="s">
        <v>15</v>
      </c>
      <c r="AI30" s="2" t="s">
        <v>15</v>
      </c>
      <c r="AJ30" s="2" t="s">
        <v>15</v>
      </c>
      <c r="AK30" s="2" t="s">
        <v>15</v>
      </c>
      <c r="AL30" s="2">
        <f t="shared" si="36"/>
        <v>0</v>
      </c>
      <c r="AM30" s="2">
        <f t="shared" si="37"/>
        <v>0</v>
      </c>
      <c r="AN30" s="2">
        <f t="shared" si="38"/>
        <v>0</v>
      </c>
      <c r="AO30" s="2">
        <f t="shared" si="39"/>
        <v>0</v>
      </c>
      <c r="AP30" s="2">
        <f t="shared" si="40"/>
        <v>0</v>
      </c>
      <c r="AQ30" s="2" t="s">
        <v>15</v>
      </c>
      <c r="AR30" s="2" t="s">
        <v>15</v>
      </c>
      <c r="AS30" s="2" t="s">
        <v>15</v>
      </c>
      <c r="AT30" s="2" t="s">
        <v>15</v>
      </c>
      <c r="AU30" s="2" t="s">
        <v>15</v>
      </c>
      <c r="AV30" s="2" t="s">
        <v>15</v>
      </c>
      <c r="AW30" s="2" t="s">
        <v>15</v>
      </c>
      <c r="AX30" s="2">
        <f t="shared" si="41"/>
        <v>0</v>
      </c>
      <c r="AY30" s="2">
        <f t="shared" si="42"/>
        <v>0</v>
      </c>
      <c r="AZ30" s="2">
        <f t="shared" si="43"/>
        <v>0</v>
      </c>
      <c r="BA30" s="2">
        <f t="shared" si="44"/>
        <v>0</v>
      </c>
      <c r="BB30" s="2">
        <f t="shared" si="45"/>
        <v>0</v>
      </c>
      <c r="BC30" s="2" t="s">
        <v>15</v>
      </c>
      <c r="BD30" s="2" t="s">
        <v>15</v>
      </c>
      <c r="BE30" s="2" t="s">
        <v>15</v>
      </c>
      <c r="BF30" s="2">
        <f t="shared" si="46"/>
        <v>0</v>
      </c>
      <c r="BG30" s="2">
        <f t="shared" si="47"/>
        <v>0</v>
      </c>
      <c r="BH30" s="2">
        <f t="shared" si="48"/>
        <v>0</v>
      </c>
      <c r="BI30" s="2">
        <f t="shared" si="49"/>
        <v>0</v>
      </c>
      <c r="BJ30" s="2">
        <f t="shared" si="50"/>
        <v>0</v>
      </c>
      <c r="BK30" s="2">
        <f t="shared" si="51"/>
        <v>4</v>
      </c>
      <c r="BL30" s="2">
        <f t="shared" si="51"/>
        <v>0</v>
      </c>
      <c r="BM30" s="2">
        <f t="shared" si="51"/>
        <v>0</v>
      </c>
      <c r="BN30" s="2">
        <f t="shared" si="52"/>
        <v>0</v>
      </c>
      <c r="BO30" s="2">
        <f t="shared" si="52"/>
        <v>0</v>
      </c>
      <c r="BP30" s="2">
        <f t="shared" si="53"/>
        <v>4</v>
      </c>
    </row>
    <row r="31" spans="1:68">
      <c r="A31" s="22">
        <f t="shared" si="54"/>
        <v>28</v>
      </c>
      <c r="B31" s="16" t="s">
        <v>79</v>
      </c>
      <c r="C31" s="18" t="s">
        <v>80</v>
      </c>
      <c r="D31" s="15" t="s">
        <v>12</v>
      </c>
      <c r="E31" s="4" t="s">
        <v>13</v>
      </c>
      <c r="F31" s="5" t="s">
        <v>78</v>
      </c>
      <c r="G31" s="2" t="s">
        <v>47</v>
      </c>
      <c r="H31" s="2" t="s">
        <v>47</v>
      </c>
      <c r="I31" s="2" t="s">
        <v>47</v>
      </c>
      <c r="J31" s="2" t="s">
        <v>47</v>
      </c>
      <c r="K31" s="2" t="s">
        <v>47</v>
      </c>
      <c r="L31" s="2" t="s">
        <v>47</v>
      </c>
      <c r="M31" s="2" t="s">
        <v>47</v>
      </c>
      <c r="N31" s="2">
        <f t="shared" si="26"/>
        <v>0</v>
      </c>
      <c r="O31" s="2">
        <f t="shared" si="27"/>
        <v>0</v>
      </c>
      <c r="P31" s="2">
        <f t="shared" si="28"/>
        <v>0</v>
      </c>
      <c r="Q31" s="2">
        <f t="shared" si="29"/>
        <v>0</v>
      </c>
      <c r="R31" s="2">
        <f t="shared" si="30"/>
        <v>0</v>
      </c>
      <c r="S31" s="2" t="s">
        <v>47</v>
      </c>
      <c r="T31" s="2" t="s">
        <v>47</v>
      </c>
      <c r="U31" s="2" t="s">
        <v>47</v>
      </c>
      <c r="V31" s="2" t="s">
        <v>47</v>
      </c>
      <c r="W31" s="2" t="s">
        <v>47</v>
      </c>
      <c r="X31" s="2" t="s">
        <v>47</v>
      </c>
      <c r="Y31" s="2" t="s">
        <v>47</v>
      </c>
      <c r="Z31" s="2">
        <f t="shared" si="31"/>
        <v>0</v>
      </c>
      <c r="AA31" s="2">
        <f t="shared" si="32"/>
        <v>0</v>
      </c>
      <c r="AB31" s="2">
        <f t="shared" si="33"/>
        <v>0</v>
      </c>
      <c r="AC31" s="2">
        <f t="shared" si="34"/>
        <v>0</v>
      </c>
      <c r="AD31" s="2">
        <f t="shared" si="35"/>
        <v>0</v>
      </c>
      <c r="AE31" s="2" t="s">
        <v>47</v>
      </c>
      <c r="AF31" s="2" t="s">
        <v>47</v>
      </c>
      <c r="AG31" s="2" t="s">
        <v>47</v>
      </c>
      <c r="AH31" s="2" t="s">
        <v>7</v>
      </c>
      <c r="AI31" s="2" t="s">
        <v>7</v>
      </c>
      <c r="AJ31" s="2" t="s">
        <v>7</v>
      </c>
      <c r="AK31" s="2" t="s">
        <v>7</v>
      </c>
      <c r="AL31" s="2">
        <f t="shared" si="36"/>
        <v>4</v>
      </c>
      <c r="AM31" s="2">
        <f t="shared" si="37"/>
        <v>0</v>
      </c>
      <c r="AN31" s="2">
        <f t="shared" si="38"/>
        <v>0</v>
      </c>
      <c r="AO31" s="2">
        <f t="shared" si="39"/>
        <v>0</v>
      </c>
      <c r="AP31" s="2">
        <f t="shared" si="40"/>
        <v>0</v>
      </c>
      <c r="AQ31" s="2" t="s">
        <v>248</v>
      </c>
      <c r="AR31" s="2" t="s">
        <v>248</v>
      </c>
      <c r="AS31" s="2" t="s">
        <v>47</v>
      </c>
      <c r="AT31" s="2" t="s">
        <v>47</v>
      </c>
      <c r="AU31" s="2" t="s">
        <v>47</v>
      </c>
      <c r="AV31" s="2" t="s">
        <v>47</v>
      </c>
      <c r="AW31" s="2" t="s">
        <v>47</v>
      </c>
      <c r="AX31" s="2">
        <f t="shared" si="41"/>
        <v>0</v>
      </c>
      <c r="AY31" s="2">
        <f t="shared" si="42"/>
        <v>0</v>
      </c>
      <c r="AZ31" s="2">
        <f t="shared" si="43"/>
        <v>2</v>
      </c>
      <c r="BA31" s="2">
        <f t="shared" si="44"/>
        <v>0</v>
      </c>
      <c r="BB31" s="2">
        <f t="shared" si="45"/>
        <v>0</v>
      </c>
      <c r="BC31" s="2" t="s">
        <v>47</v>
      </c>
      <c r="BD31" s="2" t="s">
        <v>47</v>
      </c>
      <c r="BE31" s="2" t="s">
        <v>47</v>
      </c>
      <c r="BF31" s="2">
        <f t="shared" si="46"/>
        <v>0</v>
      </c>
      <c r="BG31" s="2">
        <f t="shared" si="47"/>
        <v>0</v>
      </c>
      <c r="BH31" s="2">
        <f t="shared" si="48"/>
        <v>0</v>
      </c>
      <c r="BI31" s="2">
        <f t="shared" si="49"/>
        <v>0</v>
      </c>
      <c r="BJ31" s="2">
        <f t="shared" si="50"/>
        <v>0</v>
      </c>
      <c r="BK31" s="2">
        <f t="shared" si="51"/>
        <v>4</v>
      </c>
      <c r="BL31" s="2">
        <f t="shared" si="51"/>
        <v>0</v>
      </c>
      <c r="BM31" s="2">
        <f t="shared" si="51"/>
        <v>2</v>
      </c>
      <c r="BN31" s="2">
        <f t="shared" si="52"/>
        <v>0</v>
      </c>
      <c r="BO31" s="2">
        <f t="shared" si="52"/>
        <v>0</v>
      </c>
      <c r="BP31" s="2">
        <f t="shared" si="53"/>
        <v>6</v>
      </c>
    </row>
    <row r="32" spans="1:68">
      <c r="A32" s="22">
        <f t="shared" si="54"/>
        <v>29</v>
      </c>
      <c r="B32" s="16" t="s">
        <v>106</v>
      </c>
      <c r="C32" s="18" t="s">
        <v>107</v>
      </c>
      <c r="D32" s="15" t="s">
        <v>12</v>
      </c>
      <c r="E32" s="4" t="s">
        <v>13</v>
      </c>
      <c r="F32" s="5" t="s">
        <v>14</v>
      </c>
      <c r="G32" s="2" t="s">
        <v>15</v>
      </c>
      <c r="H32" s="2" t="s">
        <v>15</v>
      </c>
      <c r="I32" s="2" t="s">
        <v>15</v>
      </c>
      <c r="J32" s="2" t="s">
        <v>15</v>
      </c>
      <c r="K32" s="2" t="s">
        <v>7</v>
      </c>
      <c r="L32" s="2" t="s">
        <v>7</v>
      </c>
      <c r="M32" s="2" t="s">
        <v>15</v>
      </c>
      <c r="N32" s="2">
        <f t="shared" si="26"/>
        <v>2</v>
      </c>
      <c r="O32" s="2">
        <f t="shared" si="27"/>
        <v>0</v>
      </c>
      <c r="P32" s="2">
        <f t="shared" si="28"/>
        <v>0</v>
      </c>
      <c r="Q32" s="2">
        <f t="shared" si="29"/>
        <v>0</v>
      </c>
      <c r="R32" s="2">
        <f t="shared" si="30"/>
        <v>0</v>
      </c>
      <c r="S32" s="2" t="s">
        <v>15</v>
      </c>
      <c r="T32" s="2" t="s">
        <v>15</v>
      </c>
      <c r="U32" s="2" t="s">
        <v>15</v>
      </c>
      <c r="V32" s="2" t="s">
        <v>15</v>
      </c>
      <c r="W32" s="2" t="s">
        <v>15</v>
      </c>
      <c r="X32" s="2" t="s">
        <v>15</v>
      </c>
      <c r="Y32" s="2" t="s">
        <v>15</v>
      </c>
      <c r="Z32" s="2">
        <f t="shared" si="31"/>
        <v>0</v>
      </c>
      <c r="AA32" s="2">
        <f t="shared" si="32"/>
        <v>0</v>
      </c>
      <c r="AB32" s="2">
        <f t="shared" si="33"/>
        <v>0</v>
      </c>
      <c r="AC32" s="2">
        <f t="shared" si="34"/>
        <v>0</v>
      </c>
      <c r="AD32" s="2">
        <f t="shared" si="35"/>
        <v>0</v>
      </c>
      <c r="AE32" s="2" t="s">
        <v>15</v>
      </c>
      <c r="AF32" s="2" t="s">
        <v>15</v>
      </c>
      <c r="AG32" s="2" t="s">
        <v>15</v>
      </c>
      <c r="AH32" s="2" t="s">
        <v>15</v>
      </c>
      <c r="AI32" s="2" t="s">
        <v>15</v>
      </c>
      <c r="AJ32" s="2" t="s">
        <v>15</v>
      </c>
      <c r="AK32" s="2" t="s">
        <v>15</v>
      </c>
      <c r="AL32" s="2">
        <f t="shared" si="36"/>
        <v>0</v>
      </c>
      <c r="AM32" s="2">
        <f t="shared" si="37"/>
        <v>0</v>
      </c>
      <c r="AN32" s="2">
        <f t="shared" si="38"/>
        <v>0</v>
      </c>
      <c r="AO32" s="2">
        <f t="shared" si="39"/>
        <v>0</v>
      </c>
      <c r="AP32" s="2">
        <f t="shared" si="40"/>
        <v>0</v>
      </c>
      <c r="AQ32" s="2" t="s">
        <v>15</v>
      </c>
      <c r="AR32" s="2" t="s">
        <v>8</v>
      </c>
      <c r="AS32" s="2" t="s">
        <v>8</v>
      </c>
      <c r="AT32" s="2" t="s">
        <v>15</v>
      </c>
      <c r="AU32" s="2" t="s">
        <v>15</v>
      </c>
      <c r="AV32" s="2" t="s">
        <v>15</v>
      </c>
      <c r="AW32" s="2" t="s">
        <v>15</v>
      </c>
      <c r="AX32" s="2">
        <f t="shared" si="41"/>
        <v>0</v>
      </c>
      <c r="AY32" s="2">
        <f t="shared" si="42"/>
        <v>2</v>
      </c>
      <c r="AZ32" s="2">
        <f t="shared" si="43"/>
        <v>0</v>
      </c>
      <c r="BA32" s="2">
        <f t="shared" si="44"/>
        <v>0</v>
      </c>
      <c r="BB32" s="2">
        <f t="shared" si="45"/>
        <v>0</v>
      </c>
      <c r="BC32" s="2" t="s">
        <v>15</v>
      </c>
      <c r="BD32" s="2" t="s">
        <v>15</v>
      </c>
      <c r="BE32" s="2" t="s">
        <v>15</v>
      </c>
      <c r="BF32" s="2">
        <f t="shared" si="46"/>
        <v>0</v>
      </c>
      <c r="BG32" s="2">
        <f t="shared" si="47"/>
        <v>0</v>
      </c>
      <c r="BH32" s="2">
        <f t="shared" si="48"/>
        <v>0</v>
      </c>
      <c r="BI32" s="2">
        <f t="shared" si="49"/>
        <v>0</v>
      </c>
      <c r="BJ32" s="2">
        <f t="shared" si="50"/>
        <v>0</v>
      </c>
      <c r="BK32" s="2">
        <f t="shared" si="51"/>
        <v>2</v>
      </c>
      <c r="BL32" s="2">
        <f t="shared" si="51"/>
        <v>2</v>
      </c>
      <c r="BM32" s="2">
        <f t="shared" si="51"/>
        <v>0</v>
      </c>
      <c r="BN32" s="2">
        <f t="shared" si="52"/>
        <v>0</v>
      </c>
      <c r="BO32" s="2">
        <f t="shared" si="52"/>
        <v>0</v>
      </c>
      <c r="BP32" s="2">
        <f t="shared" si="53"/>
        <v>4</v>
      </c>
    </row>
    <row r="33" spans="1:68">
      <c r="A33" s="22">
        <f t="shared" si="54"/>
        <v>30</v>
      </c>
      <c r="B33" s="16" t="s">
        <v>23</v>
      </c>
      <c r="C33" s="18" t="s">
        <v>24</v>
      </c>
      <c r="D33" s="15" t="s">
        <v>12</v>
      </c>
      <c r="E33" s="4" t="s">
        <v>13</v>
      </c>
      <c r="F33" s="5" t="s">
        <v>21</v>
      </c>
      <c r="G33" s="2" t="s">
        <v>22</v>
      </c>
      <c r="H33" s="2" t="s">
        <v>22</v>
      </c>
      <c r="I33" s="2" t="s">
        <v>22</v>
      </c>
      <c r="J33" s="2" t="s">
        <v>22</v>
      </c>
      <c r="K33" s="2" t="s">
        <v>22</v>
      </c>
      <c r="L33" s="2" t="s">
        <v>7</v>
      </c>
      <c r="M33" s="2" t="s">
        <v>22</v>
      </c>
      <c r="N33" s="2">
        <f t="shared" si="26"/>
        <v>1</v>
      </c>
      <c r="O33" s="2">
        <f t="shared" si="27"/>
        <v>0</v>
      </c>
      <c r="P33" s="2">
        <f t="shared" si="28"/>
        <v>0</v>
      </c>
      <c r="Q33" s="2">
        <f t="shared" si="29"/>
        <v>0</v>
      </c>
      <c r="R33" s="2">
        <f t="shared" si="30"/>
        <v>0</v>
      </c>
      <c r="S33" s="2" t="s">
        <v>22</v>
      </c>
      <c r="T33" s="2" t="s">
        <v>22</v>
      </c>
      <c r="U33" s="2" t="s">
        <v>22</v>
      </c>
      <c r="V33" s="2" t="s">
        <v>22</v>
      </c>
      <c r="W33" s="2" t="s">
        <v>22</v>
      </c>
      <c r="X33" s="2" t="s">
        <v>7</v>
      </c>
      <c r="Y33" s="2" t="s">
        <v>22</v>
      </c>
      <c r="Z33" s="2">
        <f t="shared" si="31"/>
        <v>1</v>
      </c>
      <c r="AA33" s="2">
        <f t="shared" si="32"/>
        <v>0</v>
      </c>
      <c r="AB33" s="2">
        <f t="shared" si="33"/>
        <v>0</v>
      </c>
      <c r="AC33" s="2">
        <f t="shared" si="34"/>
        <v>0</v>
      </c>
      <c r="AD33" s="2">
        <f t="shared" si="35"/>
        <v>0</v>
      </c>
      <c r="AE33" s="2" t="s">
        <v>22</v>
      </c>
      <c r="AF33" s="2" t="s">
        <v>22</v>
      </c>
      <c r="AG33" s="2" t="s">
        <v>22</v>
      </c>
      <c r="AH33" s="2" t="s">
        <v>22</v>
      </c>
      <c r="AI33" s="2" t="s">
        <v>22</v>
      </c>
      <c r="AJ33" s="2" t="s">
        <v>22</v>
      </c>
      <c r="AK33" s="2" t="s">
        <v>22</v>
      </c>
      <c r="AL33" s="2">
        <f t="shared" si="36"/>
        <v>0</v>
      </c>
      <c r="AM33" s="2">
        <f t="shared" si="37"/>
        <v>0</v>
      </c>
      <c r="AN33" s="2">
        <f t="shared" si="38"/>
        <v>0</v>
      </c>
      <c r="AO33" s="2">
        <f t="shared" si="39"/>
        <v>0</v>
      </c>
      <c r="AP33" s="2">
        <f t="shared" si="40"/>
        <v>0</v>
      </c>
      <c r="AQ33" s="2" t="s">
        <v>22</v>
      </c>
      <c r="AR33" s="2" t="s">
        <v>22</v>
      </c>
      <c r="AS33" s="2" t="s">
        <v>22</v>
      </c>
      <c r="AT33" s="2" t="s">
        <v>7</v>
      </c>
      <c r="AU33" s="2" t="s">
        <v>7</v>
      </c>
      <c r="AV33" s="2" t="s">
        <v>7</v>
      </c>
      <c r="AW33" s="2" t="s">
        <v>22</v>
      </c>
      <c r="AX33" s="2">
        <f t="shared" si="41"/>
        <v>3</v>
      </c>
      <c r="AY33" s="2">
        <f t="shared" si="42"/>
        <v>0</v>
      </c>
      <c r="AZ33" s="2">
        <f t="shared" si="43"/>
        <v>0</v>
      </c>
      <c r="BA33" s="2">
        <f t="shared" si="44"/>
        <v>0</v>
      </c>
      <c r="BB33" s="2">
        <f t="shared" si="45"/>
        <v>0</v>
      </c>
      <c r="BC33" s="2" t="s">
        <v>22</v>
      </c>
      <c r="BD33" s="2" t="s">
        <v>22</v>
      </c>
      <c r="BE33" s="2" t="s">
        <v>22</v>
      </c>
      <c r="BF33" s="2">
        <f t="shared" si="46"/>
        <v>0</v>
      </c>
      <c r="BG33" s="2">
        <f t="shared" si="47"/>
        <v>0</v>
      </c>
      <c r="BH33" s="2">
        <f t="shared" si="48"/>
        <v>0</v>
      </c>
      <c r="BI33" s="2">
        <f t="shared" si="49"/>
        <v>0</v>
      </c>
      <c r="BJ33" s="2">
        <f t="shared" si="50"/>
        <v>0</v>
      </c>
      <c r="BK33" s="2">
        <f t="shared" si="51"/>
        <v>5</v>
      </c>
      <c r="BL33" s="2">
        <f t="shared" si="51"/>
        <v>0</v>
      </c>
      <c r="BM33" s="2">
        <f t="shared" si="51"/>
        <v>0</v>
      </c>
      <c r="BN33" s="2">
        <f t="shared" si="52"/>
        <v>0</v>
      </c>
      <c r="BO33" s="2">
        <f t="shared" si="52"/>
        <v>0</v>
      </c>
      <c r="BP33" s="2">
        <f t="shared" si="53"/>
        <v>5</v>
      </c>
    </row>
    <row r="34" spans="1:68">
      <c r="A34" s="22">
        <f t="shared" si="54"/>
        <v>31</v>
      </c>
      <c r="B34" s="16" t="s">
        <v>39</v>
      </c>
      <c r="C34" s="18" t="s">
        <v>40</v>
      </c>
      <c r="D34" s="15" t="s">
        <v>12</v>
      </c>
      <c r="E34" s="4" t="s">
        <v>29</v>
      </c>
      <c r="F34" s="5" t="s">
        <v>41</v>
      </c>
      <c r="G34" s="2" t="s">
        <v>15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15</v>
      </c>
      <c r="M34" s="2" t="s">
        <v>15</v>
      </c>
      <c r="N34" s="2">
        <f t="shared" si="26"/>
        <v>0</v>
      </c>
      <c r="O34" s="2">
        <f t="shared" si="27"/>
        <v>0</v>
      </c>
      <c r="P34" s="2">
        <f t="shared" si="28"/>
        <v>0</v>
      </c>
      <c r="Q34" s="2">
        <f t="shared" si="29"/>
        <v>0</v>
      </c>
      <c r="R34" s="2">
        <f t="shared" si="30"/>
        <v>0</v>
      </c>
      <c r="S34" s="2" t="s">
        <v>15</v>
      </c>
      <c r="T34" s="2" t="s">
        <v>15</v>
      </c>
      <c r="U34" s="2" t="s">
        <v>15</v>
      </c>
      <c r="V34" s="2" t="s">
        <v>7</v>
      </c>
      <c r="W34" s="2" t="s">
        <v>15</v>
      </c>
      <c r="X34" s="2" t="s">
        <v>15</v>
      </c>
      <c r="Y34" s="2" t="s">
        <v>15</v>
      </c>
      <c r="Z34" s="2">
        <f t="shared" si="31"/>
        <v>1</v>
      </c>
      <c r="AA34" s="2">
        <f t="shared" si="32"/>
        <v>0</v>
      </c>
      <c r="AB34" s="2">
        <f t="shared" si="33"/>
        <v>0</v>
      </c>
      <c r="AC34" s="2">
        <f t="shared" si="34"/>
        <v>0</v>
      </c>
      <c r="AD34" s="2">
        <f t="shared" si="35"/>
        <v>0</v>
      </c>
      <c r="AE34" s="2" t="s">
        <v>15</v>
      </c>
      <c r="AF34" s="2" t="s">
        <v>15</v>
      </c>
      <c r="AG34" s="2" t="s">
        <v>15</v>
      </c>
      <c r="AH34" s="2" t="s">
        <v>7</v>
      </c>
      <c r="AI34" s="2" t="s">
        <v>15</v>
      </c>
      <c r="AJ34" s="2" t="s">
        <v>15</v>
      </c>
      <c r="AK34" s="2" t="s">
        <v>15</v>
      </c>
      <c r="AL34" s="2">
        <f t="shared" si="36"/>
        <v>1</v>
      </c>
      <c r="AM34" s="2">
        <f t="shared" si="37"/>
        <v>0</v>
      </c>
      <c r="AN34" s="2">
        <f t="shared" si="38"/>
        <v>0</v>
      </c>
      <c r="AO34" s="2">
        <f t="shared" si="39"/>
        <v>0</v>
      </c>
      <c r="AP34" s="2">
        <f t="shared" si="40"/>
        <v>0</v>
      </c>
      <c r="AQ34" s="2" t="s">
        <v>15</v>
      </c>
      <c r="AR34" s="2" t="s">
        <v>15</v>
      </c>
      <c r="AS34" s="2" t="s">
        <v>15</v>
      </c>
      <c r="AT34" s="2" t="s">
        <v>7</v>
      </c>
      <c r="AU34" s="2" t="s">
        <v>15</v>
      </c>
      <c r="AV34" s="2" t="s">
        <v>15</v>
      </c>
      <c r="AW34" s="2" t="s">
        <v>15</v>
      </c>
      <c r="AX34" s="2">
        <f t="shared" si="41"/>
        <v>1</v>
      </c>
      <c r="AY34" s="2">
        <f t="shared" si="42"/>
        <v>0</v>
      </c>
      <c r="AZ34" s="2">
        <f t="shared" si="43"/>
        <v>0</v>
      </c>
      <c r="BA34" s="2">
        <f t="shared" si="44"/>
        <v>0</v>
      </c>
      <c r="BB34" s="2">
        <f t="shared" si="45"/>
        <v>0</v>
      </c>
      <c r="BC34" s="2" t="s">
        <v>7</v>
      </c>
      <c r="BD34" s="2" t="s">
        <v>15</v>
      </c>
      <c r="BE34" s="2" t="s">
        <v>15</v>
      </c>
      <c r="BF34" s="2">
        <f t="shared" si="46"/>
        <v>1</v>
      </c>
      <c r="BG34" s="2">
        <f t="shared" si="47"/>
        <v>0</v>
      </c>
      <c r="BH34" s="2">
        <f t="shared" si="48"/>
        <v>0</v>
      </c>
      <c r="BI34" s="2">
        <f t="shared" si="49"/>
        <v>0</v>
      </c>
      <c r="BJ34" s="2">
        <f t="shared" si="50"/>
        <v>0</v>
      </c>
      <c r="BK34" s="2">
        <f t="shared" si="51"/>
        <v>4</v>
      </c>
      <c r="BL34" s="2">
        <f t="shared" si="51"/>
        <v>0</v>
      </c>
      <c r="BM34" s="2">
        <f t="shared" si="51"/>
        <v>0</v>
      </c>
      <c r="BN34" s="2">
        <f t="shared" si="52"/>
        <v>0</v>
      </c>
      <c r="BO34" s="2">
        <f t="shared" si="52"/>
        <v>0</v>
      </c>
      <c r="BP34" s="2">
        <f t="shared" si="53"/>
        <v>4</v>
      </c>
    </row>
    <row r="35" spans="1:68">
      <c r="A35" s="22">
        <f t="shared" si="54"/>
        <v>32</v>
      </c>
      <c r="B35" s="16" t="s">
        <v>76</v>
      </c>
      <c r="C35" s="18" t="s">
        <v>77</v>
      </c>
      <c r="D35" s="15" t="s">
        <v>12</v>
      </c>
      <c r="E35" s="4" t="s">
        <v>13</v>
      </c>
      <c r="F35" s="5" t="s">
        <v>78</v>
      </c>
      <c r="G35" s="2" t="s">
        <v>47</v>
      </c>
      <c r="H35" s="2" t="s">
        <v>47</v>
      </c>
      <c r="I35" s="2" t="s">
        <v>47</v>
      </c>
      <c r="J35" s="2" t="s">
        <v>47</v>
      </c>
      <c r="K35" s="2" t="s">
        <v>47</v>
      </c>
      <c r="L35" s="2" t="s">
        <v>7</v>
      </c>
      <c r="M35" s="2" t="s">
        <v>7</v>
      </c>
      <c r="N35" s="2">
        <f t="shared" ref="N35:N61" si="55">COUNTIF($G35:$M35,"Agent Choice WO")</f>
        <v>2</v>
      </c>
      <c r="O35" s="2">
        <f t="shared" ref="O35:O61" si="56">COUNTIF($G35:$M35,"TL Choice WO")</f>
        <v>0</v>
      </c>
      <c r="P35" s="2">
        <f t="shared" ref="P35:P61" si="57">COUNTIF($G35:$M35,"CL")</f>
        <v>0</v>
      </c>
      <c r="Q35" s="2">
        <f t="shared" ref="Q35:Q61" si="58">COUNTIF($G35:$M35,"HD")</f>
        <v>0</v>
      </c>
      <c r="R35" s="2">
        <f t="shared" ref="R35:R61" si="59">COUNTIF($G35:$M35,"LP")</f>
        <v>0</v>
      </c>
      <c r="S35" s="2" t="s">
        <v>47</v>
      </c>
      <c r="T35" s="2" t="s">
        <v>47</v>
      </c>
      <c r="U35" s="2" t="s">
        <v>47</v>
      </c>
      <c r="V35" s="2" t="s">
        <v>47</v>
      </c>
      <c r="W35" s="2" t="s">
        <v>47</v>
      </c>
      <c r="X35" s="2" t="s">
        <v>47</v>
      </c>
      <c r="Y35" s="2" t="s">
        <v>47</v>
      </c>
      <c r="Z35" s="2">
        <f t="shared" ref="Z35:Z61" si="60">COUNTIF($S35:$Y35,"Agent Choice WO")</f>
        <v>0</v>
      </c>
      <c r="AA35" s="2">
        <f t="shared" ref="AA35:AA61" si="61">COUNTIF($S35:$Y35,"TL Choice WO")</f>
        <v>0</v>
      </c>
      <c r="AB35" s="2">
        <f t="shared" ref="AB35:AB61" si="62">COUNTIF($S35:$Y35,"CL")</f>
        <v>0</v>
      </c>
      <c r="AC35" s="2">
        <f t="shared" ref="AC35:AC61" si="63">COUNTIF($S35:$Y35,"HD")</f>
        <v>0</v>
      </c>
      <c r="AD35" s="2">
        <f t="shared" ref="AD35:AD61" si="64">COUNTIF($S35:$Y35,"LP")</f>
        <v>0</v>
      </c>
      <c r="AE35" s="2" t="s">
        <v>47</v>
      </c>
      <c r="AF35" s="2" t="s">
        <v>7</v>
      </c>
      <c r="AG35" s="2" t="s">
        <v>47</v>
      </c>
      <c r="AH35" s="2" t="s">
        <v>47</v>
      </c>
      <c r="AI35" s="2" t="s">
        <v>47</v>
      </c>
      <c r="AJ35" s="2" t="s">
        <v>47</v>
      </c>
      <c r="AK35" s="2" t="s">
        <v>47</v>
      </c>
      <c r="AL35" s="2">
        <f t="shared" ref="AL35:AL61" si="65">COUNTIF($AE35:$AK35,"Agent Choice WO")</f>
        <v>1</v>
      </c>
      <c r="AM35" s="2">
        <f t="shared" ref="AM35:AM60" si="66">COUNTIF($AE35:$AK35,"TL Choice WO")</f>
        <v>0</v>
      </c>
      <c r="AN35" s="2">
        <f t="shared" ref="AN35:AN60" si="67">COUNTIF($AE35:$AK35,"CL")</f>
        <v>0</v>
      </c>
      <c r="AO35" s="2">
        <f t="shared" ref="AO35:AO60" si="68">COUNTIF($AE35:$AK35,"HD")</f>
        <v>0</v>
      </c>
      <c r="AP35" s="2">
        <f t="shared" ref="AP35:AP60" si="69">COUNTIF($AE35:$AK35,"LP")</f>
        <v>0</v>
      </c>
      <c r="AQ35" s="2" t="s">
        <v>47</v>
      </c>
      <c r="AR35" s="2" t="s">
        <v>47</v>
      </c>
      <c r="AS35" s="2" t="s">
        <v>47</v>
      </c>
      <c r="AT35" s="2" t="s">
        <v>47</v>
      </c>
      <c r="AU35" s="2" t="s">
        <v>7</v>
      </c>
      <c r="AV35" s="2" t="s">
        <v>47</v>
      </c>
      <c r="AW35" s="2" t="s">
        <v>47</v>
      </c>
      <c r="AX35" s="2">
        <f t="shared" ref="AX35:AX61" si="70">COUNTIF($AQ35:$AW35,"Agent Choice WO")</f>
        <v>1</v>
      </c>
      <c r="AY35" s="2">
        <f t="shared" ref="AY35:AY61" si="71">COUNTIF($AQ35:$AW35,"TL Choice WO")</f>
        <v>0</v>
      </c>
      <c r="AZ35" s="2">
        <f t="shared" ref="AZ35:AZ61" si="72">COUNTIF($AQ35:$AW35,"CL")</f>
        <v>0</v>
      </c>
      <c r="BA35" s="2">
        <f t="shared" ref="BA35:BA61" si="73">COUNTIF($AQ35:$AW35,"HD")</f>
        <v>0</v>
      </c>
      <c r="BB35" s="2">
        <f t="shared" ref="BB35:BB61" si="74">COUNTIF($AQ35:$AW35,"LP")</f>
        <v>0</v>
      </c>
      <c r="BC35" s="2" t="s">
        <v>47</v>
      </c>
      <c r="BD35" s="2" t="s">
        <v>47</v>
      </c>
      <c r="BE35" s="2" t="s">
        <v>47</v>
      </c>
      <c r="BF35" s="2">
        <f t="shared" ref="BF35:BF61" si="75">COUNTIF($BC35:$BE35,"Agent Choice WO")</f>
        <v>0</v>
      </c>
      <c r="BG35" s="2">
        <f t="shared" ref="BG35:BG61" si="76">COUNTIF($BC35:$BE35,"TL Choice WO")</f>
        <v>0</v>
      </c>
      <c r="BH35" s="2">
        <f t="shared" ref="BH35:BH61" si="77">COUNTIF($BC35:$BE35,"CL")</f>
        <v>0</v>
      </c>
      <c r="BI35" s="2">
        <f t="shared" ref="BI35:BI61" si="78">COUNTIF($BC35:$BE35,"HD")</f>
        <v>0</v>
      </c>
      <c r="BJ35" s="2">
        <f t="shared" ref="BJ35:BJ61" si="79">COUNTIF($BC35:$BE35,"LP")</f>
        <v>0</v>
      </c>
      <c r="BK35" s="2">
        <f t="shared" si="51"/>
        <v>4</v>
      </c>
      <c r="BL35" s="2">
        <f t="shared" si="51"/>
        <v>0</v>
      </c>
      <c r="BM35" s="2">
        <f t="shared" si="51"/>
        <v>0</v>
      </c>
      <c r="BN35" s="2">
        <f t="shared" si="52"/>
        <v>0</v>
      </c>
      <c r="BO35" s="2">
        <f t="shared" si="52"/>
        <v>0</v>
      </c>
      <c r="BP35" s="2">
        <f t="shared" si="53"/>
        <v>4</v>
      </c>
    </row>
    <row r="36" spans="1:68">
      <c r="A36" s="22">
        <f t="shared" si="54"/>
        <v>33</v>
      </c>
      <c r="B36" s="16" t="s">
        <v>44</v>
      </c>
      <c r="C36" s="18" t="s">
        <v>45</v>
      </c>
      <c r="D36" s="15" t="s">
        <v>12</v>
      </c>
      <c r="E36" s="4" t="s">
        <v>13</v>
      </c>
      <c r="F36" s="5" t="s">
        <v>46</v>
      </c>
      <c r="G36" s="2" t="s">
        <v>47</v>
      </c>
      <c r="H36" s="2" t="s">
        <v>47</v>
      </c>
      <c r="I36" s="2" t="s">
        <v>47</v>
      </c>
      <c r="J36" s="2" t="s">
        <v>7</v>
      </c>
      <c r="K36" s="2" t="s">
        <v>7</v>
      </c>
      <c r="L36" s="2" t="s">
        <v>7</v>
      </c>
      <c r="M36" s="2" t="s">
        <v>47</v>
      </c>
      <c r="N36" s="2">
        <f t="shared" si="55"/>
        <v>3</v>
      </c>
      <c r="O36" s="2">
        <f t="shared" si="56"/>
        <v>0</v>
      </c>
      <c r="P36" s="2">
        <f t="shared" si="57"/>
        <v>0</v>
      </c>
      <c r="Q36" s="2">
        <f t="shared" si="58"/>
        <v>0</v>
      </c>
      <c r="R36" s="2">
        <f t="shared" si="59"/>
        <v>0</v>
      </c>
      <c r="S36" s="2" t="s">
        <v>47</v>
      </c>
      <c r="T36" s="2" t="s">
        <v>47</v>
      </c>
      <c r="U36" s="2" t="s">
        <v>47</v>
      </c>
      <c r="V36" s="2" t="s">
        <v>47</v>
      </c>
      <c r="W36" s="2" t="s">
        <v>7</v>
      </c>
      <c r="X36" s="2" t="s">
        <v>7</v>
      </c>
      <c r="Y36" s="2" t="s">
        <v>47</v>
      </c>
      <c r="Z36" s="2">
        <f t="shared" si="60"/>
        <v>2</v>
      </c>
      <c r="AA36" s="2">
        <f t="shared" si="61"/>
        <v>0</v>
      </c>
      <c r="AB36" s="2">
        <f t="shared" si="62"/>
        <v>0</v>
      </c>
      <c r="AC36" s="2">
        <f t="shared" si="63"/>
        <v>0</v>
      </c>
      <c r="AD36" s="2">
        <f t="shared" si="64"/>
        <v>0</v>
      </c>
      <c r="AE36" s="2" t="s">
        <v>47</v>
      </c>
      <c r="AF36" s="2" t="s">
        <v>47</v>
      </c>
      <c r="AG36" s="2" t="s">
        <v>47</v>
      </c>
      <c r="AH36" s="2" t="s">
        <v>47</v>
      </c>
      <c r="AI36" s="2" t="s">
        <v>47</v>
      </c>
      <c r="AJ36" s="2" t="s">
        <v>7</v>
      </c>
      <c r="AK36" s="2" t="s">
        <v>47</v>
      </c>
      <c r="AL36" s="2">
        <f t="shared" si="65"/>
        <v>1</v>
      </c>
      <c r="AM36" s="2">
        <f t="shared" si="66"/>
        <v>0</v>
      </c>
      <c r="AN36" s="2">
        <f t="shared" si="67"/>
        <v>0</v>
      </c>
      <c r="AO36" s="2">
        <f t="shared" si="68"/>
        <v>0</v>
      </c>
      <c r="AP36" s="2">
        <f t="shared" si="69"/>
        <v>0</v>
      </c>
      <c r="AQ36" s="2" t="s">
        <v>47</v>
      </c>
      <c r="AR36" s="2" t="s">
        <v>47</v>
      </c>
      <c r="AS36" s="2" t="s">
        <v>47</v>
      </c>
      <c r="AT36" s="2" t="s">
        <v>47</v>
      </c>
      <c r="AU36" s="2" t="s">
        <v>47</v>
      </c>
      <c r="AV36" s="2" t="s">
        <v>7</v>
      </c>
      <c r="AW36" s="2" t="s">
        <v>47</v>
      </c>
      <c r="AX36" s="2">
        <f t="shared" si="70"/>
        <v>1</v>
      </c>
      <c r="AY36" s="2">
        <f t="shared" si="71"/>
        <v>0</v>
      </c>
      <c r="AZ36" s="2">
        <f t="shared" si="72"/>
        <v>0</v>
      </c>
      <c r="BA36" s="2">
        <f t="shared" si="73"/>
        <v>0</v>
      </c>
      <c r="BB36" s="2">
        <f t="shared" si="74"/>
        <v>0</v>
      </c>
      <c r="BC36" s="2" t="s">
        <v>47</v>
      </c>
      <c r="BD36" s="2" t="s">
        <v>47</v>
      </c>
      <c r="BE36" s="2" t="s">
        <v>47</v>
      </c>
      <c r="BF36" s="2">
        <f t="shared" si="75"/>
        <v>0</v>
      </c>
      <c r="BG36" s="2">
        <f t="shared" si="76"/>
        <v>0</v>
      </c>
      <c r="BH36" s="2">
        <f t="shared" si="77"/>
        <v>0</v>
      </c>
      <c r="BI36" s="2">
        <f t="shared" si="78"/>
        <v>0</v>
      </c>
      <c r="BJ36" s="2">
        <f t="shared" si="79"/>
        <v>0</v>
      </c>
      <c r="BK36" s="2">
        <f t="shared" si="51"/>
        <v>7</v>
      </c>
      <c r="BL36" s="2">
        <f t="shared" si="51"/>
        <v>0</v>
      </c>
      <c r="BM36" s="2">
        <f t="shared" si="51"/>
        <v>0</v>
      </c>
      <c r="BN36" s="2">
        <f t="shared" ref="BN36:BO61" si="80">SUMIFS($A36:$BJ36,$A$3:$BJ$3,BN$3)</f>
        <v>0</v>
      </c>
      <c r="BO36" s="2">
        <f t="shared" si="80"/>
        <v>0</v>
      </c>
      <c r="BP36" s="2">
        <f t="shared" si="53"/>
        <v>7</v>
      </c>
    </row>
    <row r="37" spans="1:68">
      <c r="A37" s="22">
        <f t="shared" si="54"/>
        <v>34</v>
      </c>
      <c r="B37" s="16" t="s">
        <v>90</v>
      </c>
      <c r="C37" s="18" t="s">
        <v>91</v>
      </c>
      <c r="D37" s="15" t="s">
        <v>12</v>
      </c>
      <c r="E37" s="4" t="s">
        <v>13</v>
      </c>
      <c r="F37" s="5" t="s">
        <v>14</v>
      </c>
      <c r="G37" s="2" t="s">
        <v>15</v>
      </c>
      <c r="H37" s="2" t="s">
        <v>15</v>
      </c>
      <c r="I37" s="2" t="s">
        <v>15</v>
      </c>
      <c r="J37" s="2" t="s">
        <v>15</v>
      </c>
      <c r="K37" s="2" t="s">
        <v>15</v>
      </c>
      <c r="L37" s="2" t="s">
        <v>15</v>
      </c>
      <c r="M37" s="2" t="s">
        <v>15</v>
      </c>
      <c r="N37" s="2">
        <f t="shared" si="55"/>
        <v>0</v>
      </c>
      <c r="O37" s="2">
        <f t="shared" si="56"/>
        <v>0</v>
      </c>
      <c r="P37" s="2">
        <f t="shared" si="57"/>
        <v>0</v>
      </c>
      <c r="Q37" s="2">
        <f t="shared" si="58"/>
        <v>0</v>
      </c>
      <c r="R37" s="2">
        <f t="shared" si="59"/>
        <v>0</v>
      </c>
      <c r="S37" s="2" t="s">
        <v>7</v>
      </c>
      <c r="T37" s="2" t="s">
        <v>7</v>
      </c>
      <c r="U37" s="2" t="s">
        <v>7</v>
      </c>
      <c r="V37" s="2" t="s">
        <v>7</v>
      </c>
      <c r="W37" s="2" t="s">
        <v>15</v>
      </c>
      <c r="X37" s="2" t="s">
        <v>15</v>
      </c>
      <c r="Y37" s="2" t="s">
        <v>15</v>
      </c>
      <c r="Z37" s="2">
        <f t="shared" si="60"/>
        <v>4</v>
      </c>
      <c r="AA37" s="2">
        <f t="shared" si="61"/>
        <v>0</v>
      </c>
      <c r="AB37" s="2">
        <f t="shared" si="62"/>
        <v>0</v>
      </c>
      <c r="AC37" s="2">
        <f t="shared" si="63"/>
        <v>0</v>
      </c>
      <c r="AD37" s="2">
        <f t="shared" si="64"/>
        <v>0</v>
      </c>
      <c r="AE37" s="2" t="s">
        <v>15</v>
      </c>
      <c r="AF37" s="2" t="s">
        <v>15</v>
      </c>
      <c r="AG37" s="2" t="s">
        <v>15</v>
      </c>
      <c r="AH37" s="2" t="s">
        <v>15</v>
      </c>
      <c r="AI37" s="2" t="s">
        <v>15</v>
      </c>
      <c r="AJ37" s="2" t="s">
        <v>15</v>
      </c>
      <c r="AK37" s="2" t="s">
        <v>15</v>
      </c>
      <c r="AL37" s="2">
        <f t="shared" si="65"/>
        <v>0</v>
      </c>
      <c r="AM37" s="2">
        <f t="shared" si="66"/>
        <v>0</v>
      </c>
      <c r="AN37" s="2">
        <f t="shared" si="67"/>
        <v>0</v>
      </c>
      <c r="AO37" s="2">
        <f>AQ75</f>
        <v>0</v>
      </c>
      <c r="AP37" s="2">
        <f t="shared" si="69"/>
        <v>0</v>
      </c>
      <c r="AQ37" s="2" t="s">
        <v>15</v>
      </c>
      <c r="AR37" s="2" t="s">
        <v>15</v>
      </c>
      <c r="AS37" s="2" t="s">
        <v>15</v>
      </c>
      <c r="AT37" s="2" t="s">
        <v>15</v>
      </c>
      <c r="AU37" s="2" t="s">
        <v>15</v>
      </c>
      <c r="AV37" s="2" t="s">
        <v>15</v>
      </c>
      <c r="AW37" s="2" t="s">
        <v>15</v>
      </c>
      <c r="AX37" s="2">
        <f>COUNTIF($AQ37:$AW37,"Agent Choice WO")</f>
        <v>0</v>
      </c>
      <c r="AY37" s="2">
        <f>COUNTIF($AQ37:$AW37,"TL Choice WO")</f>
        <v>0</v>
      </c>
      <c r="AZ37" s="2">
        <f>COUNTIF($AQ37:$AW37,"CL")</f>
        <v>0</v>
      </c>
      <c r="BA37" s="2">
        <f>COUNTIF($AQ37:$AW37,"HD")</f>
        <v>0</v>
      </c>
      <c r="BB37" s="2">
        <f>COUNTIF($AQ37:$AW37,"LP")</f>
        <v>0</v>
      </c>
      <c r="BC37" s="2" t="s">
        <v>15</v>
      </c>
      <c r="BD37" s="2" t="s">
        <v>7</v>
      </c>
      <c r="BE37" s="2" t="s">
        <v>15</v>
      </c>
      <c r="BF37" s="2">
        <f t="shared" si="75"/>
        <v>1</v>
      </c>
      <c r="BG37" s="2">
        <f t="shared" si="76"/>
        <v>0</v>
      </c>
      <c r="BH37" s="2">
        <f t="shared" si="77"/>
        <v>0</v>
      </c>
      <c r="BI37" s="2">
        <f t="shared" si="78"/>
        <v>0</v>
      </c>
      <c r="BJ37" s="2">
        <f t="shared" si="79"/>
        <v>0</v>
      </c>
      <c r="BK37" s="2">
        <f t="shared" si="51"/>
        <v>5</v>
      </c>
      <c r="BL37" s="2">
        <f t="shared" si="51"/>
        <v>0</v>
      </c>
      <c r="BM37" s="2">
        <f t="shared" si="51"/>
        <v>0</v>
      </c>
      <c r="BN37" s="2">
        <f t="shared" si="80"/>
        <v>0</v>
      </c>
      <c r="BO37" s="2">
        <f t="shared" si="80"/>
        <v>0</v>
      </c>
      <c r="BP37" s="2">
        <f t="shared" si="53"/>
        <v>5</v>
      </c>
    </row>
    <row r="38" spans="1:68">
      <c r="A38" s="2" t="s">
        <v>15</v>
      </c>
      <c r="B38" s="16" t="s">
        <v>94</v>
      </c>
      <c r="C38" s="18" t="s">
        <v>95</v>
      </c>
      <c r="D38" s="15" t="s">
        <v>12</v>
      </c>
      <c r="E38" s="4" t="s">
        <v>13</v>
      </c>
      <c r="F38" s="5" t="s">
        <v>14</v>
      </c>
      <c r="G38" s="2" t="s">
        <v>15</v>
      </c>
      <c r="H38" s="2" t="s">
        <v>15</v>
      </c>
      <c r="I38" s="2" t="s">
        <v>15</v>
      </c>
      <c r="J38" s="2" t="s">
        <v>15</v>
      </c>
      <c r="K38" s="2" t="s">
        <v>15</v>
      </c>
      <c r="L38" s="2" t="s">
        <v>15</v>
      </c>
      <c r="M38" s="2" t="s">
        <v>15</v>
      </c>
      <c r="N38" s="2">
        <f t="shared" si="55"/>
        <v>0</v>
      </c>
      <c r="O38" s="2">
        <f t="shared" si="56"/>
        <v>0</v>
      </c>
      <c r="P38" s="2">
        <f t="shared" si="57"/>
        <v>0</v>
      </c>
      <c r="Q38" s="2">
        <f t="shared" si="58"/>
        <v>0</v>
      </c>
      <c r="R38" s="2">
        <f t="shared" si="59"/>
        <v>0</v>
      </c>
      <c r="S38" s="2" t="s">
        <v>7</v>
      </c>
      <c r="T38" s="2" t="s">
        <v>15</v>
      </c>
      <c r="U38" s="2" t="s">
        <v>15</v>
      </c>
      <c r="V38" s="2" t="s">
        <v>15</v>
      </c>
      <c r="W38" s="2" t="s">
        <v>15</v>
      </c>
      <c r="X38" s="2" t="s">
        <v>15</v>
      </c>
      <c r="Y38" s="2" t="s">
        <v>15</v>
      </c>
      <c r="Z38" s="2">
        <f t="shared" si="60"/>
        <v>1</v>
      </c>
      <c r="AA38" s="2">
        <f t="shared" si="61"/>
        <v>0</v>
      </c>
      <c r="AB38" s="2">
        <f t="shared" si="62"/>
        <v>0</v>
      </c>
      <c r="AC38" s="2">
        <f t="shared" si="63"/>
        <v>0</v>
      </c>
      <c r="AD38" s="2">
        <f t="shared" si="64"/>
        <v>0</v>
      </c>
      <c r="AE38" s="2" t="s">
        <v>15</v>
      </c>
      <c r="AF38" s="2" t="s">
        <v>7</v>
      </c>
      <c r="AG38" s="2" t="s">
        <v>15</v>
      </c>
      <c r="AH38" s="2" t="s">
        <v>15</v>
      </c>
      <c r="AI38" s="2" t="s">
        <v>15</v>
      </c>
      <c r="AJ38" s="2" t="s">
        <v>15</v>
      </c>
      <c r="AK38" s="2" t="s">
        <v>15</v>
      </c>
      <c r="AL38" s="2">
        <f t="shared" si="65"/>
        <v>1</v>
      </c>
      <c r="AM38" s="2">
        <f t="shared" si="66"/>
        <v>0</v>
      </c>
      <c r="AN38" s="2">
        <f t="shared" si="67"/>
        <v>0</v>
      </c>
      <c r="AO38" s="2">
        <f t="shared" si="68"/>
        <v>0</v>
      </c>
      <c r="AP38" s="2">
        <f t="shared" si="69"/>
        <v>0</v>
      </c>
      <c r="AQ38" s="2" t="s">
        <v>15</v>
      </c>
      <c r="AR38" s="2" t="s">
        <v>15</v>
      </c>
      <c r="AS38" s="2" t="s">
        <v>15</v>
      </c>
      <c r="AT38" s="2" t="s">
        <v>15</v>
      </c>
      <c r="AU38" s="2" t="s">
        <v>7</v>
      </c>
      <c r="AV38" s="2" t="s">
        <v>15</v>
      </c>
      <c r="AW38" s="2" t="s">
        <v>15</v>
      </c>
      <c r="AX38" s="2">
        <f t="shared" si="70"/>
        <v>1</v>
      </c>
      <c r="AY38" s="2">
        <f t="shared" si="71"/>
        <v>0</v>
      </c>
      <c r="AZ38" s="2">
        <f t="shared" si="72"/>
        <v>0</v>
      </c>
      <c r="BA38" s="2">
        <f t="shared" si="73"/>
        <v>0</v>
      </c>
      <c r="BB38" s="2">
        <f t="shared" si="74"/>
        <v>0</v>
      </c>
      <c r="BC38" s="2" t="s">
        <v>7</v>
      </c>
      <c r="BD38" s="2" t="s">
        <v>15</v>
      </c>
      <c r="BE38" s="2" t="s">
        <v>15</v>
      </c>
      <c r="BF38" s="2">
        <f t="shared" si="75"/>
        <v>1</v>
      </c>
      <c r="BG38" s="2">
        <f t="shared" si="76"/>
        <v>0</v>
      </c>
      <c r="BH38" s="2">
        <f t="shared" si="77"/>
        <v>0</v>
      </c>
      <c r="BI38" s="2">
        <f t="shared" si="78"/>
        <v>0</v>
      </c>
      <c r="BJ38" s="2">
        <f t="shared" si="79"/>
        <v>0</v>
      </c>
      <c r="BK38" s="2">
        <f t="shared" si="51"/>
        <v>4</v>
      </c>
      <c r="BL38" s="2">
        <f t="shared" si="51"/>
        <v>0</v>
      </c>
      <c r="BM38" s="2">
        <f t="shared" si="51"/>
        <v>0</v>
      </c>
      <c r="BN38" s="2">
        <f t="shared" si="80"/>
        <v>0</v>
      </c>
      <c r="BO38" s="2">
        <f t="shared" si="80"/>
        <v>0</v>
      </c>
      <c r="BP38" s="2">
        <f t="shared" si="53"/>
        <v>4</v>
      </c>
    </row>
    <row r="39" spans="1:68">
      <c r="A39" s="22" t="e">
        <f t="shared" si="54"/>
        <v>#VALUE!</v>
      </c>
      <c r="B39" s="16" t="s">
        <v>116</v>
      </c>
      <c r="C39" s="18" t="s">
        <v>117</v>
      </c>
      <c r="D39" s="15" t="s">
        <v>12</v>
      </c>
      <c r="E39" s="4" t="s">
        <v>13</v>
      </c>
      <c r="F39" s="5" t="s">
        <v>14</v>
      </c>
      <c r="G39" s="2" t="s">
        <v>15</v>
      </c>
      <c r="H39" s="2" t="s">
        <v>15</v>
      </c>
      <c r="I39" s="2" t="s">
        <v>15</v>
      </c>
      <c r="J39" s="2" t="s">
        <v>15</v>
      </c>
      <c r="K39" s="2" t="s">
        <v>15</v>
      </c>
      <c r="L39" s="2" t="s">
        <v>15</v>
      </c>
      <c r="M39" s="2" t="s">
        <v>15</v>
      </c>
      <c r="N39" s="2">
        <f t="shared" si="55"/>
        <v>0</v>
      </c>
      <c r="O39" s="2">
        <f t="shared" si="56"/>
        <v>0</v>
      </c>
      <c r="P39" s="2">
        <f t="shared" si="57"/>
        <v>0</v>
      </c>
      <c r="Q39" s="2">
        <f t="shared" si="58"/>
        <v>0</v>
      </c>
      <c r="R39" s="2">
        <f t="shared" si="59"/>
        <v>0</v>
      </c>
      <c r="S39" s="2" t="s">
        <v>7</v>
      </c>
      <c r="T39" s="2" t="s">
        <v>15</v>
      </c>
      <c r="U39" s="2" t="s">
        <v>15</v>
      </c>
      <c r="V39" s="2" t="s">
        <v>15</v>
      </c>
      <c r="W39" s="2" t="s">
        <v>15</v>
      </c>
      <c r="X39" s="2" t="s">
        <v>15</v>
      </c>
      <c r="Y39" s="2" t="s">
        <v>15</v>
      </c>
      <c r="Z39" s="2">
        <f t="shared" si="60"/>
        <v>1</v>
      </c>
      <c r="AA39" s="2">
        <f t="shared" si="61"/>
        <v>0</v>
      </c>
      <c r="AB39" s="2">
        <f t="shared" si="62"/>
        <v>0</v>
      </c>
      <c r="AC39" s="2">
        <f t="shared" si="63"/>
        <v>0</v>
      </c>
      <c r="AD39" s="2">
        <f t="shared" si="64"/>
        <v>0</v>
      </c>
      <c r="AE39" s="2" t="s">
        <v>15</v>
      </c>
      <c r="AF39" s="2" t="s">
        <v>15</v>
      </c>
      <c r="AG39" s="2" t="s">
        <v>15</v>
      </c>
      <c r="AH39" s="2" t="s">
        <v>15</v>
      </c>
      <c r="AI39" s="2" t="s">
        <v>7</v>
      </c>
      <c r="AJ39" s="2" t="s">
        <v>15</v>
      </c>
      <c r="AK39" s="2" t="s">
        <v>15</v>
      </c>
      <c r="AL39" s="2">
        <f t="shared" si="65"/>
        <v>1</v>
      </c>
      <c r="AM39" s="2">
        <f t="shared" si="66"/>
        <v>0</v>
      </c>
      <c r="AN39" s="2">
        <f t="shared" si="67"/>
        <v>0</v>
      </c>
      <c r="AO39" s="2">
        <f t="shared" si="68"/>
        <v>0</v>
      </c>
      <c r="AP39" s="2">
        <f t="shared" si="69"/>
        <v>0</v>
      </c>
      <c r="AQ39" s="2" t="s">
        <v>15</v>
      </c>
      <c r="AR39" s="2" t="s">
        <v>15</v>
      </c>
      <c r="AS39" s="2" t="s">
        <v>15</v>
      </c>
      <c r="AT39" s="2" t="s">
        <v>15</v>
      </c>
      <c r="AU39" s="2" t="s">
        <v>15</v>
      </c>
      <c r="AV39" s="2" t="s">
        <v>15</v>
      </c>
      <c r="AW39" s="2" t="s">
        <v>7</v>
      </c>
      <c r="AX39" s="2">
        <f t="shared" si="70"/>
        <v>1</v>
      </c>
      <c r="AY39" s="2">
        <f t="shared" si="71"/>
        <v>0</v>
      </c>
      <c r="AZ39" s="2">
        <f t="shared" si="72"/>
        <v>0</v>
      </c>
      <c r="BA39" s="2">
        <f t="shared" si="73"/>
        <v>0</v>
      </c>
      <c r="BB39" s="2">
        <f t="shared" si="74"/>
        <v>0</v>
      </c>
      <c r="BC39" s="2" t="s">
        <v>7</v>
      </c>
      <c r="BD39" s="2" t="s">
        <v>248</v>
      </c>
      <c r="BE39" s="2" t="s">
        <v>15</v>
      </c>
      <c r="BF39" s="2">
        <f t="shared" si="75"/>
        <v>1</v>
      </c>
      <c r="BG39" s="2">
        <f t="shared" si="76"/>
        <v>0</v>
      </c>
      <c r="BH39" s="2">
        <f t="shared" si="77"/>
        <v>1</v>
      </c>
      <c r="BI39" s="2">
        <f t="shared" si="78"/>
        <v>0</v>
      </c>
      <c r="BJ39" s="2">
        <f t="shared" si="79"/>
        <v>0</v>
      </c>
      <c r="BK39" s="2">
        <f t="shared" si="51"/>
        <v>4</v>
      </c>
      <c r="BL39" s="2">
        <f t="shared" si="51"/>
        <v>0</v>
      </c>
      <c r="BM39" s="2">
        <f t="shared" si="51"/>
        <v>1</v>
      </c>
      <c r="BN39" s="2">
        <f t="shared" si="80"/>
        <v>0</v>
      </c>
      <c r="BO39" s="2">
        <f t="shared" si="80"/>
        <v>0</v>
      </c>
      <c r="BP39" s="2">
        <f t="shared" si="53"/>
        <v>5</v>
      </c>
    </row>
    <row r="40" spans="1:68">
      <c r="A40" s="22" t="e">
        <f t="shared" si="54"/>
        <v>#VALUE!</v>
      </c>
      <c r="B40" s="16" t="s">
        <v>127</v>
      </c>
      <c r="C40" s="18" t="s">
        <v>128</v>
      </c>
      <c r="D40" s="15" t="s">
        <v>12</v>
      </c>
      <c r="E40" s="4" t="s">
        <v>13</v>
      </c>
      <c r="F40" s="5" t="s">
        <v>14</v>
      </c>
      <c r="G40" s="2" t="s">
        <v>15</v>
      </c>
      <c r="H40" s="2" t="s">
        <v>15</v>
      </c>
      <c r="I40" s="2" t="s">
        <v>15</v>
      </c>
      <c r="J40" s="2" t="s">
        <v>15</v>
      </c>
      <c r="K40" s="24" t="s">
        <v>15</v>
      </c>
      <c r="L40" s="2" t="s">
        <v>7</v>
      </c>
      <c r="M40" s="2" t="s">
        <v>15</v>
      </c>
      <c r="N40" s="2">
        <f t="shared" si="55"/>
        <v>1</v>
      </c>
      <c r="O40" s="2">
        <f t="shared" si="56"/>
        <v>0</v>
      </c>
      <c r="P40" s="2">
        <f t="shared" si="57"/>
        <v>0</v>
      </c>
      <c r="Q40" s="2">
        <f t="shared" si="58"/>
        <v>0</v>
      </c>
      <c r="R40" s="2">
        <f t="shared" si="59"/>
        <v>0</v>
      </c>
      <c r="S40" s="2" t="s">
        <v>15</v>
      </c>
      <c r="T40" s="2" t="s">
        <v>15</v>
      </c>
      <c r="U40" s="2" t="s">
        <v>15</v>
      </c>
      <c r="V40" s="2" t="s">
        <v>15</v>
      </c>
      <c r="W40" s="2" t="s">
        <v>7</v>
      </c>
      <c r="X40" s="2" t="s">
        <v>15</v>
      </c>
      <c r="Y40" s="2" t="s">
        <v>15</v>
      </c>
      <c r="Z40" s="2">
        <f t="shared" si="60"/>
        <v>1</v>
      </c>
      <c r="AA40" s="2">
        <f t="shared" si="61"/>
        <v>0</v>
      </c>
      <c r="AB40" s="2">
        <f t="shared" si="62"/>
        <v>0</v>
      </c>
      <c r="AC40" s="2">
        <f t="shared" si="63"/>
        <v>0</v>
      </c>
      <c r="AD40" s="2">
        <f t="shared" si="64"/>
        <v>0</v>
      </c>
      <c r="AE40" s="2" t="s">
        <v>15</v>
      </c>
      <c r="AF40" s="2" t="s">
        <v>7</v>
      </c>
      <c r="AG40" s="2" t="s">
        <v>15</v>
      </c>
      <c r="AH40" s="2" t="s">
        <v>15</v>
      </c>
      <c r="AI40" s="2" t="s">
        <v>15</v>
      </c>
      <c r="AJ40" s="2" t="s">
        <v>15</v>
      </c>
      <c r="AK40" s="2" t="s">
        <v>15</v>
      </c>
      <c r="AL40" s="2">
        <f t="shared" si="65"/>
        <v>1</v>
      </c>
      <c r="AM40" s="2">
        <f t="shared" si="66"/>
        <v>0</v>
      </c>
      <c r="AN40" s="2">
        <f t="shared" si="67"/>
        <v>0</v>
      </c>
      <c r="AO40" s="2">
        <f t="shared" si="68"/>
        <v>0</v>
      </c>
      <c r="AP40" s="2">
        <f t="shared" si="69"/>
        <v>0</v>
      </c>
      <c r="AQ40" s="2" t="s">
        <v>15</v>
      </c>
      <c r="AR40" s="2" t="s">
        <v>15</v>
      </c>
      <c r="AS40" s="2" t="s">
        <v>15</v>
      </c>
      <c r="AT40" s="2" t="s">
        <v>7</v>
      </c>
      <c r="AU40" s="2" t="s">
        <v>15</v>
      </c>
      <c r="AV40" s="2" t="s">
        <v>15</v>
      </c>
      <c r="AW40" s="2" t="s">
        <v>15</v>
      </c>
      <c r="AX40" s="2">
        <f t="shared" si="70"/>
        <v>1</v>
      </c>
      <c r="AY40" s="2">
        <f t="shared" si="71"/>
        <v>0</v>
      </c>
      <c r="AZ40" s="2">
        <f t="shared" si="72"/>
        <v>0</v>
      </c>
      <c r="BA40" s="2">
        <f t="shared" si="73"/>
        <v>0</v>
      </c>
      <c r="BB40" s="2">
        <f t="shared" si="74"/>
        <v>0</v>
      </c>
      <c r="BC40" s="2" t="s">
        <v>15</v>
      </c>
      <c r="BD40" s="2" t="s">
        <v>15</v>
      </c>
      <c r="BE40" s="2" t="s">
        <v>15</v>
      </c>
      <c r="BF40" s="2">
        <f t="shared" si="75"/>
        <v>0</v>
      </c>
      <c r="BG40" s="2">
        <f t="shared" si="76"/>
        <v>0</v>
      </c>
      <c r="BH40" s="2">
        <f t="shared" si="77"/>
        <v>0</v>
      </c>
      <c r="BI40" s="2">
        <f t="shared" si="78"/>
        <v>0</v>
      </c>
      <c r="BJ40" s="2">
        <f t="shared" si="79"/>
        <v>0</v>
      </c>
      <c r="BK40" s="2">
        <f t="shared" si="51"/>
        <v>4</v>
      </c>
      <c r="BL40" s="2">
        <f t="shared" si="51"/>
        <v>0</v>
      </c>
      <c r="BM40" s="2">
        <f t="shared" si="51"/>
        <v>0</v>
      </c>
      <c r="BN40" s="2">
        <f t="shared" si="80"/>
        <v>0</v>
      </c>
      <c r="BO40" s="2">
        <f t="shared" si="80"/>
        <v>0</v>
      </c>
      <c r="BP40" s="2">
        <f t="shared" si="53"/>
        <v>4</v>
      </c>
    </row>
    <row r="41" spans="1:68">
      <c r="A41" s="22" t="e">
        <f t="shared" si="54"/>
        <v>#VALUE!</v>
      </c>
      <c r="B41" s="16" t="s">
        <v>118</v>
      </c>
      <c r="C41" s="18" t="s">
        <v>119</v>
      </c>
      <c r="D41" s="15" t="s">
        <v>12</v>
      </c>
      <c r="E41" s="4" t="s">
        <v>29</v>
      </c>
      <c r="F41" s="5" t="s">
        <v>14</v>
      </c>
      <c r="G41" s="2" t="s">
        <v>15</v>
      </c>
      <c r="H41" s="2" t="s">
        <v>15</v>
      </c>
      <c r="I41" s="2" t="s">
        <v>15</v>
      </c>
      <c r="J41" s="2" t="s">
        <v>15</v>
      </c>
      <c r="K41" s="2" t="s">
        <v>7</v>
      </c>
      <c r="L41" s="2" t="s">
        <v>15</v>
      </c>
      <c r="M41" s="2" t="s">
        <v>15</v>
      </c>
      <c r="N41" s="2">
        <f t="shared" si="55"/>
        <v>1</v>
      </c>
      <c r="O41" s="2">
        <f t="shared" si="56"/>
        <v>0</v>
      </c>
      <c r="P41" s="2">
        <f t="shared" si="57"/>
        <v>0</v>
      </c>
      <c r="Q41" s="2">
        <f t="shared" si="58"/>
        <v>0</v>
      </c>
      <c r="R41" s="2">
        <f t="shared" si="59"/>
        <v>0</v>
      </c>
      <c r="S41" s="2" t="s">
        <v>15</v>
      </c>
      <c r="T41" s="2" t="s">
        <v>15</v>
      </c>
      <c r="U41" s="2" t="s">
        <v>15</v>
      </c>
      <c r="V41" s="2" t="s">
        <v>15</v>
      </c>
      <c r="W41" s="2" t="s">
        <v>7</v>
      </c>
      <c r="X41" s="2" t="s">
        <v>15</v>
      </c>
      <c r="Y41" s="2" t="s">
        <v>15</v>
      </c>
      <c r="Z41" s="2">
        <f t="shared" si="60"/>
        <v>1</v>
      </c>
      <c r="AA41" s="2">
        <f t="shared" si="61"/>
        <v>0</v>
      </c>
      <c r="AB41" s="2">
        <f t="shared" si="62"/>
        <v>0</v>
      </c>
      <c r="AC41" s="2">
        <f t="shared" si="63"/>
        <v>0</v>
      </c>
      <c r="AD41" s="2">
        <f t="shared" si="64"/>
        <v>0</v>
      </c>
      <c r="AE41" s="2" t="s">
        <v>15</v>
      </c>
      <c r="AF41" s="2" t="s">
        <v>15</v>
      </c>
      <c r="AG41" s="2" t="s">
        <v>15</v>
      </c>
      <c r="AH41" s="2" t="s">
        <v>15</v>
      </c>
      <c r="AI41" s="2" t="s">
        <v>15</v>
      </c>
      <c r="AJ41" s="2" t="s">
        <v>7</v>
      </c>
      <c r="AK41" s="2" t="s">
        <v>15</v>
      </c>
      <c r="AL41" s="2">
        <f t="shared" si="65"/>
        <v>1</v>
      </c>
      <c r="AM41" s="2">
        <f t="shared" si="66"/>
        <v>0</v>
      </c>
      <c r="AN41" s="2">
        <f t="shared" si="67"/>
        <v>0</v>
      </c>
      <c r="AO41" s="2">
        <f t="shared" si="68"/>
        <v>0</v>
      </c>
      <c r="AP41" s="2">
        <f t="shared" si="69"/>
        <v>0</v>
      </c>
      <c r="AQ41" s="2" t="s">
        <v>15</v>
      </c>
      <c r="AR41" s="2" t="s">
        <v>15</v>
      </c>
      <c r="AS41" s="2" t="s">
        <v>15</v>
      </c>
      <c r="AT41" s="2" t="s">
        <v>15</v>
      </c>
      <c r="AU41" s="2" t="s">
        <v>15</v>
      </c>
      <c r="AV41" s="2" t="s">
        <v>7</v>
      </c>
      <c r="AW41" s="2" t="s">
        <v>15</v>
      </c>
      <c r="AX41" s="2">
        <f t="shared" si="70"/>
        <v>1</v>
      </c>
      <c r="AY41" s="2">
        <f t="shared" si="71"/>
        <v>0</v>
      </c>
      <c r="AZ41" s="2">
        <f t="shared" si="72"/>
        <v>0</v>
      </c>
      <c r="BA41" s="2">
        <f t="shared" si="73"/>
        <v>0</v>
      </c>
      <c r="BB41" s="2">
        <f t="shared" si="74"/>
        <v>0</v>
      </c>
      <c r="BC41" s="2" t="s">
        <v>15</v>
      </c>
      <c r="BD41" s="2" t="s">
        <v>15</v>
      </c>
      <c r="BE41" s="2" t="s">
        <v>15</v>
      </c>
      <c r="BF41" s="2">
        <f t="shared" si="75"/>
        <v>0</v>
      </c>
      <c r="BG41" s="2">
        <f t="shared" si="76"/>
        <v>0</v>
      </c>
      <c r="BH41" s="2">
        <f t="shared" si="77"/>
        <v>0</v>
      </c>
      <c r="BI41" s="2">
        <f t="shared" si="78"/>
        <v>0</v>
      </c>
      <c r="BJ41" s="2">
        <f t="shared" si="79"/>
        <v>0</v>
      </c>
      <c r="BK41" s="2">
        <f t="shared" si="51"/>
        <v>4</v>
      </c>
      <c r="BL41" s="2">
        <f t="shared" si="51"/>
        <v>0</v>
      </c>
      <c r="BM41" s="2">
        <f t="shared" si="51"/>
        <v>0</v>
      </c>
      <c r="BN41" s="2">
        <f t="shared" si="80"/>
        <v>0</v>
      </c>
      <c r="BO41" s="2">
        <f t="shared" si="80"/>
        <v>0</v>
      </c>
      <c r="BP41" s="2">
        <f t="shared" si="53"/>
        <v>4</v>
      </c>
    </row>
    <row r="42" spans="1:68">
      <c r="A42" s="22" t="e">
        <f t="shared" si="54"/>
        <v>#VALUE!</v>
      </c>
      <c r="B42" s="16" t="s">
        <v>54</v>
      </c>
      <c r="C42" s="18" t="s">
        <v>55</v>
      </c>
      <c r="D42" s="15" t="s">
        <v>12</v>
      </c>
      <c r="E42" s="4" t="s">
        <v>13</v>
      </c>
      <c r="F42" s="5" t="s">
        <v>14</v>
      </c>
      <c r="G42" s="2" t="s">
        <v>15</v>
      </c>
      <c r="H42" s="2" t="s">
        <v>15</v>
      </c>
      <c r="I42" s="2" t="s">
        <v>15</v>
      </c>
      <c r="J42" s="2" t="s">
        <v>7</v>
      </c>
      <c r="K42" s="2" t="s">
        <v>15</v>
      </c>
      <c r="L42" s="2" t="s">
        <v>15</v>
      </c>
      <c r="M42" s="2" t="s">
        <v>15</v>
      </c>
      <c r="N42" s="2">
        <f t="shared" si="55"/>
        <v>1</v>
      </c>
      <c r="O42" s="2">
        <f t="shared" si="56"/>
        <v>0</v>
      </c>
      <c r="P42" s="2">
        <f t="shared" si="57"/>
        <v>0</v>
      </c>
      <c r="Q42" s="2">
        <f t="shared" si="58"/>
        <v>0</v>
      </c>
      <c r="R42" s="2">
        <f t="shared" si="59"/>
        <v>0</v>
      </c>
      <c r="S42" s="2" t="s">
        <v>15</v>
      </c>
      <c r="T42" s="2" t="s">
        <v>15</v>
      </c>
      <c r="U42" s="2" t="s">
        <v>15</v>
      </c>
      <c r="V42" s="2" t="s">
        <v>15</v>
      </c>
      <c r="W42" s="2" t="s">
        <v>15</v>
      </c>
      <c r="X42" s="2" t="s">
        <v>15</v>
      </c>
      <c r="Y42" s="2" t="s">
        <v>7</v>
      </c>
      <c r="Z42" s="2">
        <f t="shared" si="60"/>
        <v>1</v>
      </c>
      <c r="AA42" s="2">
        <f t="shared" si="61"/>
        <v>0</v>
      </c>
      <c r="AB42" s="2">
        <f t="shared" si="62"/>
        <v>0</v>
      </c>
      <c r="AC42" s="2">
        <f t="shared" si="63"/>
        <v>0</v>
      </c>
      <c r="AD42" s="2">
        <f t="shared" si="64"/>
        <v>0</v>
      </c>
      <c r="AE42" s="2" t="s">
        <v>15</v>
      </c>
      <c r="AF42" s="2" t="s">
        <v>15</v>
      </c>
      <c r="AG42" s="2" t="s">
        <v>15</v>
      </c>
      <c r="AH42" s="2" t="s">
        <v>15</v>
      </c>
      <c r="AI42" s="2" t="s">
        <v>7</v>
      </c>
      <c r="AJ42" s="2" t="s">
        <v>15</v>
      </c>
      <c r="AK42" s="2" t="s">
        <v>15</v>
      </c>
      <c r="AL42" s="2">
        <f t="shared" si="65"/>
        <v>1</v>
      </c>
      <c r="AM42" s="2">
        <f t="shared" si="66"/>
        <v>0</v>
      </c>
      <c r="AN42" s="2">
        <f t="shared" si="67"/>
        <v>0</v>
      </c>
      <c r="AO42" s="2">
        <f t="shared" si="68"/>
        <v>0</v>
      </c>
      <c r="AP42" s="2">
        <f t="shared" si="69"/>
        <v>0</v>
      </c>
      <c r="AQ42" s="2" t="s">
        <v>15</v>
      </c>
      <c r="AR42" s="2" t="s">
        <v>15</v>
      </c>
      <c r="AS42" s="2" t="s">
        <v>15</v>
      </c>
      <c r="AT42" s="2" t="s">
        <v>15</v>
      </c>
      <c r="AU42" s="2" t="s">
        <v>15</v>
      </c>
      <c r="AV42" s="2" t="s">
        <v>15</v>
      </c>
      <c r="AW42" s="2" t="s">
        <v>7</v>
      </c>
      <c r="AX42" s="2">
        <f t="shared" si="70"/>
        <v>1</v>
      </c>
      <c r="AY42" s="2">
        <f t="shared" si="71"/>
        <v>0</v>
      </c>
      <c r="AZ42" s="2">
        <f t="shared" si="72"/>
        <v>0</v>
      </c>
      <c r="BA42" s="2">
        <f t="shared" si="73"/>
        <v>0</v>
      </c>
      <c r="BB42" s="2">
        <f t="shared" si="74"/>
        <v>0</v>
      </c>
      <c r="BC42" s="2" t="s">
        <v>15</v>
      </c>
      <c r="BD42" s="2" t="s">
        <v>15</v>
      </c>
      <c r="BE42" s="2" t="s">
        <v>15</v>
      </c>
      <c r="BF42" s="2">
        <f t="shared" si="75"/>
        <v>0</v>
      </c>
      <c r="BG42" s="2">
        <f t="shared" si="76"/>
        <v>0</v>
      </c>
      <c r="BH42" s="2">
        <f t="shared" si="77"/>
        <v>0</v>
      </c>
      <c r="BI42" s="2">
        <f t="shared" si="78"/>
        <v>0</v>
      </c>
      <c r="BJ42" s="2">
        <f t="shared" si="79"/>
        <v>0</v>
      </c>
      <c r="BK42" s="2">
        <f t="shared" si="51"/>
        <v>4</v>
      </c>
      <c r="BL42" s="2">
        <f t="shared" si="51"/>
        <v>0</v>
      </c>
      <c r="BM42" s="2">
        <f t="shared" si="51"/>
        <v>0</v>
      </c>
      <c r="BN42" s="2">
        <f t="shared" si="80"/>
        <v>0</v>
      </c>
      <c r="BO42" s="2">
        <f t="shared" si="80"/>
        <v>0</v>
      </c>
      <c r="BP42" s="2">
        <f t="shared" si="53"/>
        <v>4</v>
      </c>
    </row>
    <row r="43" spans="1:68">
      <c r="A43" s="22" t="e">
        <f t="shared" si="54"/>
        <v>#VALUE!</v>
      </c>
      <c r="B43" s="16" t="s">
        <v>48</v>
      </c>
      <c r="C43" s="18" t="s">
        <v>49</v>
      </c>
      <c r="D43" s="15" t="s">
        <v>12</v>
      </c>
      <c r="E43" s="4" t="s">
        <v>13</v>
      </c>
      <c r="F43" s="5" t="s">
        <v>18</v>
      </c>
      <c r="G43" s="2" t="s">
        <v>15</v>
      </c>
      <c r="H43" s="2" t="s">
        <v>15</v>
      </c>
      <c r="I43" s="2" t="s">
        <v>7</v>
      </c>
      <c r="J43" s="2" t="s">
        <v>15</v>
      </c>
      <c r="K43" s="2" t="s">
        <v>15</v>
      </c>
      <c r="L43" s="2" t="s">
        <v>15</v>
      </c>
      <c r="M43" s="2" t="s">
        <v>15</v>
      </c>
      <c r="N43" s="2">
        <f t="shared" si="55"/>
        <v>1</v>
      </c>
      <c r="O43" s="2">
        <f t="shared" si="56"/>
        <v>0</v>
      </c>
      <c r="P43" s="2">
        <f t="shared" si="57"/>
        <v>0</v>
      </c>
      <c r="Q43" s="2">
        <f t="shared" si="58"/>
        <v>0</v>
      </c>
      <c r="R43" s="2">
        <f t="shared" si="59"/>
        <v>0</v>
      </c>
      <c r="S43" s="2" t="s">
        <v>15</v>
      </c>
      <c r="T43" s="2" t="s">
        <v>15</v>
      </c>
      <c r="U43" s="2" t="s">
        <v>15</v>
      </c>
      <c r="V43" s="2" t="s">
        <v>15</v>
      </c>
      <c r="W43" s="2" t="s">
        <v>15</v>
      </c>
      <c r="X43" s="2" t="s">
        <v>15</v>
      </c>
      <c r="Y43" s="2" t="s">
        <v>15</v>
      </c>
      <c r="Z43" s="2">
        <f t="shared" si="60"/>
        <v>0</v>
      </c>
      <c r="AA43" s="2">
        <f t="shared" si="61"/>
        <v>0</v>
      </c>
      <c r="AB43" s="2">
        <f t="shared" si="62"/>
        <v>0</v>
      </c>
      <c r="AC43" s="2">
        <f t="shared" si="63"/>
        <v>0</v>
      </c>
      <c r="AD43" s="2">
        <f t="shared" si="64"/>
        <v>0</v>
      </c>
      <c r="AE43" s="2" t="s">
        <v>15</v>
      </c>
      <c r="AF43" s="2" t="s">
        <v>15</v>
      </c>
      <c r="AG43" s="2" t="s">
        <v>15</v>
      </c>
      <c r="AH43" s="2" t="s">
        <v>15</v>
      </c>
      <c r="AI43" s="2" t="s">
        <v>15</v>
      </c>
      <c r="AJ43" s="2" t="s">
        <v>15</v>
      </c>
      <c r="AK43" s="2" t="s">
        <v>15</v>
      </c>
      <c r="AL43" s="2">
        <f t="shared" si="65"/>
        <v>0</v>
      </c>
      <c r="AM43" s="2">
        <f t="shared" si="66"/>
        <v>0</v>
      </c>
      <c r="AN43" s="2">
        <f t="shared" si="67"/>
        <v>0</v>
      </c>
      <c r="AO43" s="2">
        <f t="shared" si="68"/>
        <v>0</v>
      </c>
      <c r="AP43" s="2">
        <f t="shared" si="69"/>
        <v>0</v>
      </c>
      <c r="AQ43" s="2" t="s">
        <v>15</v>
      </c>
      <c r="AR43" s="2" t="s">
        <v>15</v>
      </c>
      <c r="AS43" s="2" t="s">
        <v>15</v>
      </c>
      <c r="AT43" s="2" t="s">
        <v>15</v>
      </c>
      <c r="AU43" s="2" t="s">
        <v>7</v>
      </c>
      <c r="AV43" s="2" t="s">
        <v>7</v>
      </c>
      <c r="AW43" s="2" t="s">
        <v>7</v>
      </c>
      <c r="AX43" s="2">
        <f t="shared" si="70"/>
        <v>3</v>
      </c>
      <c r="AY43" s="2">
        <f t="shared" si="71"/>
        <v>0</v>
      </c>
      <c r="AZ43" s="2">
        <f t="shared" si="72"/>
        <v>0</v>
      </c>
      <c r="BA43" s="2">
        <f t="shared" si="73"/>
        <v>0</v>
      </c>
      <c r="BB43" s="2">
        <f t="shared" si="74"/>
        <v>0</v>
      </c>
      <c r="BC43" s="2" t="s">
        <v>15</v>
      </c>
      <c r="BD43" s="2" t="s">
        <v>15</v>
      </c>
      <c r="BE43" s="2" t="s">
        <v>15</v>
      </c>
      <c r="BF43" s="2">
        <f t="shared" si="75"/>
        <v>0</v>
      </c>
      <c r="BG43" s="2">
        <f t="shared" si="76"/>
        <v>0</v>
      </c>
      <c r="BH43" s="2">
        <f t="shared" si="77"/>
        <v>0</v>
      </c>
      <c r="BI43" s="2">
        <f t="shared" si="78"/>
        <v>0</v>
      </c>
      <c r="BJ43" s="2">
        <f t="shared" si="79"/>
        <v>0</v>
      </c>
      <c r="BK43" s="2">
        <f t="shared" si="51"/>
        <v>4</v>
      </c>
      <c r="BL43" s="2">
        <f t="shared" si="51"/>
        <v>0</v>
      </c>
      <c r="BM43" s="2">
        <f t="shared" si="51"/>
        <v>0</v>
      </c>
      <c r="BN43" s="2">
        <f t="shared" si="80"/>
        <v>0</v>
      </c>
      <c r="BO43" s="2">
        <f t="shared" si="80"/>
        <v>0</v>
      </c>
      <c r="BP43" s="2">
        <f t="shared" si="53"/>
        <v>4</v>
      </c>
    </row>
    <row r="44" spans="1:68">
      <c r="A44" s="22" t="e">
        <f t="shared" si="54"/>
        <v>#VALUE!</v>
      </c>
      <c r="B44" s="16" t="s">
        <v>110</v>
      </c>
      <c r="C44" s="18" t="s">
        <v>111</v>
      </c>
      <c r="D44" s="15" t="s">
        <v>12</v>
      </c>
      <c r="E44" s="4" t="s">
        <v>13</v>
      </c>
      <c r="F44" s="5" t="s">
        <v>14</v>
      </c>
      <c r="G44" s="2" t="s">
        <v>15</v>
      </c>
      <c r="H44" s="2" t="s">
        <v>7</v>
      </c>
      <c r="I44" s="2" t="s">
        <v>7</v>
      </c>
      <c r="J44" s="2" t="s">
        <v>7</v>
      </c>
      <c r="K44" s="2" t="s">
        <v>15</v>
      </c>
      <c r="L44" s="2" t="s">
        <v>15</v>
      </c>
      <c r="M44" s="2" t="s">
        <v>15</v>
      </c>
      <c r="N44" s="2">
        <f t="shared" si="55"/>
        <v>3</v>
      </c>
      <c r="O44" s="2">
        <f t="shared" si="56"/>
        <v>0</v>
      </c>
      <c r="P44" s="2">
        <f t="shared" si="57"/>
        <v>0</v>
      </c>
      <c r="Q44" s="2">
        <f t="shared" si="58"/>
        <v>0</v>
      </c>
      <c r="R44" s="2">
        <f t="shared" si="59"/>
        <v>0</v>
      </c>
      <c r="S44" s="2" t="s">
        <v>15</v>
      </c>
      <c r="T44" s="2" t="s">
        <v>15</v>
      </c>
      <c r="U44" s="2" t="s">
        <v>15</v>
      </c>
      <c r="V44" s="2" t="s">
        <v>15</v>
      </c>
      <c r="W44" s="2" t="s">
        <v>15</v>
      </c>
      <c r="X44" s="2" t="s">
        <v>15</v>
      </c>
      <c r="Y44" s="2" t="s">
        <v>15</v>
      </c>
      <c r="Z44" s="2">
        <f t="shared" si="60"/>
        <v>0</v>
      </c>
      <c r="AA44" s="2">
        <f t="shared" si="61"/>
        <v>0</v>
      </c>
      <c r="AB44" s="2">
        <f t="shared" si="62"/>
        <v>0</v>
      </c>
      <c r="AC44" s="2">
        <f t="shared" si="63"/>
        <v>0</v>
      </c>
      <c r="AD44" s="2">
        <f t="shared" si="64"/>
        <v>0</v>
      </c>
      <c r="AE44" s="2" t="s">
        <v>15</v>
      </c>
      <c r="AF44" s="2" t="s">
        <v>15</v>
      </c>
      <c r="AG44" s="2" t="s">
        <v>15</v>
      </c>
      <c r="AH44" s="2" t="s">
        <v>7</v>
      </c>
      <c r="AI44" s="2" t="s">
        <v>15</v>
      </c>
      <c r="AJ44" s="2" t="s">
        <v>15</v>
      </c>
      <c r="AK44" s="2" t="s">
        <v>15</v>
      </c>
      <c r="AL44" s="2">
        <f t="shared" si="65"/>
        <v>1</v>
      </c>
      <c r="AM44" s="2">
        <f t="shared" si="66"/>
        <v>0</v>
      </c>
      <c r="AN44" s="2">
        <f t="shared" si="67"/>
        <v>0</v>
      </c>
      <c r="AO44" s="2">
        <f t="shared" si="68"/>
        <v>0</v>
      </c>
      <c r="AP44" s="2">
        <f t="shared" si="69"/>
        <v>0</v>
      </c>
      <c r="AQ44" s="2" t="s">
        <v>15</v>
      </c>
      <c r="AR44" s="2" t="s">
        <v>15</v>
      </c>
      <c r="AS44" s="2" t="s">
        <v>15</v>
      </c>
      <c r="AT44" s="2" t="s">
        <v>15</v>
      </c>
      <c r="AU44" s="2" t="s">
        <v>15</v>
      </c>
      <c r="AV44" s="2" t="s">
        <v>15</v>
      </c>
      <c r="AW44" s="2" t="s">
        <v>15</v>
      </c>
      <c r="AX44" s="2">
        <f t="shared" si="70"/>
        <v>0</v>
      </c>
      <c r="AY44" s="2">
        <f t="shared" si="71"/>
        <v>0</v>
      </c>
      <c r="AZ44" s="2">
        <f t="shared" si="72"/>
        <v>0</v>
      </c>
      <c r="BA44" s="2">
        <f t="shared" si="73"/>
        <v>0</v>
      </c>
      <c r="BB44" s="2">
        <f t="shared" si="74"/>
        <v>0</v>
      </c>
      <c r="BC44" s="2" t="s">
        <v>15</v>
      </c>
      <c r="BD44" s="2" t="s">
        <v>15</v>
      </c>
      <c r="BE44" s="2" t="s">
        <v>15</v>
      </c>
      <c r="BF44" s="2">
        <f t="shared" si="75"/>
        <v>0</v>
      </c>
      <c r="BG44" s="2">
        <f t="shared" si="76"/>
        <v>0</v>
      </c>
      <c r="BH44" s="2">
        <f t="shared" si="77"/>
        <v>0</v>
      </c>
      <c r="BI44" s="2">
        <f t="shared" si="78"/>
        <v>0</v>
      </c>
      <c r="BJ44" s="2">
        <f t="shared" si="79"/>
        <v>0</v>
      </c>
      <c r="BK44" s="2">
        <f t="shared" si="51"/>
        <v>4</v>
      </c>
      <c r="BL44" s="2">
        <f t="shared" si="51"/>
        <v>0</v>
      </c>
      <c r="BM44" s="2">
        <f t="shared" si="51"/>
        <v>0</v>
      </c>
      <c r="BN44" s="2">
        <f t="shared" si="80"/>
        <v>0</v>
      </c>
      <c r="BO44" s="2">
        <f t="shared" si="80"/>
        <v>0</v>
      </c>
      <c r="BP44" s="2">
        <f t="shared" si="53"/>
        <v>4</v>
      </c>
    </row>
    <row r="45" spans="1:68">
      <c r="A45" s="22" t="e">
        <f t="shared" si="54"/>
        <v>#VALUE!</v>
      </c>
      <c r="B45" s="16" t="s">
        <v>27</v>
      </c>
      <c r="C45" s="18" t="s">
        <v>28</v>
      </c>
      <c r="D45" s="15" t="s">
        <v>12</v>
      </c>
      <c r="E45" s="4" t="s">
        <v>29</v>
      </c>
      <c r="F45" s="5" t="s">
        <v>41</v>
      </c>
      <c r="G45" s="2" t="s">
        <v>30</v>
      </c>
      <c r="H45" s="2" t="s">
        <v>30</v>
      </c>
      <c r="I45" s="2" t="s">
        <v>30</v>
      </c>
      <c r="J45" s="2" t="s">
        <v>30</v>
      </c>
      <c r="K45" s="2" t="s">
        <v>30</v>
      </c>
      <c r="L45" s="2" t="s">
        <v>30</v>
      </c>
      <c r="M45" s="2" t="s">
        <v>30</v>
      </c>
      <c r="N45" s="2">
        <f t="shared" si="55"/>
        <v>0</v>
      </c>
      <c r="O45" s="2">
        <f t="shared" si="56"/>
        <v>0</v>
      </c>
      <c r="P45" s="2">
        <f t="shared" si="57"/>
        <v>0</v>
      </c>
      <c r="Q45" s="2">
        <f t="shared" si="58"/>
        <v>0</v>
      </c>
      <c r="R45" s="2">
        <f t="shared" si="59"/>
        <v>0</v>
      </c>
      <c r="S45" s="2" t="s">
        <v>30</v>
      </c>
      <c r="T45" s="2" t="s">
        <v>30</v>
      </c>
      <c r="U45" s="2" t="s">
        <v>7</v>
      </c>
      <c r="V45" s="2" t="s">
        <v>7</v>
      </c>
      <c r="W45" s="2" t="s">
        <v>7</v>
      </c>
      <c r="X45" s="2" t="s">
        <v>7</v>
      </c>
      <c r="Y45" s="2" t="s">
        <v>30</v>
      </c>
      <c r="Z45" s="2">
        <f t="shared" si="60"/>
        <v>4</v>
      </c>
      <c r="AA45" s="2">
        <f t="shared" si="61"/>
        <v>0</v>
      </c>
      <c r="AB45" s="2">
        <f t="shared" si="62"/>
        <v>0</v>
      </c>
      <c r="AC45" s="2">
        <f t="shared" si="63"/>
        <v>0</v>
      </c>
      <c r="AD45" s="2">
        <f t="shared" si="64"/>
        <v>0</v>
      </c>
      <c r="AE45" s="2" t="s">
        <v>30</v>
      </c>
      <c r="AF45" s="2" t="s">
        <v>30</v>
      </c>
      <c r="AG45" s="2" t="s">
        <v>30</v>
      </c>
      <c r="AH45" s="2" t="s">
        <v>30</v>
      </c>
      <c r="AI45" s="2" t="s">
        <v>30</v>
      </c>
      <c r="AJ45" s="2" t="s">
        <v>30</v>
      </c>
      <c r="AK45" s="2" t="s">
        <v>30</v>
      </c>
      <c r="AL45" s="2">
        <f t="shared" si="65"/>
        <v>0</v>
      </c>
      <c r="AM45" s="2">
        <f t="shared" si="66"/>
        <v>0</v>
      </c>
      <c r="AN45" s="2">
        <f t="shared" si="67"/>
        <v>0</v>
      </c>
      <c r="AO45" s="2">
        <f t="shared" si="68"/>
        <v>0</v>
      </c>
      <c r="AP45" s="2">
        <f t="shared" si="69"/>
        <v>0</v>
      </c>
      <c r="AQ45" s="2" t="s">
        <v>30</v>
      </c>
      <c r="AR45" s="2" t="s">
        <v>30</v>
      </c>
      <c r="AS45" s="2" t="s">
        <v>30</v>
      </c>
      <c r="AT45" s="2" t="s">
        <v>30</v>
      </c>
      <c r="AU45" s="2" t="s">
        <v>248</v>
      </c>
      <c r="AV45" s="2" t="s">
        <v>248</v>
      </c>
      <c r="AW45" s="2" t="s">
        <v>30</v>
      </c>
      <c r="AX45" s="2">
        <f t="shared" si="70"/>
        <v>0</v>
      </c>
      <c r="AY45" s="2">
        <f t="shared" si="71"/>
        <v>0</v>
      </c>
      <c r="AZ45" s="2">
        <f t="shared" si="72"/>
        <v>2</v>
      </c>
      <c r="BA45" s="2">
        <f t="shared" si="73"/>
        <v>0</v>
      </c>
      <c r="BB45" s="2">
        <f t="shared" si="74"/>
        <v>0</v>
      </c>
      <c r="BC45" s="2" t="s">
        <v>30</v>
      </c>
      <c r="BD45" s="2" t="s">
        <v>30</v>
      </c>
      <c r="BE45" s="2" t="s">
        <v>30</v>
      </c>
      <c r="BF45" s="2">
        <f t="shared" si="75"/>
        <v>0</v>
      </c>
      <c r="BG45" s="2">
        <f t="shared" si="76"/>
        <v>0</v>
      </c>
      <c r="BH45" s="2">
        <f t="shared" si="77"/>
        <v>0</v>
      </c>
      <c r="BI45" s="2">
        <f t="shared" si="78"/>
        <v>0</v>
      </c>
      <c r="BJ45" s="2">
        <f t="shared" si="79"/>
        <v>0</v>
      </c>
      <c r="BK45" s="2">
        <f t="shared" si="51"/>
        <v>4</v>
      </c>
      <c r="BL45" s="2">
        <f t="shared" si="51"/>
        <v>0</v>
      </c>
      <c r="BM45" s="2">
        <f t="shared" si="51"/>
        <v>2</v>
      </c>
      <c r="BN45" s="2">
        <f t="shared" si="80"/>
        <v>0</v>
      </c>
      <c r="BO45" s="2">
        <f t="shared" si="80"/>
        <v>0</v>
      </c>
      <c r="BP45" s="2">
        <f t="shared" si="53"/>
        <v>6</v>
      </c>
    </row>
    <row r="46" spans="1:68">
      <c r="A46" s="22" t="e">
        <f t="shared" si="54"/>
        <v>#VALUE!</v>
      </c>
      <c r="B46" s="16" t="s">
        <v>122</v>
      </c>
      <c r="C46" s="18" t="s">
        <v>123</v>
      </c>
      <c r="D46" s="15" t="s">
        <v>12</v>
      </c>
      <c r="E46" s="4" t="s">
        <v>13</v>
      </c>
      <c r="F46" s="5" t="s">
        <v>14</v>
      </c>
      <c r="G46" s="2" t="s">
        <v>7</v>
      </c>
      <c r="H46" s="2" t="s">
        <v>7</v>
      </c>
      <c r="I46" s="2" t="s">
        <v>15</v>
      </c>
      <c r="J46" s="2" t="s">
        <v>15</v>
      </c>
      <c r="K46" s="2" t="s">
        <v>15</v>
      </c>
      <c r="L46" s="2" t="s">
        <v>15</v>
      </c>
      <c r="M46" s="2" t="s">
        <v>15</v>
      </c>
      <c r="N46" s="2">
        <f t="shared" si="55"/>
        <v>2</v>
      </c>
      <c r="O46" s="2">
        <f t="shared" si="56"/>
        <v>0</v>
      </c>
      <c r="P46" s="2">
        <f t="shared" si="57"/>
        <v>0</v>
      </c>
      <c r="Q46" s="2">
        <f t="shared" si="58"/>
        <v>0</v>
      </c>
      <c r="R46" s="2">
        <f t="shared" si="59"/>
        <v>0</v>
      </c>
      <c r="S46" s="2" t="s">
        <v>15</v>
      </c>
      <c r="T46" s="2" t="s">
        <v>15</v>
      </c>
      <c r="U46" s="2" t="s">
        <v>15</v>
      </c>
      <c r="V46" s="2" t="s">
        <v>15</v>
      </c>
      <c r="W46" s="2" t="s">
        <v>7</v>
      </c>
      <c r="X46" s="2" t="s">
        <v>15</v>
      </c>
      <c r="Y46" s="2" t="s">
        <v>15</v>
      </c>
      <c r="Z46" s="2">
        <f t="shared" si="60"/>
        <v>1</v>
      </c>
      <c r="AA46" s="2">
        <f t="shared" si="61"/>
        <v>0</v>
      </c>
      <c r="AB46" s="2">
        <f t="shared" si="62"/>
        <v>0</v>
      </c>
      <c r="AC46" s="2">
        <f t="shared" si="63"/>
        <v>0</v>
      </c>
      <c r="AD46" s="2">
        <f t="shared" si="64"/>
        <v>0</v>
      </c>
      <c r="AE46" s="2" t="s">
        <v>15</v>
      </c>
      <c r="AF46" s="2" t="s">
        <v>15</v>
      </c>
      <c r="AG46" s="2" t="s">
        <v>15</v>
      </c>
      <c r="AH46" s="2" t="s">
        <v>15</v>
      </c>
      <c r="AI46" s="2" t="s">
        <v>15</v>
      </c>
      <c r="AJ46" s="2" t="s">
        <v>15</v>
      </c>
      <c r="AK46" s="2" t="s">
        <v>15</v>
      </c>
      <c r="AL46" s="2">
        <f t="shared" si="65"/>
        <v>0</v>
      </c>
      <c r="AM46" s="2">
        <f t="shared" si="66"/>
        <v>0</v>
      </c>
      <c r="AN46" s="2">
        <f t="shared" si="67"/>
        <v>0</v>
      </c>
      <c r="AO46" s="2">
        <f t="shared" si="68"/>
        <v>0</v>
      </c>
      <c r="AP46" s="2">
        <f t="shared" si="69"/>
        <v>0</v>
      </c>
      <c r="AQ46" s="2" t="s">
        <v>15</v>
      </c>
      <c r="AR46" s="2" t="s">
        <v>15</v>
      </c>
      <c r="AS46" s="2" t="s">
        <v>15</v>
      </c>
      <c r="AT46" s="2" t="s">
        <v>7</v>
      </c>
      <c r="AU46" s="2" t="s">
        <v>15</v>
      </c>
      <c r="AV46" s="2" t="s">
        <v>15</v>
      </c>
      <c r="AW46" s="2" t="s">
        <v>15</v>
      </c>
      <c r="AX46" s="2">
        <f t="shared" si="70"/>
        <v>1</v>
      </c>
      <c r="AY46" s="2">
        <f t="shared" si="71"/>
        <v>0</v>
      </c>
      <c r="AZ46" s="2">
        <f t="shared" si="72"/>
        <v>0</v>
      </c>
      <c r="BA46" s="2">
        <f t="shared" si="73"/>
        <v>0</v>
      </c>
      <c r="BB46" s="2">
        <f t="shared" si="74"/>
        <v>0</v>
      </c>
      <c r="BC46" s="2" t="s">
        <v>15</v>
      </c>
      <c r="BD46" s="2" t="s">
        <v>15</v>
      </c>
      <c r="BE46" s="2" t="s">
        <v>15</v>
      </c>
      <c r="BF46" s="2">
        <f t="shared" si="75"/>
        <v>0</v>
      </c>
      <c r="BG46" s="2">
        <f t="shared" si="76"/>
        <v>0</v>
      </c>
      <c r="BH46" s="2">
        <f t="shared" si="77"/>
        <v>0</v>
      </c>
      <c r="BI46" s="2">
        <f t="shared" si="78"/>
        <v>0</v>
      </c>
      <c r="BJ46" s="2">
        <f t="shared" si="79"/>
        <v>0</v>
      </c>
      <c r="BK46" s="2">
        <f t="shared" si="51"/>
        <v>4</v>
      </c>
      <c r="BL46" s="2">
        <f t="shared" si="51"/>
        <v>0</v>
      </c>
      <c r="BM46" s="2">
        <f t="shared" si="51"/>
        <v>0</v>
      </c>
      <c r="BN46" s="2">
        <f t="shared" si="80"/>
        <v>0</v>
      </c>
      <c r="BO46" s="2">
        <f t="shared" si="80"/>
        <v>0</v>
      </c>
      <c r="BP46" s="2">
        <f t="shared" si="53"/>
        <v>4</v>
      </c>
    </row>
    <row r="47" spans="1:68">
      <c r="A47" s="22" t="e">
        <f t="shared" si="54"/>
        <v>#VALUE!</v>
      </c>
      <c r="B47" s="16" t="s">
        <v>19</v>
      </c>
      <c r="C47" s="18" t="s">
        <v>20</v>
      </c>
      <c r="D47" s="15" t="s">
        <v>12</v>
      </c>
      <c r="E47" s="4" t="s">
        <v>13</v>
      </c>
      <c r="F47" s="5" t="s">
        <v>21</v>
      </c>
      <c r="G47" s="2" t="s">
        <v>22</v>
      </c>
      <c r="H47" s="2" t="s">
        <v>22</v>
      </c>
      <c r="I47" s="2" t="s">
        <v>22</v>
      </c>
      <c r="J47" s="2" t="s">
        <v>22</v>
      </c>
      <c r="K47" s="2" t="s">
        <v>22</v>
      </c>
      <c r="L47" s="2" t="s">
        <v>7</v>
      </c>
      <c r="M47" s="2" t="s">
        <v>22</v>
      </c>
      <c r="N47" s="2">
        <f t="shared" si="55"/>
        <v>1</v>
      </c>
      <c r="O47" s="2">
        <f t="shared" si="56"/>
        <v>0</v>
      </c>
      <c r="P47" s="2">
        <f t="shared" si="57"/>
        <v>0</v>
      </c>
      <c r="Q47" s="2">
        <f t="shared" si="58"/>
        <v>0</v>
      </c>
      <c r="R47" s="2">
        <f t="shared" si="59"/>
        <v>0</v>
      </c>
      <c r="S47" s="2" t="s">
        <v>22</v>
      </c>
      <c r="T47" s="2" t="s">
        <v>22</v>
      </c>
      <c r="U47" s="2" t="s">
        <v>22</v>
      </c>
      <c r="V47" s="2" t="s">
        <v>22</v>
      </c>
      <c r="W47" s="2" t="s">
        <v>22</v>
      </c>
      <c r="X47" s="2" t="s">
        <v>7</v>
      </c>
      <c r="Y47" s="2" t="s">
        <v>22</v>
      </c>
      <c r="Z47" s="2">
        <f t="shared" si="60"/>
        <v>1</v>
      </c>
      <c r="AA47" s="2">
        <f t="shared" si="61"/>
        <v>0</v>
      </c>
      <c r="AB47" s="2">
        <f t="shared" si="62"/>
        <v>0</v>
      </c>
      <c r="AC47" s="2">
        <f t="shared" si="63"/>
        <v>0</v>
      </c>
      <c r="AD47" s="2">
        <f t="shared" si="64"/>
        <v>0</v>
      </c>
      <c r="AE47" s="2" t="s">
        <v>22</v>
      </c>
      <c r="AF47" s="2" t="s">
        <v>22</v>
      </c>
      <c r="AG47" s="2" t="s">
        <v>7</v>
      </c>
      <c r="AH47" s="2" t="s">
        <v>22</v>
      </c>
      <c r="AI47" s="2" t="s">
        <v>22</v>
      </c>
      <c r="AJ47" s="2" t="s">
        <v>22</v>
      </c>
      <c r="AK47" s="2" t="s">
        <v>22</v>
      </c>
      <c r="AL47" s="2">
        <f t="shared" si="65"/>
        <v>1</v>
      </c>
      <c r="AM47" s="2">
        <f t="shared" si="66"/>
        <v>0</v>
      </c>
      <c r="AN47" s="2">
        <f t="shared" si="67"/>
        <v>0</v>
      </c>
      <c r="AO47" s="2">
        <f t="shared" si="68"/>
        <v>0</v>
      </c>
      <c r="AP47" s="2">
        <f t="shared" si="69"/>
        <v>0</v>
      </c>
      <c r="AQ47" s="2" t="s">
        <v>22</v>
      </c>
      <c r="AR47" s="2" t="s">
        <v>22</v>
      </c>
      <c r="AS47" s="2" t="s">
        <v>22</v>
      </c>
      <c r="AT47" s="2" t="s">
        <v>22</v>
      </c>
      <c r="AU47" s="2" t="s">
        <v>22</v>
      </c>
      <c r="AV47" s="2" t="s">
        <v>7</v>
      </c>
      <c r="AW47" s="2" t="s">
        <v>22</v>
      </c>
      <c r="AX47" s="2">
        <f t="shared" si="70"/>
        <v>1</v>
      </c>
      <c r="AY47" s="2">
        <f t="shared" si="71"/>
        <v>0</v>
      </c>
      <c r="AZ47" s="2">
        <f t="shared" si="72"/>
        <v>0</v>
      </c>
      <c r="BA47" s="2">
        <f t="shared" si="73"/>
        <v>0</v>
      </c>
      <c r="BB47" s="2">
        <f t="shared" si="74"/>
        <v>0</v>
      </c>
      <c r="BC47" s="2" t="s">
        <v>22</v>
      </c>
      <c r="BD47" s="2" t="s">
        <v>7</v>
      </c>
      <c r="BE47" s="2" t="s">
        <v>22</v>
      </c>
      <c r="BF47" s="2">
        <f t="shared" si="75"/>
        <v>1</v>
      </c>
      <c r="BG47" s="2">
        <f t="shared" si="76"/>
        <v>0</v>
      </c>
      <c r="BH47" s="2">
        <f t="shared" si="77"/>
        <v>0</v>
      </c>
      <c r="BI47" s="2">
        <f t="shared" si="78"/>
        <v>0</v>
      </c>
      <c r="BJ47" s="2">
        <f t="shared" si="79"/>
        <v>0</v>
      </c>
      <c r="BK47" s="2">
        <f t="shared" si="51"/>
        <v>5</v>
      </c>
      <c r="BL47" s="2">
        <f t="shared" si="51"/>
        <v>0</v>
      </c>
      <c r="BM47" s="2">
        <f t="shared" si="51"/>
        <v>0</v>
      </c>
      <c r="BN47" s="2">
        <f t="shared" si="80"/>
        <v>0</v>
      </c>
      <c r="BO47" s="2">
        <f t="shared" si="80"/>
        <v>0</v>
      </c>
      <c r="BP47" s="2">
        <f t="shared" si="53"/>
        <v>5</v>
      </c>
    </row>
    <row r="48" spans="1:68">
      <c r="A48" s="22" t="e">
        <f t="shared" si="54"/>
        <v>#VALUE!</v>
      </c>
      <c r="B48" s="16" t="s">
        <v>112</v>
      </c>
      <c r="C48" s="18" t="s">
        <v>113</v>
      </c>
      <c r="D48" s="15" t="s">
        <v>12</v>
      </c>
      <c r="E48" s="4" t="s">
        <v>13</v>
      </c>
      <c r="F48" s="5" t="s">
        <v>14</v>
      </c>
      <c r="G48" s="2" t="s">
        <v>15</v>
      </c>
      <c r="H48" s="2" t="s">
        <v>7</v>
      </c>
      <c r="I48" s="2" t="s">
        <v>7</v>
      </c>
      <c r="J48" s="2" t="s">
        <v>7</v>
      </c>
      <c r="K48" s="2" t="s">
        <v>15</v>
      </c>
      <c r="L48" s="2" t="s">
        <v>15</v>
      </c>
      <c r="M48" s="2" t="s">
        <v>15</v>
      </c>
      <c r="N48" s="2">
        <f t="shared" si="55"/>
        <v>3</v>
      </c>
      <c r="O48" s="2">
        <f t="shared" si="56"/>
        <v>0</v>
      </c>
      <c r="P48" s="2">
        <f t="shared" si="57"/>
        <v>0</v>
      </c>
      <c r="Q48" s="2">
        <f t="shared" si="58"/>
        <v>0</v>
      </c>
      <c r="R48" s="2">
        <f t="shared" si="59"/>
        <v>0</v>
      </c>
      <c r="S48" s="2" t="s">
        <v>15</v>
      </c>
      <c r="T48" s="2" t="s">
        <v>15</v>
      </c>
      <c r="U48" s="2" t="s">
        <v>15</v>
      </c>
      <c r="V48" s="2" t="s">
        <v>15</v>
      </c>
      <c r="W48" s="2" t="s">
        <v>15</v>
      </c>
      <c r="X48" s="2" t="s">
        <v>15</v>
      </c>
      <c r="Y48" s="2" t="s">
        <v>15</v>
      </c>
      <c r="Z48" s="2">
        <f t="shared" si="60"/>
        <v>0</v>
      </c>
      <c r="AA48" s="2">
        <f t="shared" si="61"/>
        <v>0</v>
      </c>
      <c r="AB48" s="2">
        <f t="shared" si="62"/>
        <v>0</v>
      </c>
      <c r="AC48" s="2">
        <f t="shared" si="63"/>
        <v>0</v>
      </c>
      <c r="AD48" s="2">
        <f t="shared" si="64"/>
        <v>0</v>
      </c>
      <c r="AE48" s="2" t="s">
        <v>15</v>
      </c>
      <c r="AF48" s="2" t="s">
        <v>15</v>
      </c>
      <c r="AG48" s="2" t="s">
        <v>15</v>
      </c>
      <c r="AH48" s="2" t="s">
        <v>15</v>
      </c>
      <c r="AI48" s="2" t="s">
        <v>7</v>
      </c>
      <c r="AJ48" s="2" t="s">
        <v>15</v>
      </c>
      <c r="AK48" s="2" t="s">
        <v>15</v>
      </c>
      <c r="AL48" s="2">
        <f t="shared" si="65"/>
        <v>1</v>
      </c>
      <c r="AM48" s="2">
        <f t="shared" si="66"/>
        <v>0</v>
      </c>
      <c r="AN48" s="2">
        <f t="shared" si="67"/>
        <v>0</v>
      </c>
      <c r="AO48" s="2">
        <f t="shared" si="68"/>
        <v>0</v>
      </c>
      <c r="AP48" s="2">
        <f t="shared" si="69"/>
        <v>0</v>
      </c>
      <c r="AQ48" s="2" t="s">
        <v>15</v>
      </c>
      <c r="AR48" s="2" t="s">
        <v>15</v>
      </c>
      <c r="AS48" s="2" t="s">
        <v>15</v>
      </c>
      <c r="AT48" s="2" t="s">
        <v>15</v>
      </c>
      <c r="AU48" s="2" t="s">
        <v>15</v>
      </c>
      <c r="AV48" s="2" t="s">
        <v>15</v>
      </c>
      <c r="AW48" s="2" t="s">
        <v>15</v>
      </c>
      <c r="AX48" s="2">
        <f t="shared" si="70"/>
        <v>0</v>
      </c>
      <c r="AY48" s="2">
        <f t="shared" si="71"/>
        <v>0</v>
      </c>
      <c r="AZ48" s="2">
        <f t="shared" si="72"/>
        <v>0</v>
      </c>
      <c r="BA48" s="2">
        <f t="shared" si="73"/>
        <v>0</v>
      </c>
      <c r="BB48" s="2">
        <f t="shared" si="74"/>
        <v>0</v>
      </c>
      <c r="BC48" s="2" t="s">
        <v>15</v>
      </c>
      <c r="BD48" s="2" t="s">
        <v>15</v>
      </c>
      <c r="BE48" s="2" t="s">
        <v>15</v>
      </c>
      <c r="BF48" s="2">
        <f t="shared" si="75"/>
        <v>0</v>
      </c>
      <c r="BG48" s="2">
        <f t="shared" si="76"/>
        <v>0</v>
      </c>
      <c r="BH48" s="2">
        <f t="shared" si="77"/>
        <v>0</v>
      </c>
      <c r="BI48" s="2">
        <f t="shared" si="78"/>
        <v>0</v>
      </c>
      <c r="BJ48" s="2">
        <f t="shared" si="79"/>
        <v>0</v>
      </c>
      <c r="BK48" s="2">
        <f t="shared" si="51"/>
        <v>4</v>
      </c>
      <c r="BL48" s="2">
        <f t="shared" si="51"/>
        <v>0</v>
      </c>
      <c r="BM48" s="2">
        <f t="shared" si="51"/>
        <v>0</v>
      </c>
      <c r="BN48" s="2">
        <f t="shared" si="80"/>
        <v>0</v>
      </c>
      <c r="BO48" s="2">
        <f t="shared" si="80"/>
        <v>0</v>
      </c>
      <c r="BP48" s="2">
        <f t="shared" si="53"/>
        <v>4</v>
      </c>
    </row>
    <row r="49" spans="1:69">
      <c r="A49" s="22" t="e">
        <f t="shared" si="54"/>
        <v>#VALUE!</v>
      </c>
      <c r="B49" s="16" t="s">
        <v>52</v>
      </c>
      <c r="C49" s="18" t="s">
        <v>53</v>
      </c>
      <c r="D49" s="15" t="s">
        <v>12</v>
      </c>
      <c r="E49" s="4" t="s">
        <v>13</v>
      </c>
      <c r="F49" s="5" t="s">
        <v>46</v>
      </c>
      <c r="G49" s="2" t="s">
        <v>47</v>
      </c>
      <c r="H49" s="2" t="s">
        <v>47</v>
      </c>
      <c r="I49" s="2" t="s">
        <v>47</v>
      </c>
      <c r="J49" s="2" t="s">
        <v>7</v>
      </c>
      <c r="K49" s="2" t="s">
        <v>47</v>
      </c>
      <c r="L49" s="2" t="s">
        <v>7</v>
      </c>
      <c r="M49" s="2" t="s">
        <v>47</v>
      </c>
      <c r="N49" s="2">
        <f t="shared" si="55"/>
        <v>2</v>
      </c>
      <c r="O49" s="2">
        <f t="shared" si="56"/>
        <v>0</v>
      </c>
      <c r="P49" s="2">
        <f t="shared" si="57"/>
        <v>0</v>
      </c>
      <c r="Q49" s="2">
        <f t="shared" si="58"/>
        <v>0</v>
      </c>
      <c r="R49" s="2">
        <f t="shared" si="59"/>
        <v>0</v>
      </c>
      <c r="S49" s="2" t="s">
        <v>47</v>
      </c>
      <c r="T49" s="2" t="s">
        <v>47</v>
      </c>
      <c r="U49" s="2" t="s">
        <v>47</v>
      </c>
      <c r="V49" s="2" t="s">
        <v>47</v>
      </c>
      <c r="W49" s="2" t="s">
        <v>7</v>
      </c>
      <c r="X49" s="2" t="s">
        <v>7</v>
      </c>
      <c r="Y49" s="2" t="s">
        <v>47</v>
      </c>
      <c r="Z49" s="2">
        <f t="shared" si="60"/>
        <v>2</v>
      </c>
      <c r="AA49" s="2">
        <f t="shared" si="61"/>
        <v>0</v>
      </c>
      <c r="AB49" s="2">
        <f t="shared" si="62"/>
        <v>0</v>
      </c>
      <c r="AC49" s="2">
        <f t="shared" si="63"/>
        <v>0</v>
      </c>
      <c r="AD49" s="2">
        <f t="shared" si="64"/>
        <v>0</v>
      </c>
      <c r="AE49" s="2" t="s">
        <v>47</v>
      </c>
      <c r="AF49" s="2" t="s">
        <v>47</v>
      </c>
      <c r="AG49" s="2" t="s">
        <v>47</v>
      </c>
      <c r="AH49" s="2" t="s">
        <v>47</v>
      </c>
      <c r="AI49" s="2" t="s">
        <v>47</v>
      </c>
      <c r="AJ49" s="2" t="s">
        <v>7</v>
      </c>
      <c r="AK49" s="2" t="s">
        <v>47</v>
      </c>
      <c r="AL49" s="2">
        <f t="shared" si="65"/>
        <v>1</v>
      </c>
      <c r="AM49" s="2">
        <f t="shared" si="66"/>
        <v>0</v>
      </c>
      <c r="AN49" s="2">
        <f t="shared" si="67"/>
        <v>0</v>
      </c>
      <c r="AO49" s="2">
        <f t="shared" si="68"/>
        <v>0</v>
      </c>
      <c r="AP49" s="2">
        <f t="shared" si="69"/>
        <v>0</v>
      </c>
      <c r="AQ49" s="2" t="s">
        <v>47</v>
      </c>
      <c r="AR49" s="2" t="s">
        <v>47</v>
      </c>
      <c r="AS49" s="2" t="s">
        <v>47</v>
      </c>
      <c r="AT49" s="2" t="s">
        <v>47</v>
      </c>
      <c r="AU49" s="2" t="s">
        <v>47</v>
      </c>
      <c r="AV49" s="2" t="s">
        <v>7</v>
      </c>
      <c r="AW49" s="2" t="s">
        <v>47</v>
      </c>
      <c r="AX49" s="2">
        <f t="shared" si="70"/>
        <v>1</v>
      </c>
      <c r="AY49" s="2">
        <f t="shared" si="71"/>
        <v>0</v>
      </c>
      <c r="AZ49" s="2">
        <f t="shared" si="72"/>
        <v>0</v>
      </c>
      <c r="BA49" s="2">
        <f t="shared" si="73"/>
        <v>0</v>
      </c>
      <c r="BB49" s="2">
        <f t="shared" si="74"/>
        <v>0</v>
      </c>
      <c r="BC49" s="2" t="s">
        <v>47</v>
      </c>
      <c r="BD49" s="2" t="s">
        <v>47</v>
      </c>
      <c r="BE49" s="2" t="s">
        <v>47</v>
      </c>
      <c r="BF49" s="2">
        <f t="shared" si="75"/>
        <v>0</v>
      </c>
      <c r="BG49" s="2">
        <f t="shared" si="76"/>
        <v>0</v>
      </c>
      <c r="BH49" s="2">
        <f t="shared" si="77"/>
        <v>0</v>
      </c>
      <c r="BI49" s="2">
        <f t="shared" si="78"/>
        <v>0</v>
      </c>
      <c r="BJ49" s="2">
        <f t="shared" si="79"/>
        <v>0</v>
      </c>
      <c r="BK49" s="2">
        <f t="shared" si="51"/>
        <v>6</v>
      </c>
      <c r="BL49" s="2">
        <f t="shared" si="51"/>
        <v>0</v>
      </c>
      <c r="BM49" s="2">
        <f t="shared" si="51"/>
        <v>0</v>
      </c>
      <c r="BN49" s="2">
        <f t="shared" si="80"/>
        <v>0</v>
      </c>
      <c r="BO49" s="2">
        <f t="shared" si="80"/>
        <v>0</v>
      </c>
      <c r="BP49" s="2">
        <f t="shared" si="53"/>
        <v>6</v>
      </c>
    </row>
    <row r="50" spans="1:69">
      <c r="A50" s="22" t="e">
        <f t="shared" si="54"/>
        <v>#VALUE!</v>
      </c>
      <c r="B50" s="16" t="s">
        <v>60</v>
      </c>
      <c r="C50" s="18" t="s">
        <v>61</v>
      </c>
      <c r="D50" s="15" t="s">
        <v>12</v>
      </c>
      <c r="E50" s="4" t="s">
        <v>29</v>
      </c>
      <c r="F50" s="5" t="s">
        <v>62</v>
      </c>
      <c r="G50" s="2" t="s">
        <v>7</v>
      </c>
      <c r="H50" s="2" t="s">
        <v>15</v>
      </c>
      <c r="I50" s="2" t="s">
        <v>15</v>
      </c>
      <c r="J50" s="2" t="s">
        <v>15</v>
      </c>
      <c r="K50" s="2" t="s">
        <v>15</v>
      </c>
      <c r="L50" s="2" t="s">
        <v>7</v>
      </c>
      <c r="M50" s="2" t="s">
        <v>15</v>
      </c>
      <c r="N50" s="2">
        <f t="shared" si="55"/>
        <v>2</v>
      </c>
      <c r="O50" s="2">
        <f t="shared" si="56"/>
        <v>0</v>
      </c>
      <c r="P50" s="2">
        <f t="shared" si="57"/>
        <v>0</v>
      </c>
      <c r="Q50" s="2">
        <f t="shared" si="58"/>
        <v>0</v>
      </c>
      <c r="R50" s="2">
        <f t="shared" si="59"/>
        <v>0</v>
      </c>
      <c r="S50" s="2" t="s">
        <v>15</v>
      </c>
      <c r="T50" s="2" t="s">
        <v>15</v>
      </c>
      <c r="U50" s="2" t="s">
        <v>15</v>
      </c>
      <c r="V50" s="2" t="s">
        <v>15</v>
      </c>
      <c r="W50" s="2" t="s">
        <v>15</v>
      </c>
      <c r="X50" s="2" t="s">
        <v>7</v>
      </c>
      <c r="Y50" s="2" t="s">
        <v>15</v>
      </c>
      <c r="Z50" s="2">
        <f t="shared" si="60"/>
        <v>1</v>
      </c>
      <c r="AA50" s="2">
        <f t="shared" si="61"/>
        <v>0</v>
      </c>
      <c r="AB50" s="2">
        <f t="shared" si="62"/>
        <v>0</v>
      </c>
      <c r="AC50" s="2">
        <f t="shared" si="63"/>
        <v>0</v>
      </c>
      <c r="AD50" s="2">
        <f t="shared" si="64"/>
        <v>0</v>
      </c>
      <c r="AE50" s="2" t="s">
        <v>15</v>
      </c>
      <c r="AF50" s="2" t="s">
        <v>15</v>
      </c>
      <c r="AG50" s="2" t="s">
        <v>15</v>
      </c>
      <c r="AH50" s="2" t="s">
        <v>15</v>
      </c>
      <c r="AI50" s="2" t="s">
        <v>15</v>
      </c>
      <c r="AJ50" s="2" t="s">
        <v>7</v>
      </c>
      <c r="AK50" s="2" t="s">
        <v>15</v>
      </c>
      <c r="AL50" s="2">
        <f t="shared" si="65"/>
        <v>1</v>
      </c>
      <c r="AM50" s="2">
        <f t="shared" si="66"/>
        <v>0</v>
      </c>
      <c r="AN50" s="2">
        <f t="shared" si="67"/>
        <v>0</v>
      </c>
      <c r="AO50" s="2">
        <f t="shared" si="68"/>
        <v>0</v>
      </c>
      <c r="AP50" s="2">
        <f t="shared" si="69"/>
        <v>0</v>
      </c>
      <c r="AQ50" s="2" t="s">
        <v>15</v>
      </c>
      <c r="AR50" s="2" t="s">
        <v>15</v>
      </c>
      <c r="AS50" s="2" t="s">
        <v>15</v>
      </c>
      <c r="AT50" s="2" t="s">
        <v>15</v>
      </c>
      <c r="AU50" s="2" t="s">
        <v>15</v>
      </c>
      <c r="AV50" s="2" t="s">
        <v>7</v>
      </c>
      <c r="AW50" s="2" t="s">
        <v>15</v>
      </c>
      <c r="AX50" s="2">
        <f t="shared" si="70"/>
        <v>1</v>
      </c>
      <c r="AY50" s="2">
        <f t="shared" si="71"/>
        <v>0</v>
      </c>
      <c r="AZ50" s="2">
        <f t="shared" si="72"/>
        <v>0</v>
      </c>
      <c r="BA50" s="2">
        <f t="shared" si="73"/>
        <v>0</v>
      </c>
      <c r="BB50" s="2">
        <f t="shared" si="74"/>
        <v>0</v>
      </c>
      <c r="BC50" s="2" t="s">
        <v>15</v>
      </c>
      <c r="BD50" s="2" t="s">
        <v>15</v>
      </c>
      <c r="BE50" s="2" t="s">
        <v>15</v>
      </c>
      <c r="BF50" s="2">
        <f t="shared" si="75"/>
        <v>0</v>
      </c>
      <c r="BG50" s="2">
        <f t="shared" si="76"/>
        <v>0</v>
      </c>
      <c r="BH50" s="2">
        <f t="shared" si="77"/>
        <v>0</v>
      </c>
      <c r="BI50" s="2">
        <f t="shared" si="78"/>
        <v>0</v>
      </c>
      <c r="BJ50" s="2">
        <f t="shared" si="79"/>
        <v>0</v>
      </c>
      <c r="BK50" s="2">
        <f t="shared" si="51"/>
        <v>5</v>
      </c>
      <c r="BL50" s="2">
        <f t="shared" si="51"/>
        <v>0</v>
      </c>
      <c r="BM50" s="2">
        <f t="shared" si="51"/>
        <v>0</v>
      </c>
      <c r="BN50" s="2">
        <f t="shared" si="80"/>
        <v>0</v>
      </c>
      <c r="BO50" s="2">
        <f t="shared" si="80"/>
        <v>0</v>
      </c>
      <c r="BP50" s="2">
        <f t="shared" si="53"/>
        <v>5</v>
      </c>
    </row>
    <row r="51" spans="1:69">
      <c r="A51" s="22" t="e">
        <f t="shared" si="54"/>
        <v>#VALUE!</v>
      </c>
      <c r="B51" s="16" t="s">
        <v>87</v>
      </c>
      <c r="C51" s="18" t="s">
        <v>88</v>
      </c>
      <c r="D51" s="15" t="s">
        <v>12</v>
      </c>
      <c r="E51" s="4" t="s">
        <v>13</v>
      </c>
      <c r="F51" s="5" t="s">
        <v>78</v>
      </c>
      <c r="G51" s="2" t="s">
        <v>47</v>
      </c>
      <c r="H51" s="2" t="s">
        <v>47</v>
      </c>
      <c r="I51" s="2" t="s">
        <v>47</v>
      </c>
      <c r="J51" s="2" t="s">
        <v>47</v>
      </c>
      <c r="K51" s="2" t="s">
        <v>47</v>
      </c>
      <c r="L51" s="2" t="s">
        <v>47</v>
      </c>
      <c r="M51" s="2" t="s">
        <v>47</v>
      </c>
      <c r="N51" s="2">
        <f t="shared" si="55"/>
        <v>0</v>
      </c>
      <c r="O51" s="2">
        <f t="shared" si="56"/>
        <v>0</v>
      </c>
      <c r="P51" s="2">
        <f t="shared" si="57"/>
        <v>0</v>
      </c>
      <c r="Q51" s="2">
        <f t="shared" si="58"/>
        <v>0</v>
      </c>
      <c r="R51" s="2">
        <f t="shared" si="59"/>
        <v>0</v>
      </c>
      <c r="S51" s="2" t="s">
        <v>47</v>
      </c>
      <c r="T51" s="2" t="s">
        <v>47</v>
      </c>
      <c r="U51" s="2" t="s">
        <v>47</v>
      </c>
      <c r="V51" s="2" t="s">
        <v>47</v>
      </c>
      <c r="W51" s="2" t="s">
        <v>47</v>
      </c>
      <c r="X51" s="2" t="s">
        <v>7</v>
      </c>
      <c r="Y51" s="2" t="s">
        <v>7</v>
      </c>
      <c r="Z51" s="2">
        <f t="shared" si="60"/>
        <v>2</v>
      </c>
      <c r="AA51" s="2">
        <f t="shared" si="61"/>
        <v>0</v>
      </c>
      <c r="AB51" s="2">
        <f t="shared" si="62"/>
        <v>0</v>
      </c>
      <c r="AC51" s="2">
        <f t="shared" si="63"/>
        <v>0</v>
      </c>
      <c r="AD51" s="2">
        <f t="shared" si="64"/>
        <v>0</v>
      </c>
      <c r="AE51" s="2" t="s">
        <v>47</v>
      </c>
      <c r="AF51" s="2" t="s">
        <v>47</v>
      </c>
      <c r="AG51" s="2" t="s">
        <v>47</v>
      </c>
      <c r="AH51" s="2" t="s">
        <v>47</v>
      </c>
      <c r="AI51" s="2" t="s">
        <v>47</v>
      </c>
      <c r="AJ51" s="2" t="s">
        <v>47</v>
      </c>
      <c r="AK51" s="2" t="s">
        <v>47</v>
      </c>
      <c r="AL51" s="2">
        <f t="shared" si="65"/>
        <v>0</v>
      </c>
      <c r="AM51" s="2">
        <f t="shared" si="66"/>
        <v>0</v>
      </c>
      <c r="AN51" s="2">
        <f t="shared" si="67"/>
        <v>0</v>
      </c>
      <c r="AO51" s="2">
        <f t="shared" si="68"/>
        <v>0</v>
      </c>
      <c r="AP51" s="2">
        <f t="shared" si="69"/>
        <v>0</v>
      </c>
      <c r="AQ51" s="2" t="s">
        <v>47</v>
      </c>
      <c r="AR51" s="2" t="s">
        <v>47</v>
      </c>
      <c r="AS51" s="2" t="s">
        <v>8</v>
      </c>
      <c r="AT51" s="2" t="s">
        <v>47</v>
      </c>
      <c r="AU51" s="2" t="s">
        <v>47</v>
      </c>
      <c r="AV51" s="2" t="s">
        <v>8</v>
      </c>
      <c r="AW51" s="2" t="s">
        <v>15</v>
      </c>
      <c r="AX51" s="2">
        <f t="shared" si="70"/>
        <v>0</v>
      </c>
      <c r="AY51" s="2">
        <f t="shared" si="71"/>
        <v>2</v>
      </c>
      <c r="AZ51" s="2">
        <f t="shared" si="72"/>
        <v>0</v>
      </c>
      <c r="BA51" s="2">
        <f t="shared" si="73"/>
        <v>0</v>
      </c>
      <c r="BB51" s="2">
        <f t="shared" si="74"/>
        <v>0</v>
      </c>
      <c r="BC51" s="2" t="s">
        <v>47</v>
      </c>
      <c r="BD51" s="2" t="s">
        <v>47</v>
      </c>
      <c r="BE51" s="2" t="s">
        <v>47</v>
      </c>
      <c r="BF51" s="2">
        <f t="shared" si="75"/>
        <v>0</v>
      </c>
      <c r="BG51" s="2">
        <f t="shared" si="76"/>
        <v>0</v>
      </c>
      <c r="BH51" s="2">
        <f t="shared" si="77"/>
        <v>0</v>
      </c>
      <c r="BI51" s="2">
        <f t="shared" si="78"/>
        <v>0</v>
      </c>
      <c r="BJ51" s="2">
        <f t="shared" si="79"/>
        <v>0</v>
      </c>
      <c r="BK51" s="2">
        <f t="shared" si="51"/>
        <v>2</v>
      </c>
      <c r="BL51" s="2">
        <f t="shared" si="51"/>
        <v>2</v>
      </c>
      <c r="BM51" s="2">
        <f t="shared" si="51"/>
        <v>0</v>
      </c>
      <c r="BN51" s="2">
        <f t="shared" si="80"/>
        <v>0</v>
      </c>
      <c r="BO51" s="2">
        <f t="shared" si="80"/>
        <v>0</v>
      </c>
      <c r="BP51" s="2">
        <f t="shared" si="53"/>
        <v>4</v>
      </c>
    </row>
    <row r="52" spans="1:69">
      <c r="A52" s="22" t="e">
        <f t="shared" si="54"/>
        <v>#VALUE!</v>
      </c>
      <c r="B52" s="16" t="s">
        <v>100</v>
      </c>
      <c r="C52" s="18" t="s">
        <v>101</v>
      </c>
      <c r="D52" s="15" t="s">
        <v>12</v>
      </c>
      <c r="E52" s="4" t="s">
        <v>13</v>
      </c>
      <c r="F52" s="5" t="s">
        <v>14</v>
      </c>
      <c r="G52" s="2" t="s">
        <v>15</v>
      </c>
      <c r="H52" s="2" t="s">
        <v>15</v>
      </c>
      <c r="I52" s="2" t="s">
        <v>15</v>
      </c>
      <c r="J52" s="2" t="s">
        <v>15</v>
      </c>
      <c r="K52" s="2" t="s">
        <v>15</v>
      </c>
      <c r="L52" s="2" t="s">
        <v>15</v>
      </c>
      <c r="M52" s="2" t="s">
        <v>15</v>
      </c>
      <c r="N52" s="2">
        <f t="shared" si="55"/>
        <v>0</v>
      </c>
      <c r="O52" s="2">
        <f t="shared" si="56"/>
        <v>0</v>
      </c>
      <c r="P52" s="2">
        <f t="shared" si="57"/>
        <v>0</v>
      </c>
      <c r="Q52" s="2">
        <f t="shared" si="58"/>
        <v>0</v>
      </c>
      <c r="R52" s="2">
        <f t="shared" si="59"/>
        <v>0</v>
      </c>
      <c r="S52" s="2" t="s">
        <v>15</v>
      </c>
      <c r="T52" s="2" t="s">
        <v>15</v>
      </c>
      <c r="U52" s="2" t="s">
        <v>15</v>
      </c>
      <c r="V52" s="2" t="s">
        <v>15</v>
      </c>
      <c r="W52" s="2" t="s">
        <v>7</v>
      </c>
      <c r="X52" s="2" t="s">
        <v>7</v>
      </c>
      <c r="Y52" s="2" t="s">
        <v>15</v>
      </c>
      <c r="Z52" s="2">
        <f t="shared" si="60"/>
        <v>2</v>
      </c>
      <c r="AA52" s="2">
        <f t="shared" si="61"/>
        <v>0</v>
      </c>
      <c r="AB52" s="2">
        <f t="shared" si="62"/>
        <v>0</v>
      </c>
      <c r="AC52" s="2">
        <f t="shared" si="63"/>
        <v>0</v>
      </c>
      <c r="AD52" s="2">
        <f t="shared" si="64"/>
        <v>0</v>
      </c>
      <c r="AE52" s="2" t="s">
        <v>15</v>
      </c>
      <c r="AF52" s="2" t="s">
        <v>15</v>
      </c>
      <c r="AG52" s="2" t="s">
        <v>15</v>
      </c>
      <c r="AH52" s="2" t="s">
        <v>15</v>
      </c>
      <c r="AI52" s="2" t="s">
        <v>15</v>
      </c>
      <c r="AJ52" s="2" t="s">
        <v>15</v>
      </c>
      <c r="AK52" s="2" t="s">
        <v>15</v>
      </c>
      <c r="AL52" s="2">
        <f t="shared" si="65"/>
        <v>0</v>
      </c>
      <c r="AM52" s="2">
        <f t="shared" si="66"/>
        <v>0</v>
      </c>
      <c r="AN52" s="2">
        <f t="shared" si="67"/>
        <v>0</v>
      </c>
      <c r="AO52" s="2">
        <f t="shared" si="68"/>
        <v>0</v>
      </c>
      <c r="AP52" s="2">
        <f t="shared" si="69"/>
        <v>0</v>
      </c>
      <c r="AQ52" s="2" t="s">
        <v>15</v>
      </c>
      <c r="AR52" s="2" t="s">
        <v>7</v>
      </c>
      <c r="AS52" s="2" t="s">
        <v>15</v>
      </c>
      <c r="AT52" s="2" t="s">
        <v>15</v>
      </c>
      <c r="AU52" s="2" t="s">
        <v>7</v>
      </c>
      <c r="AV52" s="2" t="s">
        <v>15</v>
      </c>
      <c r="AW52" s="2" t="s">
        <v>15</v>
      </c>
      <c r="AX52" s="2">
        <f t="shared" si="70"/>
        <v>2</v>
      </c>
      <c r="AY52" s="2">
        <f t="shared" si="71"/>
        <v>0</v>
      </c>
      <c r="AZ52" s="2">
        <f t="shared" si="72"/>
        <v>0</v>
      </c>
      <c r="BA52" s="2">
        <f t="shared" si="73"/>
        <v>0</v>
      </c>
      <c r="BB52" s="2">
        <f t="shared" si="74"/>
        <v>0</v>
      </c>
      <c r="BC52" s="2" t="s">
        <v>15</v>
      </c>
      <c r="BD52" s="2" t="s">
        <v>15</v>
      </c>
      <c r="BE52" s="2" t="s">
        <v>15</v>
      </c>
      <c r="BF52" s="2">
        <f t="shared" si="75"/>
        <v>0</v>
      </c>
      <c r="BG52" s="2">
        <f t="shared" si="76"/>
        <v>0</v>
      </c>
      <c r="BH52" s="2">
        <f t="shared" si="77"/>
        <v>0</v>
      </c>
      <c r="BI52" s="2">
        <f t="shared" si="78"/>
        <v>0</v>
      </c>
      <c r="BJ52" s="2">
        <f t="shared" si="79"/>
        <v>0</v>
      </c>
      <c r="BK52" s="2">
        <f t="shared" si="51"/>
        <v>4</v>
      </c>
      <c r="BL52" s="2">
        <f t="shared" si="51"/>
        <v>0</v>
      </c>
      <c r="BM52" s="2">
        <f t="shared" si="51"/>
        <v>0</v>
      </c>
      <c r="BN52" s="2">
        <f t="shared" si="80"/>
        <v>0</v>
      </c>
      <c r="BO52" s="2">
        <f t="shared" si="80"/>
        <v>0</v>
      </c>
      <c r="BP52" s="2">
        <f t="shared" si="53"/>
        <v>4</v>
      </c>
    </row>
    <row r="53" spans="1:69">
      <c r="A53" s="22" t="e">
        <f t="shared" si="54"/>
        <v>#VALUE!</v>
      </c>
      <c r="B53" s="16" t="s">
        <v>56</v>
      </c>
      <c r="C53" s="18" t="s">
        <v>57</v>
      </c>
      <c r="D53" s="15" t="s">
        <v>12</v>
      </c>
      <c r="E53" s="4" t="s">
        <v>13</v>
      </c>
      <c r="F53" s="5" t="s">
        <v>18</v>
      </c>
      <c r="G53" s="2" t="s">
        <v>7</v>
      </c>
      <c r="H53" s="2" t="s">
        <v>15</v>
      </c>
      <c r="I53" s="2" t="s">
        <v>15</v>
      </c>
      <c r="J53" s="2" t="s">
        <v>15</v>
      </c>
      <c r="K53" s="2" t="s">
        <v>15</v>
      </c>
      <c r="L53" s="2" t="s">
        <v>15</v>
      </c>
      <c r="M53" s="2" t="s">
        <v>15</v>
      </c>
      <c r="N53" s="2">
        <f t="shared" si="55"/>
        <v>1</v>
      </c>
      <c r="O53" s="2">
        <f t="shared" si="56"/>
        <v>0</v>
      </c>
      <c r="P53" s="2">
        <f t="shared" si="57"/>
        <v>0</v>
      </c>
      <c r="Q53" s="2">
        <f t="shared" si="58"/>
        <v>0</v>
      </c>
      <c r="R53" s="2">
        <f t="shared" si="59"/>
        <v>0</v>
      </c>
      <c r="S53" s="2" t="s">
        <v>15</v>
      </c>
      <c r="T53" s="2" t="s">
        <v>15</v>
      </c>
      <c r="U53" s="2" t="s">
        <v>7</v>
      </c>
      <c r="V53" s="2" t="s">
        <v>15</v>
      </c>
      <c r="W53" s="2" t="s">
        <v>15</v>
      </c>
      <c r="X53" s="2" t="s">
        <v>15</v>
      </c>
      <c r="Y53" s="2" t="s">
        <v>15</v>
      </c>
      <c r="Z53" s="2">
        <f t="shared" si="60"/>
        <v>1</v>
      </c>
      <c r="AA53" s="2">
        <f t="shared" si="61"/>
        <v>0</v>
      </c>
      <c r="AB53" s="2">
        <f t="shared" si="62"/>
        <v>0</v>
      </c>
      <c r="AC53" s="2">
        <f t="shared" si="63"/>
        <v>0</v>
      </c>
      <c r="AD53" s="2">
        <f t="shared" si="64"/>
        <v>0</v>
      </c>
      <c r="AE53" s="2" t="s">
        <v>7</v>
      </c>
      <c r="AF53" s="2" t="s">
        <v>15</v>
      </c>
      <c r="AG53" s="2" t="s">
        <v>15</v>
      </c>
      <c r="AH53" s="2" t="s">
        <v>15</v>
      </c>
      <c r="AI53" s="2" t="s">
        <v>15</v>
      </c>
      <c r="AJ53" s="2" t="s">
        <v>15</v>
      </c>
      <c r="AK53" s="2" t="s">
        <v>15</v>
      </c>
      <c r="AL53" s="2">
        <f t="shared" si="65"/>
        <v>1</v>
      </c>
      <c r="AM53" s="2">
        <f t="shared" si="66"/>
        <v>0</v>
      </c>
      <c r="AN53" s="2">
        <f t="shared" si="67"/>
        <v>0</v>
      </c>
      <c r="AO53" s="2">
        <f t="shared" si="68"/>
        <v>0</v>
      </c>
      <c r="AP53" s="2">
        <f t="shared" si="69"/>
        <v>0</v>
      </c>
      <c r="AQ53" s="2" t="s">
        <v>15</v>
      </c>
      <c r="AR53" s="2" t="s">
        <v>15</v>
      </c>
      <c r="AS53" s="2" t="s">
        <v>15</v>
      </c>
      <c r="AT53" s="2" t="s">
        <v>15</v>
      </c>
      <c r="AU53" s="2" t="s">
        <v>15</v>
      </c>
      <c r="AV53" s="2" t="s">
        <v>8</v>
      </c>
      <c r="AW53" s="2" t="s">
        <v>15</v>
      </c>
      <c r="AX53" s="2">
        <f t="shared" si="70"/>
        <v>0</v>
      </c>
      <c r="AY53" s="2">
        <f t="shared" si="71"/>
        <v>1</v>
      </c>
      <c r="AZ53" s="2">
        <f t="shared" si="72"/>
        <v>0</v>
      </c>
      <c r="BA53" s="2">
        <f t="shared" si="73"/>
        <v>0</v>
      </c>
      <c r="BB53" s="2">
        <f t="shared" si="74"/>
        <v>0</v>
      </c>
      <c r="BC53" s="2" t="s">
        <v>15</v>
      </c>
      <c r="BD53" s="2" t="s">
        <v>15</v>
      </c>
      <c r="BE53" s="2" t="s">
        <v>15</v>
      </c>
      <c r="BF53" s="2">
        <f t="shared" si="75"/>
        <v>0</v>
      </c>
      <c r="BG53" s="2">
        <f t="shared" si="76"/>
        <v>0</v>
      </c>
      <c r="BH53" s="2">
        <f t="shared" si="77"/>
        <v>0</v>
      </c>
      <c r="BI53" s="2">
        <f t="shared" si="78"/>
        <v>0</v>
      </c>
      <c r="BJ53" s="2">
        <f t="shared" si="79"/>
        <v>0</v>
      </c>
      <c r="BK53" s="2">
        <f t="shared" si="51"/>
        <v>3</v>
      </c>
      <c r="BL53" s="2">
        <f t="shared" si="51"/>
        <v>1</v>
      </c>
      <c r="BM53" s="2">
        <f t="shared" si="51"/>
        <v>0</v>
      </c>
      <c r="BN53" s="2">
        <f t="shared" si="80"/>
        <v>0</v>
      </c>
      <c r="BO53" s="2">
        <f t="shared" si="80"/>
        <v>0</v>
      </c>
      <c r="BP53" s="2">
        <f t="shared" si="53"/>
        <v>4</v>
      </c>
    </row>
    <row r="54" spans="1:69">
      <c r="A54" s="22" t="e">
        <f t="shared" si="54"/>
        <v>#VALUE!</v>
      </c>
      <c r="B54" s="16" t="s">
        <v>108</v>
      </c>
      <c r="C54" s="18" t="s">
        <v>109</v>
      </c>
      <c r="D54" s="15" t="s">
        <v>12</v>
      </c>
      <c r="E54" s="4" t="s">
        <v>13</v>
      </c>
      <c r="F54" s="5" t="s">
        <v>14</v>
      </c>
      <c r="G54" s="2" t="s">
        <v>15</v>
      </c>
      <c r="H54" s="2" t="s">
        <v>7</v>
      </c>
      <c r="I54" s="2" t="s">
        <v>7</v>
      </c>
      <c r="J54" s="2" t="s">
        <v>7</v>
      </c>
      <c r="K54" s="2" t="s">
        <v>15</v>
      </c>
      <c r="L54" s="2" t="s">
        <v>15</v>
      </c>
      <c r="M54" s="2" t="s">
        <v>15</v>
      </c>
      <c r="N54" s="2">
        <f t="shared" si="55"/>
        <v>3</v>
      </c>
      <c r="O54" s="2">
        <f t="shared" si="56"/>
        <v>0</v>
      </c>
      <c r="P54" s="2">
        <f t="shared" si="57"/>
        <v>0</v>
      </c>
      <c r="Q54" s="2">
        <f t="shared" si="58"/>
        <v>0</v>
      </c>
      <c r="R54" s="2">
        <f t="shared" si="59"/>
        <v>0</v>
      </c>
      <c r="S54" s="2" t="s">
        <v>15</v>
      </c>
      <c r="T54" s="2" t="s">
        <v>15</v>
      </c>
      <c r="U54" s="2" t="s">
        <v>15</v>
      </c>
      <c r="V54" s="2" t="s">
        <v>15</v>
      </c>
      <c r="W54" s="2" t="s">
        <v>15</v>
      </c>
      <c r="X54" s="2" t="s">
        <v>15</v>
      </c>
      <c r="Y54" s="2" t="s">
        <v>15</v>
      </c>
      <c r="Z54" s="2">
        <f t="shared" si="60"/>
        <v>0</v>
      </c>
      <c r="AA54" s="2">
        <f t="shared" si="61"/>
        <v>0</v>
      </c>
      <c r="AB54" s="2">
        <f t="shared" si="62"/>
        <v>0</v>
      </c>
      <c r="AC54" s="2">
        <f t="shared" si="63"/>
        <v>0</v>
      </c>
      <c r="AD54" s="2">
        <f t="shared" si="64"/>
        <v>0</v>
      </c>
      <c r="AE54" s="2" t="s">
        <v>15</v>
      </c>
      <c r="AF54" s="2" t="s">
        <v>15</v>
      </c>
      <c r="AG54" s="2" t="s">
        <v>7</v>
      </c>
      <c r="AH54" s="2" t="s">
        <v>15</v>
      </c>
      <c r="AI54" s="2" t="s">
        <v>15</v>
      </c>
      <c r="AJ54" s="2" t="s">
        <v>15</v>
      </c>
      <c r="AK54" s="2" t="s">
        <v>248</v>
      </c>
      <c r="AL54" s="2">
        <f t="shared" si="65"/>
        <v>1</v>
      </c>
      <c r="AM54" s="2">
        <f t="shared" si="66"/>
        <v>0</v>
      </c>
      <c r="AN54" s="2">
        <f t="shared" si="67"/>
        <v>1</v>
      </c>
      <c r="AO54" s="2">
        <f t="shared" si="68"/>
        <v>0</v>
      </c>
      <c r="AP54" s="2">
        <f t="shared" si="69"/>
        <v>0</v>
      </c>
      <c r="AQ54" s="2" t="s">
        <v>15</v>
      </c>
      <c r="AR54" s="2" t="s">
        <v>15</v>
      </c>
      <c r="AS54" s="2" t="s">
        <v>15</v>
      </c>
      <c r="AT54" s="2" t="s">
        <v>6</v>
      </c>
      <c r="AU54" s="2" t="s">
        <v>15</v>
      </c>
      <c r="AV54" s="2" t="s">
        <v>15</v>
      </c>
      <c r="AW54" s="2" t="s">
        <v>15</v>
      </c>
      <c r="AX54" s="2">
        <f t="shared" si="70"/>
        <v>0</v>
      </c>
      <c r="AY54" s="2">
        <f t="shared" si="71"/>
        <v>0</v>
      </c>
      <c r="AZ54" s="2">
        <f t="shared" si="72"/>
        <v>0</v>
      </c>
      <c r="BA54" s="2">
        <f t="shared" si="73"/>
        <v>0</v>
      </c>
      <c r="BB54" s="2">
        <f t="shared" si="74"/>
        <v>1</v>
      </c>
      <c r="BC54" s="2" t="s">
        <v>15</v>
      </c>
      <c r="BD54" s="2" t="s">
        <v>15</v>
      </c>
      <c r="BE54" s="2" t="s">
        <v>15</v>
      </c>
      <c r="BF54" s="2">
        <f t="shared" si="75"/>
        <v>0</v>
      </c>
      <c r="BG54" s="2">
        <f t="shared" si="76"/>
        <v>0</v>
      </c>
      <c r="BH54" s="2">
        <f t="shared" si="77"/>
        <v>0</v>
      </c>
      <c r="BI54" s="2">
        <f t="shared" si="78"/>
        <v>0</v>
      </c>
      <c r="BJ54" s="2">
        <f t="shared" si="79"/>
        <v>0</v>
      </c>
      <c r="BK54" s="2">
        <f t="shared" si="51"/>
        <v>4</v>
      </c>
      <c r="BL54" s="2">
        <f t="shared" si="51"/>
        <v>0</v>
      </c>
      <c r="BM54" s="2">
        <f t="shared" si="51"/>
        <v>1</v>
      </c>
      <c r="BN54" s="2">
        <f t="shared" si="80"/>
        <v>0</v>
      </c>
      <c r="BO54" s="2">
        <f t="shared" si="80"/>
        <v>1</v>
      </c>
      <c r="BP54" s="2">
        <f t="shared" si="53"/>
        <v>6</v>
      </c>
    </row>
    <row r="55" spans="1:69">
      <c r="A55" s="22" t="e">
        <f t="shared" si="54"/>
        <v>#VALUE!</v>
      </c>
      <c r="B55" s="16" t="s">
        <v>104</v>
      </c>
      <c r="C55" s="18" t="s">
        <v>105</v>
      </c>
      <c r="D55" s="15" t="s">
        <v>12</v>
      </c>
      <c r="E55" s="4" t="s">
        <v>13</v>
      </c>
      <c r="F55" s="5" t="s">
        <v>14</v>
      </c>
      <c r="G55" s="2" t="s">
        <v>15</v>
      </c>
      <c r="H55" s="2" t="s">
        <v>15</v>
      </c>
      <c r="I55" s="2" t="s">
        <v>15</v>
      </c>
      <c r="J55" s="2" t="s">
        <v>15</v>
      </c>
      <c r="K55" s="2" t="s">
        <v>15</v>
      </c>
      <c r="L55" s="2" t="s">
        <v>7</v>
      </c>
      <c r="M55" s="2" t="s">
        <v>15</v>
      </c>
      <c r="N55" s="2">
        <f t="shared" si="55"/>
        <v>1</v>
      </c>
      <c r="O55" s="2">
        <f t="shared" si="56"/>
        <v>0</v>
      </c>
      <c r="P55" s="2">
        <f t="shared" si="57"/>
        <v>0</v>
      </c>
      <c r="Q55" s="2">
        <f t="shared" si="58"/>
        <v>0</v>
      </c>
      <c r="R55" s="2">
        <f t="shared" si="59"/>
        <v>0</v>
      </c>
      <c r="S55" s="2" t="s">
        <v>15</v>
      </c>
      <c r="T55" s="2" t="s">
        <v>15</v>
      </c>
      <c r="U55" s="2" t="s">
        <v>15</v>
      </c>
      <c r="V55" s="2" t="s">
        <v>15</v>
      </c>
      <c r="W55" s="2" t="s">
        <v>15</v>
      </c>
      <c r="X55" s="2" t="s">
        <v>15</v>
      </c>
      <c r="Y55" s="2" t="s">
        <v>15</v>
      </c>
      <c r="Z55" s="2">
        <f t="shared" si="60"/>
        <v>0</v>
      </c>
      <c r="AA55" s="2">
        <f t="shared" si="61"/>
        <v>0</v>
      </c>
      <c r="AB55" s="2">
        <f t="shared" si="62"/>
        <v>0</v>
      </c>
      <c r="AC55" s="2">
        <f t="shared" si="63"/>
        <v>0</v>
      </c>
      <c r="AD55" s="2">
        <f t="shared" si="64"/>
        <v>0</v>
      </c>
      <c r="AE55" s="2" t="s">
        <v>15</v>
      </c>
      <c r="AF55" s="2" t="s">
        <v>15</v>
      </c>
      <c r="AG55" s="2" t="s">
        <v>15</v>
      </c>
      <c r="AH55" s="2" t="s">
        <v>15</v>
      </c>
      <c r="AI55" s="2" t="s">
        <v>8</v>
      </c>
      <c r="AJ55" s="2" t="s">
        <v>15</v>
      </c>
      <c r="AK55" s="2" t="s">
        <v>15</v>
      </c>
      <c r="AL55" s="2">
        <f t="shared" si="65"/>
        <v>0</v>
      </c>
      <c r="AM55" s="2">
        <f t="shared" si="66"/>
        <v>1</v>
      </c>
      <c r="AN55" s="2">
        <f t="shared" si="67"/>
        <v>0</v>
      </c>
      <c r="AO55" s="2">
        <f t="shared" si="68"/>
        <v>0</v>
      </c>
      <c r="AP55" s="2">
        <f t="shared" si="69"/>
        <v>0</v>
      </c>
      <c r="AQ55" s="2" t="s">
        <v>15</v>
      </c>
      <c r="AR55" s="2" t="s">
        <v>15</v>
      </c>
      <c r="AS55" s="2" t="s">
        <v>15</v>
      </c>
      <c r="AT55" s="2" t="s">
        <v>15</v>
      </c>
      <c r="AU55" s="2" t="s">
        <v>15</v>
      </c>
      <c r="AV55" s="2" t="s">
        <v>7</v>
      </c>
      <c r="AW55" s="2" t="s">
        <v>15</v>
      </c>
      <c r="AX55" s="2">
        <f t="shared" si="70"/>
        <v>1</v>
      </c>
      <c r="AY55" s="2">
        <f t="shared" si="71"/>
        <v>0</v>
      </c>
      <c r="AZ55" s="2">
        <f t="shared" si="72"/>
        <v>0</v>
      </c>
      <c r="BA55" s="2">
        <f t="shared" si="73"/>
        <v>0</v>
      </c>
      <c r="BB55" s="2">
        <f t="shared" si="74"/>
        <v>0</v>
      </c>
      <c r="BC55" s="2" t="s">
        <v>15</v>
      </c>
      <c r="BD55" s="2" t="s">
        <v>15</v>
      </c>
      <c r="BE55" s="2" t="s">
        <v>15</v>
      </c>
      <c r="BF55" s="2">
        <f t="shared" si="75"/>
        <v>0</v>
      </c>
      <c r="BG55" s="2">
        <f t="shared" si="76"/>
        <v>0</v>
      </c>
      <c r="BH55" s="2">
        <f t="shared" si="77"/>
        <v>0</v>
      </c>
      <c r="BI55" s="2">
        <f t="shared" si="78"/>
        <v>0</v>
      </c>
      <c r="BJ55" s="2">
        <f t="shared" si="79"/>
        <v>0</v>
      </c>
      <c r="BK55" s="2">
        <f t="shared" si="51"/>
        <v>2</v>
      </c>
      <c r="BL55" s="2">
        <f t="shared" si="51"/>
        <v>1</v>
      </c>
      <c r="BM55" s="2">
        <f t="shared" si="51"/>
        <v>0</v>
      </c>
      <c r="BN55" s="2">
        <f t="shared" si="80"/>
        <v>0</v>
      </c>
      <c r="BO55" s="2">
        <f t="shared" si="80"/>
        <v>0</v>
      </c>
      <c r="BP55" s="2">
        <f t="shared" si="53"/>
        <v>3</v>
      </c>
    </row>
    <row r="56" spans="1:69">
      <c r="A56" s="22" t="e">
        <f t="shared" si="54"/>
        <v>#VALUE!</v>
      </c>
      <c r="B56" s="16" t="s">
        <v>35</v>
      </c>
      <c r="C56" s="18" t="s">
        <v>36</v>
      </c>
      <c r="D56" s="15" t="s">
        <v>12</v>
      </c>
      <c r="E56" s="4" t="s">
        <v>13</v>
      </c>
      <c r="F56" s="5" t="s">
        <v>18</v>
      </c>
      <c r="G56" s="2" t="s">
        <v>15</v>
      </c>
      <c r="H56" s="2" t="s">
        <v>15</v>
      </c>
      <c r="I56" s="2" t="s">
        <v>15</v>
      </c>
      <c r="J56" s="2" t="s">
        <v>7</v>
      </c>
      <c r="K56" s="2" t="s">
        <v>15</v>
      </c>
      <c r="L56" s="2" t="s">
        <v>15</v>
      </c>
      <c r="M56" s="2" t="s">
        <v>15</v>
      </c>
      <c r="N56" s="2">
        <f t="shared" si="55"/>
        <v>1</v>
      </c>
      <c r="O56" s="2">
        <f t="shared" si="56"/>
        <v>0</v>
      </c>
      <c r="P56" s="2">
        <f t="shared" si="57"/>
        <v>0</v>
      </c>
      <c r="Q56" s="2">
        <f t="shared" si="58"/>
        <v>0</v>
      </c>
      <c r="R56" s="2">
        <f t="shared" si="59"/>
        <v>0</v>
      </c>
      <c r="S56" s="2" t="s">
        <v>15</v>
      </c>
      <c r="T56" s="2" t="s">
        <v>15</v>
      </c>
      <c r="U56" s="2" t="s">
        <v>15</v>
      </c>
      <c r="V56" s="2" t="s">
        <v>15</v>
      </c>
      <c r="W56" s="2" t="s">
        <v>15</v>
      </c>
      <c r="X56" s="2" t="s">
        <v>15</v>
      </c>
      <c r="Y56" s="2" t="s">
        <v>15</v>
      </c>
      <c r="Z56" s="2">
        <f t="shared" si="60"/>
        <v>0</v>
      </c>
      <c r="AA56" s="2">
        <f t="shared" si="61"/>
        <v>0</v>
      </c>
      <c r="AB56" s="2">
        <f t="shared" si="62"/>
        <v>0</v>
      </c>
      <c r="AC56" s="2">
        <f t="shared" si="63"/>
        <v>0</v>
      </c>
      <c r="AD56" s="2">
        <f t="shared" si="64"/>
        <v>0</v>
      </c>
      <c r="AE56" s="2" t="s">
        <v>15</v>
      </c>
      <c r="AF56" s="2" t="s">
        <v>15</v>
      </c>
      <c r="AG56" s="2" t="s">
        <v>15</v>
      </c>
      <c r="AH56" s="2" t="s">
        <v>15</v>
      </c>
      <c r="AI56" s="2" t="s">
        <v>7</v>
      </c>
      <c r="AJ56" s="2" t="s">
        <v>7</v>
      </c>
      <c r="AK56" s="2" t="s">
        <v>7</v>
      </c>
      <c r="AL56" s="2">
        <f t="shared" si="65"/>
        <v>3</v>
      </c>
      <c r="AM56" s="2">
        <f t="shared" si="66"/>
        <v>0</v>
      </c>
      <c r="AN56" s="2">
        <f t="shared" si="67"/>
        <v>0</v>
      </c>
      <c r="AO56" s="2">
        <f t="shared" si="68"/>
        <v>0</v>
      </c>
      <c r="AP56" s="2">
        <f t="shared" si="69"/>
        <v>0</v>
      </c>
      <c r="AQ56" s="2" t="s">
        <v>248</v>
      </c>
      <c r="AR56" s="2" t="s">
        <v>15</v>
      </c>
      <c r="AS56" s="2" t="s">
        <v>15</v>
      </c>
      <c r="AT56" s="2" t="s">
        <v>15</v>
      </c>
      <c r="AU56" s="2" t="s">
        <v>15</v>
      </c>
      <c r="AV56" s="2" t="s">
        <v>15</v>
      </c>
      <c r="AW56" s="2" t="s">
        <v>15</v>
      </c>
      <c r="AX56" s="2">
        <f t="shared" si="70"/>
        <v>0</v>
      </c>
      <c r="AY56" s="2">
        <f t="shared" si="71"/>
        <v>0</v>
      </c>
      <c r="AZ56" s="2">
        <f t="shared" si="72"/>
        <v>1</v>
      </c>
      <c r="BA56" s="2">
        <f t="shared" si="73"/>
        <v>0</v>
      </c>
      <c r="BB56" s="2">
        <f t="shared" si="74"/>
        <v>0</v>
      </c>
      <c r="BC56" s="2" t="s">
        <v>15</v>
      </c>
      <c r="BD56" s="2" t="s">
        <v>15</v>
      </c>
      <c r="BE56" s="2" t="s">
        <v>15</v>
      </c>
      <c r="BF56" s="2">
        <f t="shared" si="75"/>
        <v>0</v>
      </c>
      <c r="BG56" s="2">
        <f t="shared" si="76"/>
        <v>0</v>
      </c>
      <c r="BH56" s="2">
        <f t="shared" si="77"/>
        <v>0</v>
      </c>
      <c r="BI56" s="2">
        <f t="shared" si="78"/>
        <v>0</v>
      </c>
      <c r="BJ56" s="2">
        <f t="shared" si="79"/>
        <v>0</v>
      </c>
      <c r="BK56" s="2">
        <f t="shared" si="51"/>
        <v>4</v>
      </c>
      <c r="BL56" s="2">
        <f t="shared" si="51"/>
        <v>0</v>
      </c>
      <c r="BM56" s="2">
        <f t="shared" si="51"/>
        <v>1</v>
      </c>
      <c r="BN56" s="2">
        <f t="shared" si="80"/>
        <v>0</v>
      </c>
      <c r="BO56" s="2">
        <f t="shared" si="80"/>
        <v>0</v>
      </c>
      <c r="BP56" s="2">
        <f t="shared" si="53"/>
        <v>5</v>
      </c>
    </row>
    <row r="57" spans="1:69">
      <c r="A57" s="22" t="e">
        <f t="shared" si="54"/>
        <v>#VALUE!</v>
      </c>
      <c r="B57" s="16" t="s">
        <v>72</v>
      </c>
      <c r="C57" s="18" t="s">
        <v>73</v>
      </c>
      <c r="D57" s="15" t="s">
        <v>12</v>
      </c>
      <c r="E57" s="4" t="s">
        <v>29</v>
      </c>
      <c r="F57" s="5" t="s">
        <v>14</v>
      </c>
      <c r="G57" s="2" t="s">
        <v>15</v>
      </c>
      <c r="H57" s="2" t="s">
        <v>15</v>
      </c>
      <c r="I57" s="2" t="s">
        <v>15</v>
      </c>
      <c r="J57" s="2" t="s">
        <v>15</v>
      </c>
      <c r="K57" s="2" t="s">
        <v>15</v>
      </c>
      <c r="L57" s="2" t="s">
        <v>15</v>
      </c>
      <c r="M57" s="2" t="s">
        <v>15</v>
      </c>
      <c r="N57" s="2">
        <f t="shared" si="55"/>
        <v>0</v>
      </c>
      <c r="O57" s="2">
        <f t="shared" si="56"/>
        <v>0</v>
      </c>
      <c r="P57" s="2">
        <f t="shared" si="57"/>
        <v>0</v>
      </c>
      <c r="Q57" s="2">
        <f t="shared" si="58"/>
        <v>0</v>
      </c>
      <c r="R57" s="2">
        <f t="shared" si="59"/>
        <v>0</v>
      </c>
      <c r="S57" s="2" t="s">
        <v>15</v>
      </c>
      <c r="T57" s="2" t="s">
        <v>15</v>
      </c>
      <c r="U57" s="2" t="s">
        <v>15</v>
      </c>
      <c r="V57" s="2" t="s">
        <v>15</v>
      </c>
      <c r="W57" s="2" t="s">
        <v>7</v>
      </c>
      <c r="X57" s="2" t="s">
        <v>7</v>
      </c>
      <c r="Y57" s="2" t="s">
        <v>7</v>
      </c>
      <c r="Z57" s="2">
        <f t="shared" si="60"/>
        <v>3</v>
      </c>
      <c r="AA57" s="2">
        <f t="shared" si="61"/>
        <v>0</v>
      </c>
      <c r="AB57" s="2">
        <f t="shared" si="62"/>
        <v>0</v>
      </c>
      <c r="AC57" s="2">
        <f t="shared" si="63"/>
        <v>0</v>
      </c>
      <c r="AD57" s="2">
        <f t="shared" si="64"/>
        <v>0</v>
      </c>
      <c r="AE57" s="2" t="s">
        <v>7</v>
      </c>
      <c r="AF57" s="2" t="s">
        <v>248</v>
      </c>
      <c r="AG57" s="2" t="s">
        <v>15</v>
      </c>
      <c r="AH57" s="2" t="s">
        <v>15</v>
      </c>
      <c r="AI57" s="2" t="s">
        <v>15</v>
      </c>
      <c r="AJ57" s="2" t="s">
        <v>15</v>
      </c>
      <c r="AK57" s="2" t="s">
        <v>15</v>
      </c>
      <c r="AL57" s="2">
        <f t="shared" si="65"/>
        <v>1</v>
      </c>
      <c r="AM57" s="2">
        <f t="shared" si="66"/>
        <v>0</v>
      </c>
      <c r="AN57" s="2">
        <f t="shared" si="67"/>
        <v>1</v>
      </c>
      <c r="AO57" s="2">
        <f t="shared" si="68"/>
        <v>0</v>
      </c>
      <c r="AP57" s="2">
        <f t="shared" si="69"/>
        <v>0</v>
      </c>
      <c r="AQ57" s="2" t="s">
        <v>15</v>
      </c>
      <c r="AR57" s="2" t="s">
        <v>15</v>
      </c>
      <c r="AS57" s="2" t="s">
        <v>15</v>
      </c>
      <c r="AT57" s="2" t="s">
        <v>15</v>
      </c>
      <c r="AU57" s="2" t="s">
        <v>15</v>
      </c>
      <c r="AV57" s="2" t="s">
        <v>15</v>
      </c>
      <c r="AW57" s="2" t="s">
        <v>15</v>
      </c>
      <c r="AX57" s="2">
        <f t="shared" si="70"/>
        <v>0</v>
      </c>
      <c r="AY57" s="2">
        <f t="shared" si="71"/>
        <v>0</v>
      </c>
      <c r="AZ57" s="2">
        <f t="shared" si="72"/>
        <v>0</v>
      </c>
      <c r="BA57" s="2">
        <f t="shared" si="73"/>
        <v>0</v>
      </c>
      <c r="BB57" s="2">
        <f t="shared" si="74"/>
        <v>0</v>
      </c>
      <c r="BC57" s="2" t="s">
        <v>15</v>
      </c>
      <c r="BD57" s="2" t="s">
        <v>15</v>
      </c>
      <c r="BE57" s="2" t="s">
        <v>15</v>
      </c>
      <c r="BF57" s="2">
        <f t="shared" si="75"/>
        <v>0</v>
      </c>
      <c r="BG57" s="2">
        <f t="shared" si="76"/>
        <v>0</v>
      </c>
      <c r="BH57" s="2">
        <f t="shared" si="77"/>
        <v>0</v>
      </c>
      <c r="BI57" s="2">
        <f t="shared" si="78"/>
        <v>0</v>
      </c>
      <c r="BJ57" s="2">
        <f t="shared" si="79"/>
        <v>0</v>
      </c>
      <c r="BK57" s="2">
        <f t="shared" si="51"/>
        <v>4</v>
      </c>
      <c r="BL57" s="2">
        <f t="shared" si="51"/>
        <v>0</v>
      </c>
      <c r="BM57" s="2">
        <f t="shared" si="51"/>
        <v>1</v>
      </c>
      <c r="BN57" s="2">
        <f t="shared" si="80"/>
        <v>0</v>
      </c>
      <c r="BO57" s="2">
        <f t="shared" si="80"/>
        <v>0</v>
      </c>
      <c r="BP57" s="2">
        <f t="shared" si="53"/>
        <v>5</v>
      </c>
    </row>
    <row r="58" spans="1:69">
      <c r="A58" s="22" t="e">
        <f>A57+1</f>
        <v>#VALUE!</v>
      </c>
      <c r="B58" s="16" t="s">
        <v>42</v>
      </c>
      <c r="C58" s="18" t="s">
        <v>43</v>
      </c>
      <c r="D58" s="15" t="s">
        <v>12</v>
      </c>
      <c r="E58" s="4" t="s">
        <v>13</v>
      </c>
      <c r="F58" s="5" t="s">
        <v>18</v>
      </c>
      <c r="G58" s="2" t="s">
        <v>15</v>
      </c>
      <c r="H58" s="2" t="s">
        <v>15</v>
      </c>
      <c r="I58" s="2" t="s">
        <v>7</v>
      </c>
      <c r="J58" s="2" t="s">
        <v>7</v>
      </c>
      <c r="K58" s="2" t="s">
        <v>7</v>
      </c>
      <c r="L58" s="2" t="s">
        <v>15</v>
      </c>
      <c r="M58" s="2" t="s">
        <v>15</v>
      </c>
      <c r="N58" s="2">
        <f t="shared" si="55"/>
        <v>3</v>
      </c>
      <c r="O58" s="2">
        <f t="shared" si="56"/>
        <v>0</v>
      </c>
      <c r="P58" s="2">
        <f t="shared" si="57"/>
        <v>0</v>
      </c>
      <c r="Q58" s="2">
        <f t="shared" si="58"/>
        <v>0</v>
      </c>
      <c r="R58" s="2">
        <f t="shared" si="59"/>
        <v>0</v>
      </c>
      <c r="S58" s="2" t="s">
        <v>15</v>
      </c>
      <c r="T58" s="2" t="s">
        <v>15</v>
      </c>
      <c r="U58" s="2" t="s">
        <v>15</v>
      </c>
      <c r="V58" s="2" t="s">
        <v>15</v>
      </c>
      <c r="W58" s="2" t="s">
        <v>15</v>
      </c>
      <c r="X58" s="2" t="s">
        <v>15</v>
      </c>
      <c r="Y58" s="2" t="s">
        <v>15</v>
      </c>
      <c r="Z58" s="2">
        <f t="shared" si="60"/>
        <v>0</v>
      </c>
      <c r="AA58" s="2">
        <f t="shared" si="61"/>
        <v>0</v>
      </c>
      <c r="AB58" s="2">
        <f t="shared" si="62"/>
        <v>0</v>
      </c>
      <c r="AC58" s="2">
        <f t="shared" si="63"/>
        <v>0</v>
      </c>
      <c r="AD58" s="2">
        <f t="shared" si="64"/>
        <v>0</v>
      </c>
      <c r="AE58" s="2" t="s">
        <v>15</v>
      </c>
      <c r="AF58" s="2" t="s">
        <v>15</v>
      </c>
      <c r="AG58" s="2" t="s">
        <v>15</v>
      </c>
      <c r="AH58" s="2" t="s">
        <v>15</v>
      </c>
      <c r="AI58" s="2" t="s">
        <v>15</v>
      </c>
      <c r="AJ58" s="2" t="s">
        <v>7</v>
      </c>
      <c r="AK58" s="2" t="s">
        <v>15</v>
      </c>
      <c r="AL58" s="2">
        <f t="shared" si="65"/>
        <v>1</v>
      </c>
      <c r="AM58" s="2">
        <f t="shared" si="66"/>
        <v>0</v>
      </c>
      <c r="AN58" s="2">
        <f t="shared" si="67"/>
        <v>0</v>
      </c>
      <c r="AO58" s="2">
        <f t="shared" si="68"/>
        <v>0</v>
      </c>
      <c r="AP58" s="2">
        <f t="shared" si="69"/>
        <v>0</v>
      </c>
      <c r="AQ58" s="2" t="s">
        <v>15</v>
      </c>
      <c r="AR58" s="2" t="s">
        <v>15</v>
      </c>
      <c r="AS58" s="2" t="s">
        <v>15</v>
      </c>
      <c r="AT58" s="2" t="s">
        <v>15</v>
      </c>
      <c r="AU58" s="2" t="s">
        <v>15</v>
      </c>
      <c r="AV58" s="2" t="s">
        <v>15</v>
      </c>
      <c r="AW58" s="2" t="s">
        <v>15</v>
      </c>
      <c r="AX58" s="2">
        <f t="shared" si="70"/>
        <v>0</v>
      </c>
      <c r="AY58" s="2">
        <f t="shared" si="71"/>
        <v>0</v>
      </c>
      <c r="AZ58" s="2">
        <f t="shared" si="72"/>
        <v>0</v>
      </c>
      <c r="BA58" s="2">
        <f t="shared" si="73"/>
        <v>0</v>
      </c>
      <c r="BB58" s="2">
        <f t="shared" si="74"/>
        <v>0</v>
      </c>
      <c r="BC58" s="2" t="s">
        <v>7</v>
      </c>
      <c r="BD58" s="2" t="s">
        <v>15</v>
      </c>
      <c r="BE58" s="2" t="s">
        <v>15</v>
      </c>
      <c r="BF58" s="2">
        <f t="shared" si="75"/>
        <v>1</v>
      </c>
      <c r="BG58" s="2">
        <f t="shared" si="76"/>
        <v>0</v>
      </c>
      <c r="BH58" s="2">
        <f t="shared" si="77"/>
        <v>0</v>
      </c>
      <c r="BI58" s="2">
        <f t="shared" si="78"/>
        <v>0</v>
      </c>
      <c r="BJ58" s="2">
        <f t="shared" si="79"/>
        <v>0</v>
      </c>
      <c r="BK58" s="2">
        <f t="shared" si="51"/>
        <v>5</v>
      </c>
      <c r="BL58" s="2">
        <f t="shared" si="51"/>
        <v>0</v>
      </c>
      <c r="BM58" s="2">
        <f t="shared" si="51"/>
        <v>0</v>
      </c>
      <c r="BN58" s="2">
        <f t="shared" si="80"/>
        <v>0</v>
      </c>
      <c r="BO58" s="2">
        <f t="shared" si="80"/>
        <v>0</v>
      </c>
      <c r="BP58" s="2">
        <f t="shared" si="53"/>
        <v>5</v>
      </c>
    </row>
    <row r="59" spans="1:69">
      <c r="A59" s="22" t="e">
        <f t="shared" si="54"/>
        <v>#VALUE!</v>
      </c>
      <c r="B59" s="16" t="s">
        <v>253</v>
      </c>
      <c r="C59" s="18" t="s">
        <v>254</v>
      </c>
      <c r="D59" s="15" t="s">
        <v>12</v>
      </c>
      <c r="E59" s="4" t="s">
        <v>13</v>
      </c>
      <c r="F59" s="5" t="s">
        <v>14</v>
      </c>
      <c r="G59" s="2" t="s">
        <v>15</v>
      </c>
      <c r="H59" s="2" t="s">
        <v>7</v>
      </c>
      <c r="I59" s="2" t="s">
        <v>15</v>
      </c>
      <c r="J59" s="2" t="s">
        <v>15</v>
      </c>
      <c r="K59" s="2" t="s">
        <v>15</v>
      </c>
      <c r="L59" s="2" t="s">
        <v>15</v>
      </c>
      <c r="M59" s="2" t="s">
        <v>15</v>
      </c>
      <c r="N59" s="2">
        <f t="shared" si="55"/>
        <v>1</v>
      </c>
      <c r="O59" s="2">
        <f t="shared" si="56"/>
        <v>0</v>
      </c>
      <c r="P59" s="2">
        <f t="shared" si="57"/>
        <v>0</v>
      </c>
      <c r="Q59" s="2">
        <f t="shared" si="58"/>
        <v>0</v>
      </c>
      <c r="R59" s="2">
        <f t="shared" si="59"/>
        <v>0</v>
      </c>
      <c r="S59" s="2" t="s">
        <v>15</v>
      </c>
      <c r="T59" s="2" t="s">
        <v>15</v>
      </c>
      <c r="U59" s="2" t="s">
        <v>15</v>
      </c>
      <c r="V59" s="2" t="s">
        <v>7</v>
      </c>
      <c r="W59" s="2" t="s">
        <v>15</v>
      </c>
      <c r="X59" s="2" t="s">
        <v>15</v>
      </c>
      <c r="Y59" s="2" t="s">
        <v>15</v>
      </c>
      <c r="Z59" s="2">
        <f t="shared" si="60"/>
        <v>1</v>
      </c>
      <c r="AA59" s="2">
        <f t="shared" si="61"/>
        <v>0</v>
      </c>
      <c r="AB59" s="2">
        <f t="shared" si="62"/>
        <v>0</v>
      </c>
      <c r="AC59" s="2">
        <f t="shared" si="63"/>
        <v>0</v>
      </c>
      <c r="AD59" s="2">
        <f t="shared" si="64"/>
        <v>0</v>
      </c>
      <c r="AE59" s="2" t="s">
        <v>15</v>
      </c>
      <c r="AF59" s="2" t="s">
        <v>15</v>
      </c>
      <c r="AG59" s="2" t="s">
        <v>15</v>
      </c>
      <c r="AH59" s="2" t="s">
        <v>15</v>
      </c>
      <c r="AI59" s="2" t="s">
        <v>15</v>
      </c>
      <c r="AJ59" s="2" t="s">
        <v>15</v>
      </c>
      <c r="AK59" s="2" t="s">
        <v>7</v>
      </c>
      <c r="AL59" s="2">
        <f t="shared" si="65"/>
        <v>1</v>
      </c>
      <c r="AM59" s="2">
        <f t="shared" si="66"/>
        <v>0</v>
      </c>
      <c r="AN59" s="2">
        <f t="shared" si="67"/>
        <v>0</v>
      </c>
      <c r="AO59" s="2">
        <f t="shared" si="68"/>
        <v>0</v>
      </c>
      <c r="AP59" s="2">
        <f t="shared" si="69"/>
        <v>0</v>
      </c>
      <c r="AQ59" s="2" t="s">
        <v>7</v>
      </c>
      <c r="AR59" s="2" t="s">
        <v>7</v>
      </c>
      <c r="AS59" s="2" t="s">
        <v>15</v>
      </c>
      <c r="AT59" s="2" t="s">
        <v>15</v>
      </c>
      <c r="AU59" s="2" t="s">
        <v>15</v>
      </c>
      <c r="AV59" s="2" t="s">
        <v>15</v>
      </c>
      <c r="AW59" s="2" t="s">
        <v>15</v>
      </c>
      <c r="AX59" s="2">
        <f t="shared" si="70"/>
        <v>2</v>
      </c>
      <c r="AY59" s="2">
        <f t="shared" si="71"/>
        <v>0</v>
      </c>
      <c r="AZ59" s="2">
        <f t="shared" si="72"/>
        <v>0</v>
      </c>
      <c r="BA59" s="2">
        <f t="shared" si="73"/>
        <v>0</v>
      </c>
      <c r="BB59" s="2">
        <f t="shared" si="74"/>
        <v>0</v>
      </c>
      <c r="BC59" s="2" t="s">
        <v>15</v>
      </c>
      <c r="BD59" s="2" t="s">
        <v>15</v>
      </c>
      <c r="BE59" s="2" t="s">
        <v>15</v>
      </c>
      <c r="BF59" s="2">
        <f t="shared" si="75"/>
        <v>0</v>
      </c>
      <c r="BG59" s="2">
        <f t="shared" si="76"/>
        <v>0</v>
      </c>
      <c r="BH59" s="2">
        <f t="shared" si="77"/>
        <v>0</v>
      </c>
      <c r="BI59" s="2">
        <f t="shared" si="78"/>
        <v>0</v>
      </c>
      <c r="BJ59" s="2">
        <f t="shared" si="79"/>
        <v>0</v>
      </c>
      <c r="BK59" s="2">
        <f t="shared" si="51"/>
        <v>5</v>
      </c>
      <c r="BL59" s="2">
        <f t="shared" si="51"/>
        <v>0</v>
      </c>
      <c r="BM59" s="2">
        <f t="shared" si="51"/>
        <v>0</v>
      </c>
      <c r="BN59" s="2">
        <f t="shared" si="80"/>
        <v>0</v>
      </c>
      <c r="BO59" s="2">
        <f t="shared" si="80"/>
        <v>0</v>
      </c>
      <c r="BP59" s="2">
        <f t="shared" si="53"/>
        <v>5</v>
      </c>
    </row>
    <row r="60" spans="1:69">
      <c r="A60" s="22" t="e">
        <f>A59+1</f>
        <v>#VALUE!</v>
      </c>
      <c r="B60" s="16" t="s">
        <v>262</v>
      </c>
      <c r="C60" s="18" t="s">
        <v>261</v>
      </c>
      <c r="D60" s="15" t="s">
        <v>12</v>
      </c>
      <c r="E60" s="4" t="s">
        <v>13</v>
      </c>
      <c r="F60" s="5" t="s">
        <v>14</v>
      </c>
      <c r="G60" s="2" t="s">
        <v>15</v>
      </c>
      <c r="H60" s="2" t="s">
        <v>15</v>
      </c>
      <c r="I60" s="2" t="s">
        <v>15</v>
      </c>
      <c r="J60" s="2" t="s">
        <v>15</v>
      </c>
      <c r="K60" s="2" t="s">
        <v>15</v>
      </c>
      <c r="L60" s="2" t="s">
        <v>15</v>
      </c>
      <c r="M60" s="2" t="s">
        <v>15</v>
      </c>
      <c r="N60" s="2">
        <f t="shared" si="55"/>
        <v>0</v>
      </c>
      <c r="O60" s="2">
        <f t="shared" si="56"/>
        <v>0</v>
      </c>
      <c r="P60" s="2">
        <f t="shared" si="57"/>
        <v>0</v>
      </c>
      <c r="Q60" s="2">
        <f t="shared" si="58"/>
        <v>0</v>
      </c>
      <c r="R60" s="2">
        <f t="shared" si="59"/>
        <v>0</v>
      </c>
      <c r="S60" s="2" t="s">
        <v>15</v>
      </c>
      <c r="T60" s="2" t="s">
        <v>15</v>
      </c>
      <c r="U60" s="2" t="s">
        <v>8</v>
      </c>
      <c r="V60" s="2" t="s">
        <v>15</v>
      </c>
      <c r="W60" s="2" t="s">
        <v>15</v>
      </c>
      <c r="X60" s="2" t="s">
        <v>15</v>
      </c>
      <c r="Y60" s="2" t="s">
        <v>15</v>
      </c>
      <c r="Z60" s="2">
        <f t="shared" si="60"/>
        <v>0</v>
      </c>
      <c r="AA60" s="2">
        <f t="shared" si="61"/>
        <v>1</v>
      </c>
      <c r="AB60" s="2">
        <f t="shared" si="62"/>
        <v>0</v>
      </c>
      <c r="AC60" s="2">
        <f t="shared" si="63"/>
        <v>0</v>
      </c>
      <c r="AD60" s="2">
        <f t="shared" si="64"/>
        <v>0</v>
      </c>
      <c r="AE60" s="2" t="s">
        <v>15</v>
      </c>
      <c r="AF60" s="2" t="s">
        <v>15</v>
      </c>
      <c r="AG60" s="2" t="s">
        <v>15</v>
      </c>
      <c r="AH60" s="2" t="s">
        <v>7</v>
      </c>
      <c r="AI60" s="2" t="s">
        <v>15</v>
      </c>
      <c r="AJ60" s="2" t="s">
        <v>15</v>
      </c>
      <c r="AK60" s="2" t="s">
        <v>7</v>
      </c>
      <c r="AL60" s="2">
        <f t="shared" si="65"/>
        <v>2</v>
      </c>
      <c r="AM60" s="2">
        <f t="shared" si="66"/>
        <v>0</v>
      </c>
      <c r="AN60" s="2">
        <f t="shared" si="67"/>
        <v>0</v>
      </c>
      <c r="AO60" s="2">
        <f t="shared" si="68"/>
        <v>0</v>
      </c>
      <c r="AP60" s="2">
        <f t="shared" si="69"/>
        <v>0</v>
      </c>
      <c r="AQ60" s="2" t="s">
        <v>7</v>
      </c>
      <c r="AR60" s="2" t="s">
        <v>15</v>
      </c>
      <c r="AS60" s="2" t="s">
        <v>15</v>
      </c>
      <c r="AT60" s="2" t="s">
        <v>15</v>
      </c>
      <c r="AU60" s="2" t="s">
        <v>15</v>
      </c>
      <c r="AV60" s="2" t="s">
        <v>15</v>
      </c>
      <c r="AW60" s="2" t="s">
        <v>15</v>
      </c>
      <c r="AX60" s="2">
        <f t="shared" si="70"/>
        <v>1</v>
      </c>
      <c r="AY60" s="2">
        <f t="shared" si="71"/>
        <v>0</v>
      </c>
      <c r="AZ60" s="2">
        <f t="shared" si="72"/>
        <v>0</v>
      </c>
      <c r="BA60" s="2">
        <f t="shared" si="73"/>
        <v>0</v>
      </c>
      <c r="BB60" s="2">
        <f t="shared" si="74"/>
        <v>0</v>
      </c>
      <c r="BC60" s="2" t="s">
        <v>15</v>
      </c>
      <c r="BD60" s="2" t="s">
        <v>15</v>
      </c>
      <c r="BE60" s="2" t="s">
        <v>15</v>
      </c>
      <c r="BF60" s="2">
        <f t="shared" si="75"/>
        <v>0</v>
      </c>
      <c r="BG60" s="2">
        <f t="shared" si="76"/>
        <v>0</v>
      </c>
      <c r="BH60" s="2">
        <f t="shared" si="77"/>
        <v>0</v>
      </c>
      <c r="BI60" s="2">
        <f t="shared" si="78"/>
        <v>0</v>
      </c>
      <c r="BJ60" s="2">
        <f t="shared" si="79"/>
        <v>0</v>
      </c>
      <c r="BK60" s="2">
        <f t="shared" si="51"/>
        <v>3</v>
      </c>
      <c r="BL60" s="2">
        <f t="shared" si="51"/>
        <v>1</v>
      </c>
      <c r="BM60" s="2">
        <f t="shared" si="51"/>
        <v>0</v>
      </c>
      <c r="BN60" s="2">
        <f t="shared" si="80"/>
        <v>0</v>
      </c>
      <c r="BO60" s="2">
        <f t="shared" si="80"/>
        <v>0</v>
      </c>
      <c r="BP60" s="2">
        <f t="shared" si="53"/>
        <v>4</v>
      </c>
      <c r="BQ60" s="2">
        <f t="shared" ref="BQ60" si="81">SUM(BL60:BP60)</f>
        <v>5</v>
      </c>
    </row>
    <row r="61" spans="1:69">
      <c r="A61" s="22" t="e">
        <f t="shared" si="54"/>
        <v>#VALUE!</v>
      </c>
      <c r="B61" s="16" t="s">
        <v>266</v>
      </c>
      <c r="C61" s="18" t="s">
        <v>267</v>
      </c>
      <c r="D61" s="15" t="s">
        <v>12</v>
      </c>
      <c r="E61" s="4" t="s">
        <v>13</v>
      </c>
      <c r="F61" s="5" t="s">
        <v>14</v>
      </c>
      <c r="G61" s="2" t="s">
        <v>15</v>
      </c>
      <c r="H61" s="2" t="s">
        <v>15</v>
      </c>
      <c r="I61" s="2" t="s">
        <v>15</v>
      </c>
      <c r="J61" s="2" t="s">
        <v>15</v>
      </c>
      <c r="K61" s="2" t="s">
        <v>15</v>
      </c>
      <c r="L61" s="2" t="s">
        <v>15</v>
      </c>
      <c r="M61" s="2" t="s">
        <v>15</v>
      </c>
      <c r="N61" s="2">
        <f t="shared" si="55"/>
        <v>0</v>
      </c>
      <c r="O61" s="2">
        <f t="shared" si="56"/>
        <v>0</v>
      </c>
      <c r="P61" s="2">
        <f t="shared" si="57"/>
        <v>0</v>
      </c>
      <c r="Q61" s="2">
        <f t="shared" si="58"/>
        <v>0</v>
      </c>
      <c r="R61" s="2">
        <f t="shared" si="59"/>
        <v>0</v>
      </c>
      <c r="S61" s="2" t="s">
        <v>15</v>
      </c>
      <c r="T61" s="2" t="s">
        <v>15</v>
      </c>
      <c r="U61" s="27"/>
      <c r="V61" s="2" t="s">
        <v>15</v>
      </c>
      <c r="W61" s="2" t="s">
        <v>15</v>
      </c>
      <c r="X61" s="2" t="s">
        <v>15</v>
      </c>
      <c r="Y61" s="2" t="s">
        <v>15</v>
      </c>
      <c r="Z61" s="2">
        <f t="shared" si="60"/>
        <v>0</v>
      </c>
      <c r="AA61" s="2">
        <f t="shared" si="61"/>
        <v>0</v>
      </c>
      <c r="AB61" s="2">
        <f t="shared" si="62"/>
        <v>0</v>
      </c>
      <c r="AC61" s="2">
        <f t="shared" si="63"/>
        <v>0</v>
      </c>
      <c r="AD61" s="2">
        <f t="shared" si="64"/>
        <v>0</v>
      </c>
      <c r="AE61" s="2" t="s">
        <v>15</v>
      </c>
      <c r="AF61" s="2" t="s">
        <v>15</v>
      </c>
      <c r="AG61" s="2" t="s">
        <v>15</v>
      </c>
      <c r="AH61" s="2" t="s">
        <v>15</v>
      </c>
      <c r="AI61" s="2" t="s">
        <v>15</v>
      </c>
      <c r="AJ61" s="2" t="s">
        <v>7</v>
      </c>
      <c r="AK61" s="2" t="s">
        <v>15</v>
      </c>
      <c r="AL61" s="2">
        <f t="shared" si="65"/>
        <v>1</v>
      </c>
      <c r="AM61" s="2">
        <f>COUNTIF($AE61:$AK61,"TL Choice WO")</f>
        <v>0</v>
      </c>
      <c r="AN61" s="2">
        <f>COUNTIF($AE61:$AK61,"CL")</f>
        <v>0</v>
      </c>
      <c r="AO61" s="2">
        <f>COUNTIF($AE61:$AK61,"HD")</f>
        <v>0</v>
      </c>
      <c r="AP61" s="2">
        <f>COUNTIF($AE61:$AK61,"LP")</f>
        <v>0</v>
      </c>
      <c r="AQ61" s="2" t="s">
        <v>15</v>
      </c>
      <c r="AR61" s="2" t="s">
        <v>15</v>
      </c>
      <c r="AS61" s="2" t="s">
        <v>15</v>
      </c>
      <c r="AT61" s="2" t="s">
        <v>7</v>
      </c>
      <c r="AU61" s="2" t="s">
        <v>15</v>
      </c>
      <c r="AV61" s="2" t="s">
        <v>15</v>
      </c>
      <c r="AW61" s="2" t="s">
        <v>15</v>
      </c>
      <c r="AX61" s="2">
        <f t="shared" si="70"/>
        <v>1</v>
      </c>
      <c r="AY61" s="2">
        <f t="shared" si="71"/>
        <v>0</v>
      </c>
      <c r="AZ61" s="2">
        <f t="shared" si="72"/>
        <v>0</v>
      </c>
      <c r="BA61" s="2">
        <f t="shared" si="73"/>
        <v>0</v>
      </c>
      <c r="BB61" s="2">
        <f t="shared" si="74"/>
        <v>0</v>
      </c>
      <c r="BC61" s="2" t="s">
        <v>15</v>
      </c>
      <c r="BD61" s="2" t="s">
        <v>15</v>
      </c>
      <c r="BE61" s="2" t="s">
        <v>15</v>
      </c>
      <c r="BF61" s="2">
        <f t="shared" si="75"/>
        <v>0</v>
      </c>
      <c r="BG61" s="2">
        <f t="shared" si="76"/>
        <v>0</v>
      </c>
      <c r="BH61" s="2">
        <f t="shared" si="77"/>
        <v>0</v>
      </c>
      <c r="BI61" s="2">
        <f t="shared" si="78"/>
        <v>0</v>
      </c>
      <c r="BJ61" s="2">
        <f t="shared" si="79"/>
        <v>0</v>
      </c>
      <c r="BK61" s="2">
        <f t="shared" si="51"/>
        <v>2</v>
      </c>
      <c r="BL61" s="2">
        <f t="shared" si="51"/>
        <v>0</v>
      </c>
      <c r="BM61" s="2">
        <f t="shared" si="51"/>
        <v>0</v>
      </c>
      <c r="BN61" s="2">
        <f t="shared" si="80"/>
        <v>0</v>
      </c>
      <c r="BO61" s="2">
        <f t="shared" si="80"/>
        <v>0</v>
      </c>
      <c r="BP61" s="2">
        <f t="shared" si="53"/>
        <v>2</v>
      </c>
    </row>
    <row r="62" spans="1:69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">
        <f>SUM(N4:N61)</f>
        <v>60</v>
      </c>
      <c r="O62" s="2">
        <f>SUM(O4:O61)</f>
        <v>0</v>
      </c>
      <c r="P62" s="2">
        <f>SUM(P4:P61)</f>
        <v>0</v>
      </c>
      <c r="Q62" s="2">
        <f>SUM(Q4:Q61)</f>
        <v>1</v>
      </c>
      <c r="R62" s="2">
        <f>SUM(R4:R61)</f>
        <v>0</v>
      </c>
      <c r="S62" s="27"/>
      <c r="T62" s="27"/>
      <c r="U62" s="27"/>
      <c r="V62" s="27"/>
      <c r="W62" s="27"/>
      <c r="X62" s="27"/>
      <c r="Y62" s="27"/>
      <c r="Z62" s="2">
        <f>SUM(Z4:Z61)</f>
        <v>60</v>
      </c>
      <c r="AA62" s="2">
        <f>SUM(AA4:AA61)</f>
        <v>2</v>
      </c>
      <c r="AB62" s="2">
        <f>SUM(AB4:AB61)</f>
        <v>2</v>
      </c>
      <c r="AC62" s="2">
        <f>SUM(AC4:AC61)</f>
        <v>0</v>
      </c>
      <c r="AD62" s="2">
        <f>SUM(AD4:AD61)</f>
        <v>10</v>
      </c>
      <c r="AE62" s="27"/>
      <c r="AF62" s="27"/>
      <c r="AG62" s="27"/>
      <c r="AH62" s="27"/>
      <c r="AI62" s="27"/>
      <c r="AJ62" s="27"/>
      <c r="AK62" s="27"/>
      <c r="AL62" s="2">
        <f>SUM(AL4:AL61)</f>
        <v>57</v>
      </c>
      <c r="AM62" s="2">
        <f>SUM(AM4:AM61)</f>
        <v>2</v>
      </c>
      <c r="AN62" s="2">
        <f>SUM(AN4:AN61)</f>
        <v>4</v>
      </c>
      <c r="AO62" s="2">
        <f>SUM(AO4:AO61)</f>
        <v>0</v>
      </c>
      <c r="AP62" s="2">
        <f>SUM(AP4:AP61)</f>
        <v>5</v>
      </c>
      <c r="AQ62" s="27"/>
      <c r="AR62" s="27"/>
      <c r="AS62" s="27"/>
      <c r="AT62" s="27"/>
      <c r="AU62" s="27"/>
      <c r="AV62" s="27"/>
      <c r="AW62" s="27"/>
      <c r="AX62" s="2">
        <f>SUM(AX4:AX61)</f>
        <v>49</v>
      </c>
      <c r="AY62" s="2">
        <f>SUM(AY4:AY61)</f>
        <v>5</v>
      </c>
      <c r="AZ62" s="2">
        <f>SUM(AZ4:AZ61)</f>
        <v>15</v>
      </c>
      <c r="BA62" s="2">
        <f>SUM(BA4:BA61)</f>
        <v>0</v>
      </c>
      <c r="BB62" s="2">
        <f>SUM(BB4:BB61)</f>
        <v>2</v>
      </c>
      <c r="BC62" s="27"/>
      <c r="BD62" s="27"/>
      <c r="BE62" s="27"/>
      <c r="BF62" s="2">
        <f t="shared" ref="BF62:BO62" si="82">SUM(BF4:BF61)</f>
        <v>9</v>
      </c>
      <c r="BG62" s="2">
        <f t="shared" si="82"/>
        <v>0</v>
      </c>
      <c r="BH62" s="2">
        <f t="shared" si="82"/>
        <v>4</v>
      </c>
      <c r="BI62" s="2">
        <f t="shared" si="82"/>
        <v>0</v>
      </c>
      <c r="BJ62" s="2">
        <f t="shared" si="82"/>
        <v>0</v>
      </c>
      <c r="BK62" s="2">
        <f t="shared" si="82"/>
        <v>235</v>
      </c>
      <c r="BL62" s="2">
        <f t="shared" si="82"/>
        <v>9</v>
      </c>
      <c r="BM62" s="2">
        <f t="shared" si="82"/>
        <v>25</v>
      </c>
      <c r="BN62" s="2">
        <f t="shared" si="82"/>
        <v>1</v>
      </c>
      <c r="BO62" s="2">
        <f t="shared" si="82"/>
        <v>17</v>
      </c>
      <c r="BP62" s="2">
        <f t="shared" si="53"/>
        <v>287</v>
      </c>
    </row>
    <row r="63" spans="1:69">
      <c r="A63" s="27"/>
      <c r="B63" s="27"/>
      <c r="C63" s="27"/>
      <c r="D63" s="27"/>
      <c r="E63" s="27"/>
      <c r="F63" s="6" t="s">
        <v>135</v>
      </c>
      <c r="G63" s="2">
        <f>+COUNTA(G4:G61)-COUNTIF(G4:G61,"Left")</f>
        <v>58</v>
      </c>
      <c r="H63" s="2">
        <f t="shared" ref="H63" si="83">+COUNTA(H4:H61)-COUNTIF(H4:H61,"Left")</f>
        <v>58</v>
      </c>
      <c r="I63" s="2">
        <f t="shared" ref="I63:M63" si="84">+COUNTA(I4:I61)-COUNTIF(I4:I61,"Left")</f>
        <v>58</v>
      </c>
      <c r="J63" s="2">
        <f t="shared" si="84"/>
        <v>58</v>
      </c>
      <c r="K63" s="2">
        <f t="shared" si="84"/>
        <v>58</v>
      </c>
      <c r="L63" s="2">
        <f t="shared" si="84"/>
        <v>58</v>
      </c>
      <c r="M63" s="2">
        <f t="shared" si="84"/>
        <v>58</v>
      </c>
      <c r="N63" s="29"/>
      <c r="O63" s="29"/>
      <c r="P63" s="29"/>
      <c r="Q63" s="29"/>
      <c r="R63" s="29"/>
      <c r="S63" s="2">
        <f t="shared" ref="S63:Y63" si="85">+COUNTA(S4:S61)-COUNTIF(S4:S61,"Left")</f>
        <v>58</v>
      </c>
      <c r="T63" s="2">
        <f t="shared" si="85"/>
        <v>58</v>
      </c>
      <c r="U63" s="2">
        <f t="shared" si="85"/>
        <v>57</v>
      </c>
      <c r="V63" s="2">
        <f t="shared" si="85"/>
        <v>58</v>
      </c>
      <c r="W63" s="2">
        <f t="shared" si="85"/>
        <v>58</v>
      </c>
      <c r="X63" s="2">
        <f t="shared" si="85"/>
        <v>58</v>
      </c>
      <c r="Y63" s="2">
        <f t="shared" si="85"/>
        <v>58</v>
      </c>
      <c r="Z63" s="29"/>
      <c r="AA63" s="29"/>
      <c r="AB63" s="29"/>
      <c r="AC63" s="29"/>
      <c r="AD63" s="29"/>
      <c r="AE63" s="2">
        <f t="shared" ref="AE63:AJ63" si="86">+COUNTA(AE4:AE61)-COUNTIF(AE4:AE61,"Left")</f>
        <v>58</v>
      </c>
      <c r="AF63" s="2">
        <f t="shared" si="86"/>
        <v>58</v>
      </c>
      <c r="AG63" s="2">
        <f t="shared" si="86"/>
        <v>58</v>
      </c>
      <c r="AH63" s="2">
        <f t="shared" si="86"/>
        <v>58</v>
      </c>
      <c r="AI63" s="2">
        <f t="shared" si="86"/>
        <v>58</v>
      </c>
      <c r="AJ63" s="2">
        <f t="shared" si="86"/>
        <v>58</v>
      </c>
      <c r="AK63" s="2">
        <f>+COUNTA(AK4:AK61)-COUNTIF(AK4:AK61,"Left")</f>
        <v>58</v>
      </c>
      <c r="AL63" s="29"/>
      <c r="AM63" s="29"/>
      <c r="AN63" s="29"/>
      <c r="AO63" s="29"/>
      <c r="AP63" s="29"/>
      <c r="AQ63" s="2">
        <f t="shared" ref="AQ63:AW63" si="87">+COUNTA(AQ4:AQ61)-COUNTIF(AQ4:AQ61,"Left")</f>
        <v>58</v>
      </c>
      <c r="AR63" s="2">
        <f t="shared" si="87"/>
        <v>58</v>
      </c>
      <c r="AS63" s="2">
        <f t="shared" si="87"/>
        <v>58</v>
      </c>
      <c r="AT63" s="2">
        <f t="shared" si="87"/>
        <v>58</v>
      </c>
      <c r="AU63" s="2">
        <f t="shared" si="87"/>
        <v>58</v>
      </c>
      <c r="AV63" s="2">
        <f t="shared" si="87"/>
        <v>58</v>
      </c>
      <c r="AW63" s="2">
        <f t="shared" si="87"/>
        <v>58</v>
      </c>
      <c r="AX63" s="29"/>
      <c r="AY63" s="29"/>
      <c r="AZ63" s="29"/>
      <c r="BA63" s="29"/>
      <c r="BB63" s="29"/>
      <c r="BC63" s="2">
        <f t="shared" ref="BC63:BE63" si="88">+COUNTA(BC4:BC61)-COUNTIF(BC4:BC61,"Left")</f>
        <v>58</v>
      </c>
      <c r="BD63" s="2">
        <f t="shared" si="88"/>
        <v>58</v>
      </c>
      <c r="BE63" s="2">
        <f t="shared" si="88"/>
        <v>58</v>
      </c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">
        <f t="shared" si="53"/>
        <v>0</v>
      </c>
    </row>
    <row r="64" spans="1:69">
      <c r="A64" s="27"/>
      <c r="B64" s="27"/>
      <c r="C64" s="27"/>
      <c r="D64" s="27"/>
      <c r="E64" s="27"/>
      <c r="F64" s="6" t="s">
        <v>9</v>
      </c>
      <c r="G64" s="2">
        <f t="shared" ref="G64" si="89">COUNTIF(G4:G59,"Agent Choice WO")+COUNTIF(G4:G59,"TL Choice WO")</f>
        <v>4</v>
      </c>
      <c r="H64" s="2">
        <f>COUNTIF(H4:H61,"Agent Choice WO")+COUNTIF(H4:H61,"TL Choice WO")</f>
        <v>9</v>
      </c>
      <c r="I64" s="2">
        <f t="shared" ref="I64:M64" si="90">COUNTIF(I4:I61,"Agent Choice WO")+COUNTIF(I4:I61,"TL Choice WO")</f>
        <v>8</v>
      </c>
      <c r="J64" s="2">
        <f t="shared" si="90"/>
        <v>12</v>
      </c>
      <c r="K64" s="2">
        <f t="shared" si="90"/>
        <v>8</v>
      </c>
      <c r="L64" s="2">
        <f t="shared" si="90"/>
        <v>15</v>
      </c>
      <c r="M64" s="2">
        <f t="shared" si="90"/>
        <v>4</v>
      </c>
      <c r="N64" s="29"/>
      <c r="O64" s="29"/>
      <c r="P64" s="29"/>
      <c r="Q64" s="29"/>
      <c r="R64" s="29"/>
      <c r="S64" s="2">
        <f t="shared" ref="S64:Y64" si="91">COUNTIF(S4:S61,"Agent Choice WO")+COUNTIF(S4:S61,"TL Choice WO")</f>
        <v>7</v>
      </c>
      <c r="T64" s="2">
        <f t="shared" si="91"/>
        <v>7</v>
      </c>
      <c r="U64" s="2">
        <f t="shared" si="91"/>
        <v>9</v>
      </c>
      <c r="V64" s="2">
        <f t="shared" si="91"/>
        <v>7</v>
      </c>
      <c r="W64" s="2">
        <f t="shared" si="91"/>
        <v>11</v>
      </c>
      <c r="X64" s="2">
        <f t="shared" si="91"/>
        <v>14</v>
      </c>
      <c r="Y64" s="2">
        <f t="shared" si="91"/>
        <v>7</v>
      </c>
      <c r="Z64" s="29"/>
      <c r="AA64" s="29"/>
      <c r="AB64" s="29"/>
      <c r="AC64" s="29"/>
      <c r="AD64" s="29"/>
      <c r="AE64" s="2">
        <f t="shared" ref="AE64:AJ64" si="92">COUNTIF(AE4:AE61,"Agent Choice WO")+COUNTIF(AE4:AE61,"TL Choice WO")</f>
        <v>6</v>
      </c>
      <c r="AF64" s="2">
        <f t="shared" si="92"/>
        <v>5</v>
      </c>
      <c r="AG64" s="2">
        <f t="shared" si="92"/>
        <v>5</v>
      </c>
      <c r="AH64" s="2">
        <f t="shared" si="92"/>
        <v>8</v>
      </c>
      <c r="AI64" s="2">
        <f t="shared" si="92"/>
        <v>9</v>
      </c>
      <c r="AJ64" s="2">
        <f t="shared" si="92"/>
        <v>14</v>
      </c>
      <c r="AK64" s="2">
        <f>COUNTIF(AK4:AK61,"Agent Choice WO")+COUNTIF(AK4:AK61,"TL Choice WO")</f>
        <v>12</v>
      </c>
      <c r="AL64" s="29"/>
      <c r="AM64" s="29"/>
      <c r="AN64" s="29"/>
      <c r="AO64" s="29"/>
      <c r="AP64" s="29"/>
      <c r="AQ64" s="2">
        <f t="shared" ref="AQ64:AW64" si="93">COUNTIF(AQ4:AQ61,"Agent Choice WO")+COUNTIF(AQ4:AQ61,"TL Choice WO")</f>
        <v>7</v>
      </c>
      <c r="AR64" s="2">
        <f t="shared" si="93"/>
        <v>7</v>
      </c>
      <c r="AS64" s="2">
        <f t="shared" si="93"/>
        <v>6</v>
      </c>
      <c r="AT64" s="2">
        <f t="shared" si="93"/>
        <v>9</v>
      </c>
      <c r="AU64" s="2">
        <f t="shared" si="93"/>
        <v>5</v>
      </c>
      <c r="AV64" s="2">
        <f t="shared" si="93"/>
        <v>15</v>
      </c>
      <c r="AW64" s="2">
        <f t="shared" si="93"/>
        <v>5</v>
      </c>
      <c r="AX64" s="29"/>
      <c r="AY64" s="29"/>
      <c r="AZ64" s="29"/>
      <c r="BA64" s="29"/>
      <c r="BB64" s="29"/>
      <c r="BC64" s="2">
        <f t="shared" ref="BC64:BE64" si="94">COUNTIF(BC4:BC61,"Agent Choice WO")+COUNTIF(BC4:BC61,"TL Choice WO")</f>
        <v>4</v>
      </c>
      <c r="BD64" s="2">
        <f t="shared" si="94"/>
        <v>5</v>
      </c>
      <c r="BE64" s="2">
        <f t="shared" si="94"/>
        <v>0</v>
      </c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">
        <f t="shared" si="53"/>
        <v>0</v>
      </c>
    </row>
    <row r="65" spans="1:68">
      <c r="A65" s="27"/>
      <c r="B65" s="27"/>
      <c r="C65" s="27"/>
      <c r="D65" s="27"/>
      <c r="E65" s="27"/>
      <c r="F65" s="6" t="s">
        <v>5</v>
      </c>
      <c r="G65" s="2">
        <f t="shared" ref="G65" si="95">COUNTIF(G4:G59,"HD")</f>
        <v>1</v>
      </c>
      <c r="H65" s="2">
        <f>COUNTIF(H4:H61,"HD")</f>
        <v>0</v>
      </c>
      <c r="I65" s="2">
        <f t="shared" ref="I65:M65" si="96">COUNTIF(I4:I61,"HD")</f>
        <v>0</v>
      </c>
      <c r="J65" s="2">
        <f t="shared" si="96"/>
        <v>0</v>
      </c>
      <c r="K65" s="2">
        <f t="shared" si="96"/>
        <v>0</v>
      </c>
      <c r="L65" s="2">
        <f t="shared" si="96"/>
        <v>0</v>
      </c>
      <c r="M65" s="2">
        <f t="shared" si="96"/>
        <v>0</v>
      </c>
      <c r="N65" s="29"/>
      <c r="O65" s="29"/>
      <c r="P65" s="29"/>
      <c r="Q65" s="29"/>
      <c r="R65" s="29"/>
      <c r="S65" s="2">
        <f t="shared" ref="S65:Y65" si="97">COUNTIF(S4:S61,"HD")</f>
        <v>0</v>
      </c>
      <c r="T65" s="2">
        <f t="shared" si="97"/>
        <v>0</v>
      </c>
      <c r="U65" s="2">
        <f t="shared" si="97"/>
        <v>0</v>
      </c>
      <c r="V65" s="2">
        <f t="shared" si="97"/>
        <v>0</v>
      </c>
      <c r="W65" s="2">
        <f t="shared" si="97"/>
        <v>0</v>
      </c>
      <c r="X65" s="2">
        <f t="shared" si="97"/>
        <v>0</v>
      </c>
      <c r="Y65" s="2">
        <f t="shared" si="97"/>
        <v>0</v>
      </c>
      <c r="Z65" s="29"/>
      <c r="AA65" s="29"/>
      <c r="AB65" s="29"/>
      <c r="AC65" s="29"/>
      <c r="AD65" s="29"/>
      <c r="AE65" s="2">
        <f t="shared" ref="AE65:AJ65" si="98">COUNTIF(AE4:AE61,"HD")</f>
        <v>0</v>
      </c>
      <c r="AF65" s="2">
        <f t="shared" si="98"/>
        <v>0</v>
      </c>
      <c r="AG65" s="2">
        <f t="shared" si="98"/>
        <v>0</v>
      </c>
      <c r="AH65" s="2">
        <f t="shared" si="98"/>
        <v>0</v>
      </c>
      <c r="AI65" s="2">
        <f t="shared" si="98"/>
        <v>0</v>
      </c>
      <c r="AJ65" s="2">
        <f t="shared" si="98"/>
        <v>0</v>
      </c>
      <c r="AK65" s="2">
        <f>COUNTIF(AK4:AK61,"HD")</f>
        <v>0</v>
      </c>
      <c r="AL65" s="29"/>
      <c r="AM65" s="29"/>
      <c r="AN65" s="29"/>
      <c r="AO65" s="29"/>
      <c r="AP65" s="29"/>
      <c r="AQ65" s="2">
        <f t="shared" ref="AQ65:AW65" si="99">COUNTIF(AQ4:AQ61,"HD")</f>
        <v>0</v>
      </c>
      <c r="AR65" s="2">
        <f t="shared" si="99"/>
        <v>0</v>
      </c>
      <c r="AS65" s="2">
        <f t="shared" si="99"/>
        <v>0</v>
      </c>
      <c r="AT65" s="2">
        <f t="shared" si="99"/>
        <v>0</v>
      </c>
      <c r="AU65" s="2">
        <f t="shared" si="99"/>
        <v>0</v>
      </c>
      <c r="AV65" s="2">
        <f t="shared" si="99"/>
        <v>0</v>
      </c>
      <c r="AW65" s="2">
        <f t="shared" si="99"/>
        <v>0</v>
      </c>
      <c r="AX65" s="29"/>
      <c r="AY65" s="29"/>
      <c r="AZ65" s="29"/>
      <c r="BA65" s="29"/>
      <c r="BB65" s="29"/>
      <c r="BC65" s="2">
        <f t="shared" ref="BC65:BE65" si="100">COUNTIF(BC4:BC61,"HD")</f>
        <v>0</v>
      </c>
      <c r="BD65" s="2">
        <f t="shared" si="100"/>
        <v>0</v>
      </c>
      <c r="BE65" s="2">
        <f t="shared" si="100"/>
        <v>0</v>
      </c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">
        <f t="shared" si="53"/>
        <v>0</v>
      </c>
    </row>
    <row r="66" spans="1:68">
      <c r="A66" s="27"/>
      <c r="B66" s="27"/>
      <c r="C66" s="27"/>
      <c r="D66" s="27"/>
      <c r="E66" s="27"/>
      <c r="F66" s="6" t="s">
        <v>6</v>
      </c>
      <c r="G66" s="2">
        <f t="shared" ref="G66" si="101">COUNTIF(G4:G59,"LP")</f>
        <v>0</v>
      </c>
      <c r="H66" s="2">
        <f>COUNTIF(H4:H61,"LP")</f>
        <v>0</v>
      </c>
      <c r="I66" s="2">
        <f t="shared" ref="I66:M66" si="102">COUNTIF(I4:I61,"LP")</f>
        <v>0</v>
      </c>
      <c r="J66" s="2">
        <f t="shared" si="102"/>
        <v>0</v>
      </c>
      <c r="K66" s="2">
        <f t="shared" si="102"/>
        <v>0</v>
      </c>
      <c r="L66" s="2">
        <f t="shared" si="102"/>
        <v>0</v>
      </c>
      <c r="M66" s="2">
        <f t="shared" si="102"/>
        <v>0</v>
      </c>
      <c r="N66" s="29"/>
      <c r="O66" s="29"/>
      <c r="P66" s="29"/>
      <c r="Q66" s="29"/>
      <c r="R66" s="29"/>
      <c r="S66" s="2">
        <f t="shared" ref="S66:Y66" si="103">COUNTIF(S4:S61,"LP")</f>
        <v>0</v>
      </c>
      <c r="T66" s="2">
        <f t="shared" si="103"/>
        <v>1</v>
      </c>
      <c r="U66" s="2">
        <f t="shared" si="103"/>
        <v>2</v>
      </c>
      <c r="V66" s="2">
        <f t="shared" si="103"/>
        <v>2</v>
      </c>
      <c r="W66" s="2">
        <f t="shared" si="103"/>
        <v>2</v>
      </c>
      <c r="X66" s="2">
        <f t="shared" si="103"/>
        <v>2</v>
      </c>
      <c r="Y66" s="2">
        <f t="shared" si="103"/>
        <v>1</v>
      </c>
      <c r="Z66" s="29"/>
      <c r="AA66" s="29"/>
      <c r="AB66" s="29"/>
      <c r="AC66" s="29"/>
      <c r="AD66" s="29"/>
      <c r="AE66" s="2">
        <f t="shared" ref="AE66:AJ66" si="104">COUNTIF(AE4:AE61,"LP")</f>
        <v>1</v>
      </c>
      <c r="AF66" s="2">
        <f t="shared" si="104"/>
        <v>1</v>
      </c>
      <c r="AG66" s="2">
        <f t="shared" si="104"/>
        <v>1</v>
      </c>
      <c r="AH66" s="2">
        <f t="shared" si="104"/>
        <v>1</v>
      </c>
      <c r="AI66" s="2">
        <f t="shared" si="104"/>
        <v>1</v>
      </c>
      <c r="AJ66" s="2">
        <f t="shared" si="104"/>
        <v>0</v>
      </c>
      <c r="AK66" s="2">
        <f>COUNTIF(AK4:AK61,"LP")</f>
        <v>0</v>
      </c>
      <c r="AL66" s="29"/>
      <c r="AM66" s="29"/>
      <c r="AN66" s="29"/>
      <c r="AO66" s="29"/>
      <c r="AP66" s="29"/>
      <c r="AQ66" s="2">
        <f t="shared" ref="AQ66:AW66" si="105">COUNTIF(AQ4:AQ61,"LP")</f>
        <v>0</v>
      </c>
      <c r="AR66" s="2">
        <f t="shared" si="105"/>
        <v>0</v>
      </c>
      <c r="AS66" s="2">
        <f t="shared" si="105"/>
        <v>0</v>
      </c>
      <c r="AT66" s="2">
        <f t="shared" si="105"/>
        <v>2</v>
      </c>
      <c r="AU66" s="2">
        <f t="shared" si="105"/>
        <v>0</v>
      </c>
      <c r="AV66" s="2">
        <f t="shared" si="105"/>
        <v>0</v>
      </c>
      <c r="AW66" s="2">
        <f t="shared" si="105"/>
        <v>0</v>
      </c>
      <c r="AX66" s="29"/>
      <c r="AY66" s="29"/>
      <c r="AZ66" s="29"/>
      <c r="BA66" s="29"/>
      <c r="BB66" s="29"/>
      <c r="BC66" s="2">
        <f t="shared" ref="BC66:BE66" si="106">COUNTIF(BC4:BC61,"LP")</f>
        <v>0</v>
      </c>
      <c r="BD66" s="2">
        <f t="shared" si="106"/>
        <v>0</v>
      </c>
      <c r="BE66" s="2">
        <f t="shared" si="106"/>
        <v>0</v>
      </c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">
        <f t="shared" si="53"/>
        <v>0</v>
      </c>
    </row>
    <row r="67" spans="1:68">
      <c r="A67" s="27"/>
      <c r="B67" s="27"/>
      <c r="C67" s="27"/>
      <c r="D67" s="27"/>
      <c r="E67" s="27"/>
      <c r="F67" s="6" t="s">
        <v>248</v>
      </c>
      <c r="G67" s="2">
        <f t="shared" ref="G67" si="107">COUNTIF(G4:G59,"CL")</f>
        <v>0</v>
      </c>
      <c r="H67" s="2">
        <f>COUNTIF(H4:H61,"CL")</f>
        <v>0</v>
      </c>
      <c r="I67" s="2">
        <f t="shared" ref="I67:M67" si="108">COUNTIF(I4:I61,"CL")</f>
        <v>0</v>
      </c>
      <c r="J67" s="2">
        <f t="shared" si="108"/>
        <v>0</v>
      </c>
      <c r="K67" s="2">
        <f t="shared" si="108"/>
        <v>0</v>
      </c>
      <c r="L67" s="2">
        <f t="shared" si="108"/>
        <v>0</v>
      </c>
      <c r="M67" s="2">
        <f t="shared" si="108"/>
        <v>0</v>
      </c>
      <c r="N67" s="29"/>
      <c r="O67" s="29"/>
      <c r="P67" s="29"/>
      <c r="Q67" s="29"/>
      <c r="R67" s="29"/>
      <c r="S67" s="2">
        <f t="shared" ref="S67:Y67" si="109">COUNTIF(S4:S61,"CL")</f>
        <v>0</v>
      </c>
      <c r="T67" s="2">
        <f t="shared" si="109"/>
        <v>1</v>
      </c>
      <c r="U67" s="2">
        <f t="shared" si="109"/>
        <v>0</v>
      </c>
      <c r="V67" s="2">
        <f t="shared" si="109"/>
        <v>0</v>
      </c>
      <c r="W67" s="2">
        <f t="shared" si="109"/>
        <v>1</v>
      </c>
      <c r="X67" s="2">
        <f t="shared" si="109"/>
        <v>0</v>
      </c>
      <c r="Y67" s="2">
        <f t="shared" si="109"/>
        <v>0</v>
      </c>
      <c r="Z67" s="29"/>
      <c r="AA67" s="29"/>
      <c r="AB67" s="29"/>
      <c r="AC67" s="29"/>
      <c r="AD67" s="29"/>
      <c r="AE67" s="2">
        <f t="shared" ref="AE67:AJ67" si="110">COUNTIF(AE4:AE61,"CL")</f>
        <v>0</v>
      </c>
      <c r="AF67" s="2">
        <f t="shared" si="110"/>
        <v>2</v>
      </c>
      <c r="AG67" s="2">
        <f t="shared" si="110"/>
        <v>1</v>
      </c>
      <c r="AH67" s="2">
        <f t="shared" si="110"/>
        <v>0</v>
      </c>
      <c r="AI67" s="2">
        <f t="shared" si="110"/>
        <v>0</v>
      </c>
      <c r="AJ67" s="2">
        <f t="shared" si="110"/>
        <v>0</v>
      </c>
      <c r="AK67" s="2">
        <f>COUNTIF(AK4:AK61,"CL")</f>
        <v>1</v>
      </c>
      <c r="AL67" s="29"/>
      <c r="AM67" s="29"/>
      <c r="AN67" s="29"/>
      <c r="AO67" s="29"/>
      <c r="AP67" s="29"/>
      <c r="AQ67" s="2">
        <f t="shared" ref="AQ67:AW67" si="111">COUNTIF(AQ4:AQ61,"CL")</f>
        <v>4</v>
      </c>
      <c r="AR67" s="2">
        <f t="shared" si="111"/>
        <v>4</v>
      </c>
      <c r="AS67" s="2">
        <f t="shared" si="111"/>
        <v>2</v>
      </c>
      <c r="AT67" s="2">
        <f t="shared" si="111"/>
        <v>2</v>
      </c>
      <c r="AU67" s="2">
        <f t="shared" si="111"/>
        <v>1</v>
      </c>
      <c r="AV67" s="2">
        <f t="shared" si="111"/>
        <v>1</v>
      </c>
      <c r="AW67" s="2">
        <f t="shared" si="111"/>
        <v>1</v>
      </c>
      <c r="AX67" s="29"/>
      <c r="AY67" s="29"/>
      <c r="AZ67" s="29"/>
      <c r="BA67" s="29"/>
      <c r="BB67" s="29"/>
      <c r="BC67" s="2">
        <f t="shared" ref="BC67:BE67" si="112">COUNTIF(BC4:BC61,"CL")</f>
        <v>1</v>
      </c>
      <c r="BD67" s="2">
        <f t="shared" si="112"/>
        <v>3</v>
      </c>
      <c r="BE67" s="2">
        <f t="shared" si="112"/>
        <v>0</v>
      </c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">
        <f t="shared" si="53"/>
        <v>0</v>
      </c>
    </row>
    <row r="68" spans="1:68">
      <c r="A68" s="27"/>
      <c r="B68" s="27"/>
      <c r="C68" s="27"/>
      <c r="D68" s="27"/>
      <c r="E68" s="27"/>
      <c r="F68" s="6" t="s">
        <v>136</v>
      </c>
      <c r="G68" s="2">
        <f t="shared" ref="G68" si="113">COUNTIF(G4:G59,"Left")</f>
        <v>0</v>
      </c>
      <c r="H68" s="2">
        <f>COUNTIF(H4:H61,"Left")</f>
        <v>0</v>
      </c>
      <c r="I68" s="2">
        <f t="shared" ref="I68:M68" si="114">COUNTIF(I4:I61,"Left")</f>
        <v>0</v>
      </c>
      <c r="J68" s="2">
        <f t="shared" si="114"/>
        <v>0</v>
      </c>
      <c r="K68" s="2">
        <f t="shared" si="114"/>
        <v>0</v>
      </c>
      <c r="L68" s="2">
        <f t="shared" si="114"/>
        <v>0</v>
      </c>
      <c r="M68" s="2">
        <f t="shared" si="114"/>
        <v>0</v>
      </c>
      <c r="N68" s="29"/>
      <c r="O68" s="29"/>
      <c r="P68" s="29"/>
      <c r="Q68" s="29"/>
      <c r="R68" s="29"/>
      <c r="S68" s="2">
        <f t="shared" ref="S68:Y68" si="115">COUNTIF(S4:S61,"Left")</f>
        <v>0</v>
      </c>
      <c r="T68" s="2">
        <f t="shared" si="115"/>
        <v>0</v>
      </c>
      <c r="U68" s="2">
        <f t="shared" si="115"/>
        <v>0</v>
      </c>
      <c r="V68" s="2">
        <f t="shared" si="115"/>
        <v>0</v>
      </c>
      <c r="W68" s="2">
        <f t="shared" si="115"/>
        <v>0</v>
      </c>
      <c r="X68" s="2">
        <f t="shared" si="115"/>
        <v>0</v>
      </c>
      <c r="Y68" s="2">
        <f t="shared" si="115"/>
        <v>0</v>
      </c>
      <c r="Z68" s="29"/>
      <c r="AA68" s="29"/>
      <c r="AB68" s="29"/>
      <c r="AC68" s="29"/>
      <c r="AD68" s="29"/>
      <c r="AE68" s="2">
        <f t="shared" ref="AE68:AJ68" si="116">COUNTIF(AE4:AE61,"Left")</f>
        <v>0</v>
      </c>
      <c r="AF68" s="2">
        <f t="shared" si="116"/>
        <v>0</v>
      </c>
      <c r="AG68" s="2">
        <f t="shared" si="116"/>
        <v>0</v>
      </c>
      <c r="AH68" s="2">
        <f t="shared" si="116"/>
        <v>0</v>
      </c>
      <c r="AI68" s="2">
        <f t="shared" si="116"/>
        <v>0</v>
      </c>
      <c r="AJ68" s="2">
        <f t="shared" si="116"/>
        <v>0</v>
      </c>
      <c r="AK68" s="2">
        <f>COUNTIF(AK4:AK61,"Left")</f>
        <v>0</v>
      </c>
      <c r="AL68" s="29"/>
      <c r="AM68" s="29"/>
      <c r="AN68" s="29"/>
      <c r="AO68" s="29"/>
      <c r="AP68" s="29"/>
      <c r="AQ68" s="2">
        <f t="shared" ref="AQ68:AW68" si="117">COUNTIF(AQ4:AQ61,"Left")</f>
        <v>0</v>
      </c>
      <c r="AR68" s="2">
        <f t="shared" si="117"/>
        <v>0</v>
      </c>
      <c r="AS68" s="2">
        <f t="shared" si="117"/>
        <v>0</v>
      </c>
      <c r="AT68" s="2">
        <f t="shared" si="117"/>
        <v>0</v>
      </c>
      <c r="AU68" s="2">
        <f t="shared" si="117"/>
        <v>0</v>
      </c>
      <c r="AV68" s="2">
        <f t="shared" si="117"/>
        <v>0</v>
      </c>
      <c r="AW68" s="2">
        <f t="shared" si="117"/>
        <v>0</v>
      </c>
      <c r="AX68" s="29"/>
      <c r="AY68" s="29"/>
      <c r="AZ68" s="29"/>
      <c r="BA68" s="29"/>
      <c r="BB68" s="29"/>
      <c r="BC68" s="2">
        <f t="shared" ref="BC68:BE68" si="118">COUNTIF(BC4:BC61,"Left")</f>
        <v>0</v>
      </c>
      <c r="BD68" s="2">
        <f t="shared" si="118"/>
        <v>0</v>
      </c>
      <c r="BE68" s="2">
        <f t="shared" si="118"/>
        <v>0</v>
      </c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">
        <f t="shared" si="53"/>
        <v>0</v>
      </c>
    </row>
    <row r="69" spans="1:68">
      <c r="A69" s="27"/>
      <c r="B69" s="27"/>
      <c r="C69" s="27"/>
      <c r="D69" s="27"/>
      <c r="E69" s="27"/>
      <c r="F69" s="6" t="s">
        <v>137</v>
      </c>
      <c r="G69" s="2">
        <f t="shared" ref="G69:H69" si="119">G63-G64-G65-G66-G67</f>
        <v>53</v>
      </c>
      <c r="H69" s="2">
        <f t="shared" si="119"/>
        <v>49</v>
      </c>
      <c r="I69" s="2">
        <f t="shared" ref="I69:M69" si="120">I63-I64-I65-I66-I67</f>
        <v>50</v>
      </c>
      <c r="J69" s="2">
        <f t="shared" si="120"/>
        <v>46</v>
      </c>
      <c r="K69" s="2">
        <f t="shared" si="120"/>
        <v>50</v>
      </c>
      <c r="L69" s="2">
        <f t="shared" si="120"/>
        <v>43</v>
      </c>
      <c r="M69" s="2">
        <f t="shared" si="120"/>
        <v>54</v>
      </c>
      <c r="N69" s="29"/>
      <c r="O69" s="29"/>
      <c r="P69" s="29"/>
      <c r="Q69" s="29"/>
      <c r="R69" s="29"/>
      <c r="S69" s="2">
        <f t="shared" ref="S69:Y69" si="121">S63-S64-S65-S66-S67</f>
        <v>51</v>
      </c>
      <c r="T69" s="2">
        <f t="shared" si="121"/>
        <v>49</v>
      </c>
      <c r="U69" s="2">
        <f t="shared" si="121"/>
        <v>46</v>
      </c>
      <c r="V69" s="2">
        <f t="shared" si="121"/>
        <v>49</v>
      </c>
      <c r="W69" s="2">
        <f t="shared" si="121"/>
        <v>44</v>
      </c>
      <c r="X69" s="2">
        <f t="shared" si="121"/>
        <v>42</v>
      </c>
      <c r="Y69" s="2">
        <f t="shared" si="121"/>
        <v>50</v>
      </c>
      <c r="Z69" s="29"/>
      <c r="AA69" s="29"/>
      <c r="AB69" s="29"/>
      <c r="AC69" s="29"/>
      <c r="AD69" s="29"/>
      <c r="AE69" s="2">
        <f t="shared" ref="AE69:AK69" si="122">AE63-AE64-AE65-AE66-AE67</f>
        <v>51</v>
      </c>
      <c r="AF69" s="2">
        <f t="shared" si="122"/>
        <v>50</v>
      </c>
      <c r="AG69" s="2">
        <f t="shared" si="122"/>
        <v>51</v>
      </c>
      <c r="AH69" s="2">
        <f t="shared" si="122"/>
        <v>49</v>
      </c>
      <c r="AI69" s="2">
        <f t="shared" si="122"/>
        <v>48</v>
      </c>
      <c r="AJ69" s="2">
        <f t="shared" si="122"/>
        <v>44</v>
      </c>
      <c r="AK69" s="2">
        <f t="shared" si="122"/>
        <v>45</v>
      </c>
      <c r="AL69" s="29"/>
      <c r="AM69" s="29"/>
      <c r="AN69" s="29"/>
      <c r="AO69" s="29"/>
      <c r="AP69" s="29"/>
      <c r="AQ69" s="2">
        <f t="shared" ref="AQ69:AW69" si="123">AQ63-AQ64-AQ65-AQ66-AQ67</f>
        <v>47</v>
      </c>
      <c r="AR69" s="2">
        <f t="shared" si="123"/>
        <v>47</v>
      </c>
      <c r="AS69" s="2">
        <f t="shared" si="123"/>
        <v>50</v>
      </c>
      <c r="AT69" s="2">
        <f t="shared" si="123"/>
        <v>45</v>
      </c>
      <c r="AU69" s="2">
        <f t="shared" si="123"/>
        <v>52</v>
      </c>
      <c r="AV69" s="2">
        <f t="shared" si="123"/>
        <v>42</v>
      </c>
      <c r="AW69" s="2">
        <f t="shared" si="123"/>
        <v>52</v>
      </c>
      <c r="AX69" s="29"/>
      <c r="AY69" s="29"/>
      <c r="AZ69" s="29"/>
      <c r="BA69" s="29"/>
      <c r="BB69" s="29"/>
      <c r="BC69" s="2">
        <f t="shared" ref="BC69:BE69" si="124">BC63-BC64-BC65-BC66-BC67</f>
        <v>53</v>
      </c>
      <c r="BD69" s="2">
        <f t="shared" si="124"/>
        <v>50</v>
      </c>
      <c r="BE69" s="2">
        <f t="shared" si="124"/>
        <v>58</v>
      </c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">
        <f t="shared" si="53"/>
        <v>0</v>
      </c>
    </row>
    <row r="70" spans="1:68">
      <c r="A70" s="27"/>
      <c r="B70" s="27"/>
      <c r="C70" s="27"/>
      <c r="D70" s="27"/>
      <c r="E70" s="27"/>
      <c r="F70" s="6" t="s">
        <v>138</v>
      </c>
      <c r="G70" s="2">
        <f t="shared" ref="G70:H70" si="125">+G66+G64+G67</f>
        <v>4</v>
      </c>
      <c r="H70" s="2">
        <f t="shared" si="125"/>
        <v>9</v>
      </c>
      <c r="I70" s="2">
        <f t="shared" ref="I70:M70" si="126">+I66+I64+I67</f>
        <v>8</v>
      </c>
      <c r="J70" s="2">
        <f t="shared" si="126"/>
        <v>12</v>
      </c>
      <c r="K70" s="2">
        <f t="shared" si="126"/>
        <v>8</v>
      </c>
      <c r="L70" s="2">
        <f t="shared" si="126"/>
        <v>15</v>
      </c>
      <c r="M70" s="2">
        <f t="shared" si="126"/>
        <v>4</v>
      </c>
      <c r="N70" s="29"/>
      <c r="O70" s="29"/>
      <c r="P70" s="29"/>
      <c r="Q70" s="29"/>
      <c r="R70" s="29"/>
      <c r="S70" s="2">
        <f t="shared" ref="S70:Y70" si="127">+S66+S64+S67</f>
        <v>7</v>
      </c>
      <c r="T70" s="2">
        <f t="shared" si="127"/>
        <v>9</v>
      </c>
      <c r="U70" s="2">
        <f t="shared" si="127"/>
        <v>11</v>
      </c>
      <c r="V70" s="2">
        <f t="shared" si="127"/>
        <v>9</v>
      </c>
      <c r="W70" s="2">
        <f t="shared" si="127"/>
        <v>14</v>
      </c>
      <c r="X70" s="2">
        <f t="shared" si="127"/>
        <v>16</v>
      </c>
      <c r="Y70" s="2">
        <f t="shared" si="127"/>
        <v>8</v>
      </c>
      <c r="Z70" s="29"/>
      <c r="AA70" s="29"/>
      <c r="AB70" s="29"/>
      <c r="AC70" s="29"/>
      <c r="AD70" s="29"/>
      <c r="AE70" s="2">
        <f t="shared" ref="AE70:AK70" si="128">+AE66+AE64+AE67</f>
        <v>7</v>
      </c>
      <c r="AF70" s="2">
        <f t="shared" si="128"/>
        <v>8</v>
      </c>
      <c r="AG70" s="2">
        <f t="shared" si="128"/>
        <v>7</v>
      </c>
      <c r="AH70" s="2">
        <f t="shared" si="128"/>
        <v>9</v>
      </c>
      <c r="AI70" s="2">
        <f t="shared" si="128"/>
        <v>10</v>
      </c>
      <c r="AJ70" s="2">
        <f t="shared" si="128"/>
        <v>14</v>
      </c>
      <c r="AK70" s="2">
        <f t="shared" si="128"/>
        <v>13</v>
      </c>
      <c r="AL70" s="29"/>
      <c r="AM70" s="29"/>
      <c r="AN70" s="29"/>
      <c r="AO70" s="29"/>
      <c r="AP70" s="29"/>
      <c r="AQ70" s="2">
        <f t="shared" ref="AQ70:AW70" si="129">+AQ66+AQ64+AQ67</f>
        <v>11</v>
      </c>
      <c r="AR70" s="2">
        <f t="shared" si="129"/>
        <v>11</v>
      </c>
      <c r="AS70" s="2">
        <f t="shared" si="129"/>
        <v>8</v>
      </c>
      <c r="AT70" s="2">
        <f t="shared" si="129"/>
        <v>13</v>
      </c>
      <c r="AU70" s="2">
        <f t="shared" si="129"/>
        <v>6</v>
      </c>
      <c r="AV70" s="2">
        <f t="shared" si="129"/>
        <v>16</v>
      </c>
      <c r="AW70" s="2">
        <f t="shared" si="129"/>
        <v>6</v>
      </c>
      <c r="AX70" s="29"/>
      <c r="AY70" s="29"/>
      <c r="AZ70" s="29"/>
      <c r="BA70" s="29"/>
      <c r="BB70" s="29"/>
      <c r="BC70" s="2">
        <f t="shared" ref="BC70:BE70" si="130">+BC66+BC64+BC67</f>
        <v>5</v>
      </c>
      <c r="BD70" s="2">
        <f t="shared" si="130"/>
        <v>8</v>
      </c>
      <c r="BE70" s="2">
        <f t="shared" si="130"/>
        <v>0</v>
      </c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">
        <f t="shared" ref="BP70:BP72" si="131">SUM(BK70:BO70)</f>
        <v>0</v>
      </c>
    </row>
    <row r="71" spans="1:68">
      <c r="A71" s="27"/>
      <c r="B71" s="27"/>
      <c r="C71" s="27"/>
      <c r="D71" s="27"/>
      <c r="E71" s="27"/>
      <c r="F71" s="6" t="s">
        <v>139</v>
      </c>
      <c r="G71" s="7">
        <f t="shared" ref="G71:H71" si="132">G70/G63</f>
        <v>6.8965517241379309E-2</v>
      </c>
      <c r="H71" s="7">
        <f t="shared" si="132"/>
        <v>0.15517241379310345</v>
      </c>
      <c r="I71" s="7">
        <f t="shared" ref="I71:M71" si="133">I70/I63</f>
        <v>0.13793103448275862</v>
      </c>
      <c r="J71" s="7">
        <f t="shared" si="133"/>
        <v>0.20689655172413793</v>
      </c>
      <c r="K71" s="7">
        <f t="shared" si="133"/>
        <v>0.13793103448275862</v>
      </c>
      <c r="L71" s="7">
        <f t="shared" si="133"/>
        <v>0.25862068965517243</v>
      </c>
      <c r="M71" s="7">
        <f t="shared" si="133"/>
        <v>6.8965517241379309E-2</v>
      </c>
      <c r="N71" s="29"/>
      <c r="O71" s="29"/>
      <c r="P71" s="29"/>
      <c r="Q71" s="29"/>
      <c r="R71" s="29"/>
      <c r="S71" s="7">
        <f t="shared" ref="S71:Y71" si="134">S70/S63</f>
        <v>0.1206896551724138</v>
      </c>
      <c r="T71" s="7">
        <f t="shared" si="134"/>
        <v>0.15517241379310345</v>
      </c>
      <c r="U71" s="7">
        <f t="shared" si="134"/>
        <v>0.19298245614035087</v>
      </c>
      <c r="V71" s="7">
        <f t="shared" si="134"/>
        <v>0.15517241379310345</v>
      </c>
      <c r="W71" s="7">
        <f t="shared" si="134"/>
        <v>0.2413793103448276</v>
      </c>
      <c r="X71" s="7">
        <f t="shared" si="134"/>
        <v>0.27586206896551724</v>
      </c>
      <c r="Y71" s="7">
        <f t="shared" si="134"/>
        <v>0.13793103448275862</v>
      </c>
      <c r="Z71" s="29"/>
      <c r="AA71" s="29"/>
      <c r="AB71" s="29"/>
      <c r="AC71" s="29"/>
      <c r="AD71" s="29"/>
      <c r="AE71" s="7">
        <f t="shared" ref="AE71:AK71" si="135">AE70/AE63</f>
        <v>0.1206896551724138</v>
      </c>
      <c r="AF71" s="7">
        <f t="shared" si="135"/>
        <v>0.13793103448275862</v>
      </c>
      <c r="AG71" s="7">
        <f t="shared" si="135"/>
        <v>0.1206896551724138</v>
      </c>
      <c r="AH71" s="7">
        <f t="shared" si="135"/>
        <v>0.15517241379310345</v>
      </c>
      <c r="AI71" s="7">
        <f t="shared" si="135"/>
        <v>0.17241379310344829</v>
      </c>
      <c r="AJ71" s="7">
        <f t="shared" si="135"/>
        <v>0.2413793103448276</v>
      </c>
      <c r="AK71" s="7">
        <f t="shared" si="135"/>
        <v>0.22413793103448276</v>
      </c>
      <c r="AL71" s="29"/>
      <c r="AM71" s="29"/>
      <c r="AN71" s="29"/>
      <c r="AO71" s="29"/>
      <c r="AP71" s="29"/>
      <c r="AQ71" s="7">
        <f t="shared" ref="AQ71:AW71" si="136">AQ70/AQ63</f>
        <v>0.18965517241379309</v>
      </c>
      <c r="AR71" s="7">
        <f t="shared" si="136"/>
        <v>0.18965517241379309</v>
      </c>
      <c r="AS71" s="7">
        <f t="shared" si="136"/>
        <v>0.13793103448275862</v>
      </c>
      <c r="AT71" s="7">
        <f t="shared" si="136"/>
        <v>0.22413793103448276</v>
      </c>
      <c r="AU71" s="7">
        <f t="shared" si="136"/>
        <v>0.10344827586206896</v>
      </c>
      <c r="AV71" s="7">
        <f t="shared" si="136"/>
        <v>0.27586206896551724</v>
      </c>
      <c r="AW71" s="7">
        <f t="shared" si="136"/>
        <v>0.10344827586206896</v>
      </c>
      <c r="AX71" s="29"/>
      <c r="AY71" s="29"/>
      <c r="AZ71" s="29"/>
      <c r="BA71" s="29"/>
      <c r="BB71" s="29"/>
      <c r="BC71" s="7">
        <f t="shared" ref="BC71:BE71" si="137">BC70/BC63</f>
        <v>8.6206896551724144E-2</v>
      </c>
      <c r="BD71" s="7">
        <f t="shared" si="137"/>
        <v>0.13793103448275862</v>
      </c>
      <c r="BE71" s="7">
        <f t="shared" si="137"/>
        <v>0</v>
      </c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">
        <f t="shared" si="131"/>
        <v>0</v>
      </c>
    </row>
    <row r="72" spans="1:68">
      <c r="A72" s="29"/>
      <c r="B72" s="29"/>
      <c r="C72" s="29"/>
      <c r="D72" s="29"/>
      <c r="E72" s="29"/>
      <c r="F72" s="6" t="s">
        <v>140</v>
      </c>
      <c r="G72" s="7">
        <f t="shared" ref="G72:H72" si="138">G69/(G63-G64-G65-G66-G68)</f>
        <v>1</v>
      </c>
      <c r="H72" s="7">
        <f t="shared" si="138"/>
        <v>1</v>
      </c>
      <c r="I72" s="7">
        <f t="shared" ref="I72:M72" si="139">I69/(I63-I64-I65-I66-I68)</f>
        <v>1</v>
      </c>
      <c r="J72" s="7">
        <f t="shared" si="139"/>
        <v>1</v>
      </c>
      <c r="K72" s="7">
        <f t="shared" si="139"/>
        <v>1</v>
      </c>
      <c r="L72" s="7">
        <f t="shared" si="139"/>
        <v>1</v>
      </c>
      <c r="M72" s="7">
        <f t="shared" si="139"/>
        <v>1</v>
      </c>
      <c r="N72" s="29"/>
      <c r="O72" s="29"/>
      <c r="P72" s="29"/>
      <c r="Q72" s="29"/>
      <c r="R72" s="29"/>
      <c r="S72" s="7">
        <f t="shared" ref="S72:Y72" si="140">S69/(S63-S64-S65-S66-S68)</f>
        <v>1</v>
      </c>
      <c r="T72" s="7">
        <f t="shared" si="140"/>
        <v>0.98</v>
      </c>
      <c r="U72" s="7">
        <f t="shared" si="140"/>
        <v>1</v>
      </c>
      <c r="V72" s="7">
        <f t="shared" si="140"/>
        <v>1</v>
      </c>
      <c r="W72" s="7">
        <f t="shared" si="140"/>
        <v>0.97777777777777775</v>
      </c>
      <c r="X72" s="7">
        <f t="shared" si="140"/>
        <v>1</v>
      </c>
      <c r="Y72" s="7">
        <f t="shared" si="140"/>
        <v>1</v>
      </c>
      <c r="Z72" s="29"/>
      <c r="AA72" s="29"/>
      <c r="AB72" s="29"/>
      <c r="AC72" s="29"/>
      <c r="AD72" s="29"/>
      <c r="AE72" s="7">
        <f t="shared" ref="AE72:AK72" si="141">AE69/(AE63-AE64-AE65-AE66-AE68)</f>
        <v>1</v>
      </c>
      <c r="AF72" s="7">
        <f t="shared" si="141"/>
        <v>0.96153846153846156</v>
      </c>
      <c r="AG72" s="7">
        <f t="shared" si="141"/>
        <v>0.98076923076923073</v>
      </c>
      <c r="AH72" s="7">
        <f t="shared" si="141"/>
        <v>1</v>
      </c>
      <c r="AI72" s="7">
        <f t="shared" si="141"/>
        <v>1</v>
      </c>
      <c r="AJ72" s="7">
        <f t="shared" si="141"/>
        <v>1</v>
      </c>
      <c r="AK72" s="7">
        <f t="shared" si="141"/>
        <v>0.97826086956521741</v>
      </c>
      <c r="AL72" s="29"/>
      <c r="AM72" s="29"/>
      <c r="AN72" s="29"/>
      <c r="AO72" s="29"/>
      <c r="AP72" s="29"/>
      <c r="AQ72" s="7">
        <f t="shared" ref="AQ72:AW72" si="142">AQ69/(AQ63-AQ64-AQ65-AQ66-AQ68)</f>
        <v>0.92156862745098034</v>
      </c>
      <c r="AR72" s="7">
        <f t="shared" si="142"/>
        <v>0.92156862745098034</v>
      </c>
      <c r="AS72" s="7">
        <f t="shared" si="142"/>
        <v>0.96153846153846156</v>
      </c>
      <c r="AT72" s="7">
        <f t="shared" si="142"/>
        <v>0.95744680851063835</v>
      </c>
      <c r="AU72" s="7">
        <f t="shared" si="142"/>
        <v>0.98113207547169812</v>
      </c>
      <c r="AV72" s="7">
        <f t="shared" si="142"/>
        <v>0.97674418604651159</v>
      </c>
      <c r="AW72" s="7">
        <f t="shared" si="142"/>
        <v>0.98113207547169812</v>
      </c>
      <c r="AX72" s="29"/>
      <c r="AY72" s="29"/>
      <c r="AZ72" s="29"/>
      <c r="BA72" s="29"/>
      <c r="BB72" s="29"/>
      <c r="BC72" s="7">
        <f t="shared" ref="BC72:BE72" si="143">BC69/(BC63-BC64-BC65-BC66-BC68)</f>
        <v>0.98148148148148151</v>
      </c>
      <c r="BD72" s="7">
        <f t="shared" si="143"/>
        <v>0.94339622641509435</v>
      </c>
      <c r="BE72" s="7">
        <f t="shared" si="143"/>
        <v>1</v>
      </c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">
        <f t="shared" si="131"/>
        <v>0</v>
      </c>
    </row>
  </sheetData>
  <mergeCells count="6">
    <mergeCell ref="BK2:BO2"/>
    <mergeCell ref="Z2:AD2"/>
    <mergeCell ref="N2:R2"/>
    <mergeCell ref="AL2:AP2"/>
    <mergeCell ref="AX2:BB2"/>
    <mergeCell ref="BF2:BJ2"/>
  </mergeCells>
  <conditionalFormatting sqref="A38">
    <cfRule type="cellIs" dxfId="408" priority="63" operator="equal">
      <formula>"LP"</formula>
    </cfRule>
    <cfRule type="cellIs" dxfId="407" priority="58" operator="equal">
      <formula>"Holiday"</formula>
    </cfRule>
    <cfRule type="cellIs" dxfId="406" priority="59" operator="equal">
      <formula>"CL"</formula>
    </cfRule>
    <cfRule type="cellIs" dxfId="405" priority="60" operator="equal">
      <formula>"Left"</formula>
    </cfRule>
    <cfRule type="cellIs" dxfId="404" priority="61" operator="equal">
      <formula>"7:00-14:30"</formula>
    </cfRule>
    <cfRule type="cellIs" dxfId="403" priority="62" operator="equal">
      <formula>"HD"</formula>
    </cfRule>
    <cfRule type="cellIs" dxfId="402" priority="66" operator="equal">
      <formula>"10:00-17:00"</formula>
    </cfRule>
    <cfRule type="cellIs" dxfId="401" priority="64" operator="equal">
      <formula>"TL Choice WO"</formula>
    </cfRule>
    <cfRule type="cellIs" dxfId="400" priority="65" operator="equal">
      <formula>"14:30-22:00"</formula>
    </cfRule>
    <cfRule type="cellIs" dxfId="399" priority="70" operator="equal">
      <formula>"7:00-14:30"</formula>
    </cfRule>
    <cfRule type="cellIs" dxfId="398" priority="69" operator="equal">
      <formula>"10:00-17:30"</formula>
    </cfRule>
    <cfRule type="cellIs" dxfId="397" priority="68" operator="equal">
      <formula>"Agent Choice WO"</formula>
    </cfRule>
    <cfRule type="cellIs" dxfId="396" priority="67" operator="equal">
      <formula>"22:00-7:00"</formula>
    </cfRule>
    <cfRule type="cellIs" dxfId="395" priority="57" operator="equal">
      <formula>"CO"</formula>
    </cfRule>
  </conditionalFormatting>
  <conditionalFormatting sqref="B5">
    <cfRule type="duplicateValues" dxfId="394" priority="2487"/>
  </conditionalFormatting>
  <conditionalFormatting sqref="B6:B61">
    <cfRule type="duplicateValues" dxfId="393" priority="30380"/>
  </conditionalFormatting>
  <conditionalFormatting sqref="D4:D61">
    <cfRule type="cellIs" dxfId="392" priority="2491" operator="equal">
      <formula>"Naina"</formula>
    </cfRule>
    <cfRule type="cellIs" dxfId="391" priority="2490" operator="equal">
      <formula>"Sanjesh "</formula>
    </cfRule>
  </conditionalFormatting>
  <conditionalFormatting sqref="E4:E61">
    <cfRule type="cellIs" dxfId="390" priority="2493" operator="equal">
      <formula>"F"</formula>
    </cfRule>
    <cfRule type="cellIs" dxfId="389" priority="2492" operator="equal">
      <formula>"M"</formula>
    </cfRule>
  </conditionalFormatting>
  <conditionalFormatting sqref="F4:F61">
    <cfRule type="cellIs" dxfId="388" priority="2013" operator="equal">
      <formula>"Officer Helpdesk"</formula>
    </cfRule>
    <cfRule type="cellIs" dxfId="387" priority="2012" operator="equal">
      <formula>"Disaster"</formula>
    </cfRule>
    <cfRule type="cellIs" dxfId="386" priority="2011" operator="equal">
      <formula>"DDTG"</formula>
    </cfRule>
    <cfRule type="cellIs" dxfId="385" priority="2010" operator="equal">
      <formula>"Excise &amp; Taxation "</formula>
    </cfRule>
    <cfRule type="cellIs" dxfId="384" priority="2009" operator="equal">
      <formula>"Manual Inbound"</formula>
    </cfRule>
    <cfRule type="cellIs" dxfId="383" priority="2008" operator="equal">
      <formula>"HRTC"</formula>
    </cfRule>
    <cfRule type="cellIs" dxfId="382" priority="2007" operator="equal">
      <formula>"FCS"</formula>
    </cfRule>
    <cfRule type="cellIs" dxfId="381" priority="2006" operator="equal">
      <formula>"Himseva manual Inbound"</formula>
    </cfRule>
    <cfRule type="cellIs" dxfId="380" priority="2015" operator="equal">
      <formula>"Inbound"</formula>
    </cfRule>
    <cfRule type="cellIs" dxfId="379" priority="2014" operator="equal">
      <formula>"Himseva manual preview"</formula>
    </cfRule>
  </conditionalFormatting>
  <conditionalFormatting sqref="G4:M61 AE4:AK61">
    <cfRule type="cellIs" dxfId="378" priority="1649" operator="equal">
      <formula>"CL"</formula>
    </cfRule>
    <cfRule type="cellIs" dxfId="377" priority="1650" operator="equal">
      <formula>"Left"</formula>
    </cfRule>
  </conditionalFormatting>
  <conditionalFormatting sqref="G4:M61">
    <cfRule type="cellIs" dxfId="376" priority="223" operator="equal">
      <formula>"CO"</formula>
    </cfRule>
    <cfRule type="cellIs" dxfId="375" priority="224" operator="equal">
      <formula>"Holiday"</formula>
    </cfRule>
  </conditionalFormatting>
  <conditionalFormatting sqref="L33">
    <cfRule type="cellIs" dxfId="374" priority="167" operator="equal">
      <formula>"CO"</formula>
    </cfRule>
    <cfRule type="cellIs" dxfId="373" priority="168" operator="equal">
      <formula>"Holiday"</formula>
    </cfRule>
    <cfRule type="cellIs" dxfId="372" priority="169" operator="equal">
      <formula>"CL"</formula>
    </cfRule>
    <cfRule type="cellIs" dxfId="371" priority="170" operator="equal">
      <formula>"Left"</formula>
    </cfRule>
  </conditionalFormatting>
  <conditionalFormatting sqref="L50">
    <cfRule type="cellIs" dxfId="370" priority="1726" operator="equal">
      <formula>"Left"</formula>
    </cfRule>
    <cfRule type="cellIs" dxfId="369" priority="1725" operator="equal">
      <formula>"CL"</formula>
    </cfRule>
  </conditionalFormatting>
  <conditionalFormatting sqref="M11">
    <cfRule type="cellIs" dxfId="368" priority="1723" operator="equal">
      <formula>"CL"</formula>
    </cfRule>
    <cfRule type="cellIs" dxfId="367" priority="1724" operator="equal">
      <formula>"Left"</formula>
    </cfRule>
  </conditionalFormatting>
  <conditionalFormatting sqref="M19">
    <cfRule type="cellIs" dxfId="366" priority="1721" operator="equal">
      <formula>"CL"</formula>
    </cfRule>
    <cfRule type="cellIs" dxfId="365" priority="1722" operator="equal">
      <formula>"Left"</formula>
    </cfRule>
  </conditionalFormatting>
  <conditionalFormatting sqref="M35">
    <cfRule type="cellIs" dxfId="364" priority="161" operator="equal">
      <formula>"CL"</formula>
    </cfRule>
    <cfRule type="cellIs" dxfId="363" priority="162" operator="equal">
      <formula>"Left"</formula>
    </cfRule>
    <cfRule type="cellIs" dxfId="362" priority="160" operator="equal">
      <formula>"Holiday"</formula>
    </cfRule>
    <cfRule type="cellIs" dxfId="361" priority="159" operator="equal">
      <formula>"CO"</formula>
    </cfRule>
  </conditionalFormatting>
  <conditionalFormatting sqref="M56">
    <cfRule type="cellIs" dxfId="360" priority="156" operator="equal">
      <formula>"Holiday"</formula>
    </cfRule>
    <cfRule type="cellIs" dxfId="359" priority="158" operator="equal">
      <formula>"Left"</formula>
    </cfRule>
    <cfRule type="cellIs" dxfId="358" priority="157" operator="equal">
      <formula>"CL"</formula>
    </cfRule>
    <cfRule type="cellIs" dxfId="357" priority="155" operator="equal">
      <formula>"CO"</formula>
    </cfRule>
  </conditionalFormatting>
  <conditionalFormatting sqref="M58:M61">
    <cfRule type="cellIs" dxfId="356" priority="1740" operator="equal">
      <formula>"Left"</formula>
    </cfRule>
    <cfRule type="cellIs" dxfId="355" priority="1739" operator="equal">
      <formula>"CL"</formula>
    </cfRule>
  </conditionalFormatting>
  <conditionalFormatting sqref="N5:R61 Z5:AD61 AL5:AP61 AX5:BB61 BF5:BJ61 P62 BM62">
    <cfRule type="containsText" dxfId="354" priority="27217" operator="containsText" text="7:00-14.30">
      <formula>NOT(ISERROR(SEARCH("7:00-14.30",N5)))</formula>
    </cfRule>
    <cfRule type="cellIs" dxfId="353" priority="25194" operator="equal">
      <formula>"7:00-14:30"</formula>
    </cfRule>
    <cfRule type="containsText" dxfId="352" priority="27233" operator="containsText" text="WO">
      <formula>NOT(ISERROR(SEARCH("WO",N5)))</formula>
    </cfRule>
    <cfRule type="containsText" dxfId="351" priority="27230" operator="containsText" text="Left">
      <formula>NOT(ISERROR(SEARCH("Left",N5)))</formula>
    </cfRule>
    <cfRule type="containsText" dxfId="350" priority="27226" operator="containsText" text="Left">
      <formula>NOT(ISERROR(SEARCH("Left",N5)))</formula>
    </cfRule>
    <cfRule type="containsText" dxfId="349" priority="27231" operator="containsText" text="HD">
      <formula>NOT(ISERROR(SEARCH("HD",N5)))</formula>
    </cfRule>
    <cfRule type="containsText" dxfId="348" priority="27232" operator="containsText" text="LP">
      <formula>NOT(ISERROR(SEARCH("LP",N5)))</formula>
    </cfRule>
  </conditionalFormatting>
  <conditionalFormatting sqref="N5:R62 Z5:AD62 AL5:AP62 AX5:BB62 BF62:BO62 BF5:BJ61">
    <cfRule type="containsText" dxfId="347" priority="22936" operator="containsText" text="7:00-14.30">
      <formula>NOT(ISERROR(SEARCH("7:00-14.30",N5)))</formula>
    </cfRule>
  </conditionalFormatting>
  <conditionalFormatting sqref="N62:R62">
    <cfRule type="containsText" dxfId="346" priority="22933" operator="containsText" text="LP">
      <formula>NOT(ISERROR(SEARCH("LP",N62)))</formula>
    </cfRule>
    <cfRule type="containsText" dxfId="345" priority="22934" operator="containsText" text="WO">
      <formula>NOT(ISERROR(SEARCH("WO",N62)))</formula>
    </cfRule>
    <cfRule type="containsText" dxfId="344" priority="22929" operator="containsText" text="7:00-14.30">
      <formula>NOT(ISERROR(SEARCH("7:00-14.30",N62)))</formula>
    </cfRule>
    <cfRule type="cellIs" dxfId="343" priority="22935" operator="equal">
      <formula>"7:00-14:30"</formula>
    </cfRule>
    <cfRule type="containsText" dxfId="342" priority="22930" operator="containsText" text="Left">
      <formula>NOT(ISERROR(SEARCH("Left",N62)))</formula>
    </cfRule>
    <cfRule type="containsText" dxfId="341" priority="22931" operator="containsText" text="Left">
      <formula>NOT(ISERROR(SEARCH("Left",N62)))</formula>
    </cfRule>
    <cfRule type="containsText" dxfId="340" priority="22932" operator="containsText" text="HD">
      <formula>NOT(ISERROR(SEARCH("HD",N62)))</formula>
    </cfRule>
  </conditionalFormatting>
  <conditionalFormatting sqref="S12">
    <cfRule type="cellIs" dxfId="339" priority="180" operator="equal">
      <formula>"Holiday"</formula>
    </cfRule>
    <cfRule type="cellIs" dxfId="338" priority="181" operator="equal">
      <formula>"CL"</formula>
    </cfRule>
    <cfRule type="cellIs" dxfId="337" priority="182" operator="equal">
      <formula>"Left"</formula>
    </cfRule>
    <cfRule type="cellIs" dxfId="336" priority="179" operator="equal">
      <formula>"CO"</formula>
    </cfRule>
  </conditionalFormatting>
  <conditionalFormatting sqref="S17">
    <cfRule type="cellIs" dxfId="335" priority="195" operator="equal">
      <formula>"CO"</formula>
    </cfRule>
    <cfRule type="cellIs" dxfId="334" priority="196" operator="equal">
      <formula>"Holiday"</formula>
    </cfRule>
  </conditionalFormatting>
  <conditionalFormatting sqref="S23">
    <cfRule type="cellIs" dxfId="333" priority="222" operator="equal">
      <formula>"Holiday"</formula>
    </cfRule>
    <cfRule type="cellIs" dxfId="332" priority="221" operator="equal">
      <formula>"CO"</formula>
    </cfRule>
  </conditionalFormatting>
  <conditionalFormatting sqref="S33">
    <cfRule type="cellIs" dxfId="331" priority="184" operator="equal">
      <formula>"Holiday"</formula>
    </cfRule>
    <cfRule type="cellIs" dxfId="330" priority="186" operator="equal">
      <formula>"Left"</formula>
    </cfRule>
    <cfRule type="cellIs" dxfId="329" priority="185" operator="equal">
      <formula>"CL"</formula>
    </cfRule>
    <cfRule type="cellIs" dxfId="328" priority="183" operator="equal">
      <formula>"CO"</formula>
    </cfRule>
  </conditionalFormatting>
  <conditionalFormatting sqref="S35">
    <cfRule type="cellIs" dxfId="327" priority="190" operator="equal">
      <formula>"Left"</formula>
    </cfRule>
    <cfRule type="cellIs" dxfId="326" priority="189" operator="equal">
      <formula>"CL"</formula>
    </cfRule>
    <cfRule type="cellIs" dxfId="325" priority="188" operator="equal">
      <formula>"Holiday"</formula>
    </cfRule>
    <cfRule type="cellIs" dxfId="324" priority="187" operator="equal">
      <formula>"CO"</formula>
    </cfRule>
  </conditionalFormatting>
  <conditionalFormatting sqref="S39">
    <cfRule type="cellIs" dxfId="323" priority="178" operator="equal">
      <formula>"Left"</formula>
    </cfRule>
    <cfRule type="cellIs" dxfId="322" priority="177" operator="equal">
      <formula>"CL"</formula>
    </cfRule>
    <cfRule type="cellIs" dxfId="321" priority="176" operator="equal">
      <formula>"Holiday"</formula>
    </cfRule>
    <cfRule type="cellIs" dxfId="320" priority="175" operator="equal">
      <formula>"CO"</formula>
    </cfRule>
  </conditionalFormatting>
  <conditionalFormatting sqref="S17:T17">
    <cfRule type="cellIs" dxfId="319" priority="198" operator="equal">
      <formula>"Left"</formula>
    </cfRule>
    <cfRule type="cellIs" dxfId="318" priority="197" operator="equal">
      <formula>"CL"</formula>
    </cfRule>
  </conditionalFormatting>
  <conditionalFormatting sqref="S20:T20">
    <cfRule type="cellIs" dxfId="317" priority="1757" operator="equal">
      <formula>"CL"</formula>
    </cfRule>
    <cfRule type="cellIs" dxfId="316" priority="1758" operator="equal">
      <formula>"Left"</formula>
    </cfRule>
  </conditionalFormatting>
  <conditionalFormatting sqref="S28:V29">
    <cfRule type="cellIs" dxfId="315" priority="1764" operator="equal">
      <formula>"Left"</formula>
    </cfRule>
    <cfRule type="cellIs" dxfId="314" priority="1763" operator="equal">
      <formula>"CL"</formula>
    </cfRule>
  </conditionalFormatting>
  <conditionalFormatting sqref="S4:Y60 G4:M61 AE4:AK61 S61:T61 V61:Y61">
    <cfRule type="cellIs" dxfId="313" priority="1651" operator="equal">
      <formula>"7:00-14:30"</formula>
    </cfRule>
    <cfRule type="cellIs" dxfId="312" priority="1656" operator="equal">
      <formula>"10:00-17:00"</formula>
    </cfRule>
    <cfRule type="cellIs" dxfId="311" priority="1660" operator="equal">
      <formula>"7:00-14:30"</formula>
    </cfRule>
    <cfRule type="cellIs" dxfId="310" priority="1654" operator="equal">
      <formula>"TL Choice WO"</formula>
    </cfRule>
    <cfRule type="cellIs" dxfId="309" priority="1655" operator="equal">
      <formula>"14:30-22:00"</formula>
    </cfRule>
    <cfRule type="cellIs" dxfId="308" priority="1658" operator="equal">
      <formula>"Agent Choice WO"</formula>
    </cfRule>
    <cfRule type="cellIs" dxfId="307" priority="1659" operator="equal">
      <formula>"10:00-17:30"</formula>
    </cfRule>
    <cfRule type="cellIs" dxfId="306" priority="1652" operator="equal">
      <formula>"HD"</formula>
    </cfRule>
    <cfRule type="cellIs" dxfId="305" priority="1657" operator="equal">
      <formula>"22:00-7:00"</formula>
    </cfRule>
    <cfRule type="cellIs" dxfId="304" priority="1653" operator="equal">
      <formula>"LP"</formula>
    </cfRule>
  </conditionalFormatting>
  <conditionalFormatting sqref="S4:Y60 S61:T61 V61:Y61">
    <cfRule type="cellIs" dxfId="303" priority="213" operator="equal">
      <formula>"CL"</formula>
    </cfRule>
    <cfRule type="cellIs" dxfId="302" priority="214" operator="equal">
      <formula>"Left"</formula>
    </cfRule>
    <cfRule type="cellIs" dxfId="301" priority="211" operator="equal">
      <formula>"CO"</formula>
    </cfRule>
    <cfRule type="cellIs" dxfId="300" priority="212" operator="equal">
      <formula>"Holiday"</formula>
    </cfRule>
  </conditionalFormatting>
  <conditionalFormatting sqref="U23:X23">
    <cfRule type="cellIs" dxfId="299" priority="220" operator="equal">
      <formula>"Holiday"</formula>
    </cfRule>
    <cfRule type="cellIs" dxfId="298" priority="219" operator="equal">
      <formula>"CO"</formula>
    </cfRule>
  </conditionalFormatting>
  <conditionalFormatting sqref="X50">
    <cfRule type="cellIs" dxfId="297" priority="1155" operator="equal">
      <formula>"CL"</formula>
    </cfRule>
    <cfRule type="cellIs" dxfId="296" priority="1156" operator="equal">
      <formula>"Left"</formula>
    </cfRule>
  </conditionalFormatting>
  <conditionalFormatting sqref="X55:Y55">
    <cfRule type="cellIs" dxfId="295" priority="96" operator="equal">
      <formula>"Holiday"</formula>
    </cfRule>
    <cfRule type="cellIs" dxfId="294" priority="95" operator="equal">
      <formula>"CO"</formula>
    </cfRule>
    <cfRule type="cellIs" dxfId="293" priority="97" operator="equal">
      <formula>"CL"</formula>
    </cfRule>
    <cfRule type="cellIs" dxfId="292" priority="98" operator="equal">
      <formula>"Left"</formula>
    </cfRule>
  </conditionalFormatting>
  <conditionalFormatting sqref="Y6:Y7">
    <cfRule type="cellIs" dxfId="291" priority="110" operator="equal">
      <formula>"Left"</formula>
    </cfRule>
    <cfRule type="cellIs" dxfId="290" priority="107" operator="equal">
      <formula>"CO"</formula>
    </cfRule>
    <cfRule type="cellIs" dxfId="289" priority="108" operator="equal">
      <formula>"Holiday"</formula>
    </cfRule>
    <cfRule type="cellIs" dxfId="288" priority="109" operator="equal">
      <formula>"CL"</formula>
    </cfRule>
  </conditionalFormatting>
  <conditionalFormatting sqref="Y11">
    <cfRule type="cellIs" dxfId="287" priority="1154" operator="equal">
      <formula>"Left"</formula>
    </cfRule>
    <cfRule type="cellIs" dxfId="286" priority="1153" operator="equal">
      <formula>"CL"</formula>
    </cfRule>
  </conditionalFormatting>
  <conditionalFormatting sqref="Y19">
    <cfRule type="cellIs" dxfId="285" priority="1152" operator="equal">
      <formula>"Left"</formula>
    </cfRule>
    <cfRule type="cellIs" dxfId="284" priority="1151" operator="equal">
      <formula>"CL"</formula>
    </cfRule>
  </conditionalFormatting>
  <conditionalFormatting sqref="Y58:Y61">
    <cfRule type="cellIs" dxfId="283" priority="1157" operator="equal">
      <formula>"CL"</formula>
    </cfRule>
    <cfRule type="cellIs" dxfId="282" priority="1158" operator="equal">
      <formula>"Left"</formula>
    </cfRule>
  </conditionalFormatting>
  <conditionalFormatting sqref="Z62:AD62">
    <cfRule type="containsText" dxfId="281" priority="17212" operator="containsText" text="7:00-14.30">
      <formula>NOT(ISERROR(SEARCH("7:00-14.30",Z62)))</formula>
    </cfRule>
    <cfRule type="containsText" dxfId="280" priority="17214" operator="containsText" text="Left">
      <formula>NOT(ISERROR(SEARCH("Left",Z62)))</formula>
    </cfRule>
    <cfRule type="containsText" dxfId="279" priority="17215" operator="containsText" text="HD">
      <formula>NOT(ISERROR(SEARCH("HD",Z62)))</formula>
    </cfRule>
    <cfRule type="containsText" dxfId="278" priority="17216" operator="containsText" text="LP">
      <formula>NOT(ISERROR(SEARCH("LP",Z62)))</formula>
    </cfRule>
    <cfRule type="containsText" dxfId="277" priority="17217" operator="containsText" text="WO">
      <formula>NOT(ISERROR(SEARCH("WO",Z62)))</formula>
    </cfRule>
    <cfRule type="cellIs" dxfId="276" priority="17218" operator="equal">
      <formula>"7:00-14:30"</formula>
    </cfRule>
    <cfRule type="containsText" dxfId="275" priority="17213" operator="containsText" text="Left">
      <formula>NOT(ISERROR(SEARCH("Left",Z62)))</formula>
    </cfRule>
  </conditionalFormatting>
  <conditionalFormatting sqref="AE36">
    <cfRule type="cellIs" dxfId="274" priority="132" operator="equal">
      <formula>"Left"</formula>
    </cfRule>
    <cfRule type="cellIs" dxfId="273" priority="131" operator="equal">
      <formula>"CL"</formula>
    </cfRule>
    <cfRule type="cellIs" dxfId="272" priority="130" operator="equal">
      <formula>"Holiday"</formula>
    </cfRule>
    <cfRule type="cellIs" dxfId="271" priority="129" operator="equal">
      <formula>"CO"</formula>
    </cfRule>
  </conditionalFormatting>
  <conditionalFormatting sqref="AE39">
    <cfRule type="cellIs" dxfId="270" priority="127" operator="equal">
      <formula>"CL"</formula>
    </cfRule>
    <cfRule type="cellIs" dxfId="269" priority="126" operator="equal">
      <formula>"Holiday"</formula>
    </cfRule>
    <cfRule type="cellIs" dxfId="268" priority="125" operator="equal">
      <formula>"CO"</formula>
    </cfRule>
    <cfRule type="cellIs" dxfId="267" priority="128" operator="equal">
      <formula>"Left"</formula>
    </cfRule>
  </conditionalFormatting>
  <conditionalFormatting sqref="AE55">
    <cfRule type="cellIs" dxfId="266" priority="105" operator="equal">
      <formula>"CL"</formula>
    </cfRule>
    <cfRule type="cellIs" dxfId="265" priority="106" operator="equal">
      <formula>"Left"</formula>
    </cfRule>
    <cfRule type="cellIs" dxfId="264" priority="103" operator="equal">
      <formula>"CO"</formula>
    </cfRule>
    <cfRule type="cellIs" dxfId="263" priority="104" operator="equal">
      <formula>"Holiday"</formula>
    </cfRule>
  </conditionalFormatting>
  <conditionalFormatting sqref="AE17:AF17">
    <cfRule type="cellIs" dxfId="262" priority="1753" operator="equal">
      <formula>"CL"</formula>
    </cfRule>
    <cfRule type="cellIs" dxfId="261" priority="1754" operator="equal">
      <formula>"Left"</formula>
    </cfRule>
  </conditionalFormatting>
  <conditionalFormatting sqref="AE20:AF20">
    <cfRule type="cellIs" dxfId="260" priority="1741" operator="equal">
      <formula>"CL"</formula>
    </cfRule>
    <cfRule type="cellIs" dxfId="259" priority="1742" operator="equal">
      <formula>"Left"</formula>
    </cfRule>
  </conditionalFormatting>
  <conditionalFormatting sqref="AE4:AK61">
    <cfRule type="cellIs" dxfId="258" priority="871" operator="equal">
      <formula>"CO"</formula>
    </cfRule>
    <cfRule type="cellIs" dxfId="257" priority="872" operator="equal">
      <formula>"Holiday"</formula>
    </cfRule>
  </conditionalFormatting>
  <conditionalFormatting sqref="AF27">
    <cfRule type="cellIs" dxfId="256" priority="90" operator="equal">
      <formula>"Left"</formula>
    </cfRule>
    <cfRule type="cellIs" dxfId="255" priority="89" operator="equal">
      <formula>"CL"</formula>
    </cfRule>
    <cfRule type="cellIs" dxfId="254" priority="88" operator="equal">
      <formula>"Holiday"</formula>
    </cfRule>
    <cfRule type="cellIs" dxfId="253" priority="87" operator="equal">
      <formula>"CO"</formula>
    </cfRule>
  </conditionalFormatting>
  <conditionalFormatting sqref="AF40">
    <cfRule type="cellIs" dxfId="252" priority="121" operator="equal">
      <formula>"CO"</formula>
    </cfRule>
    <cfRule type="cellIs" dxfId="251" priority="122" operator="equal">
      <formula>"Holiday"</formula>
    </cfRule>
    <cfRule type="cellIs" dxfId="250" priority="124" operator="equal">
      <formula>"Left"</formula>
    </cfRule>
    <cfRule type="cellIs" dxfId="249" priority="123" operator="equal">
      <formula>"CL"</formula>
    </cfRule>
  </conditionalFormatting>
  <conditionalFormatting sqref="AH27">
    <cfRule type="cellIs" dxfId="248" priority="92" operator="equal">
      <formula>"Holiday"</formula>
    </cfRule>
    <cfRule type="cellIs" dxfId="247" priority="93" operator="equal">
      <formula>"CL"</formula>
    </cfRule>
    <cfRule type="cellIs" dxfId="246" priority="94" operator="equal">
      <formula>"Left"</formula>
    </cfRule>
    <cfRule type="cellIs" dxfId="245" priority="91" operator="equal">
      <formula>"CO"</formula>
    </cfRule>
  </conditionalFormatting>
  <conditionalFormatting sqref="AJ50">
    <cfRule type="cellIs" dxfId="244" priority="1012" operator="equal">
      <formula>"Left"</formula>
    </cfRule>
    <cfRule type="cellIs" dxfId="243" priority="1011" operator="equal">
      <formula>"CL"</formula>
    </cfRule>
  </conditionalFormatting>
  <conditionalFormatting sqref="AK11:AK12">
    <cfRule type="cellIs" dxfId="242" priority="154" operator="equal">
      <formula>"Left"</formula>
    </cfRule>
    <cfRule type="cellIs" dxfId="241" priority="153" operator="equal">
      <formula>"CL"</formula>
    </cfRule>
  </conditionalFormatting>
  <conditionalFormatting sqref="AK12">
    <cfRule type="cellIs" dxfId="240" priority="151" operator="equal">
      <formula>"CO"</formula>
    </cfRule>
    <cfRule type="cellIs" dxfId="239" priority="152" operator="equal">
      <formula>"Holiday"</formula>
    </cfRule>
  </conditionalFormatting>
  <conditionalFormatting sqref="AK19">
    <cfRule type="cellIs" dxfId="238" priority="1007" operator="equal">
      <formula>"CL"</formula>
    </cfRule>
    <cfRule type="cellIs" dxfId="237" priority="1008" operator="equal">
      <formula>"Left"</formula>
    </cfRule>
  </conditionalFormatting>
  <conditionalFormatting sqref="AK58:AK61">
    <cfRule type="cellIs" dxfId="236" priority="1013" operator="equal">
      <formula>"CL"</formula>
    </cfRule>
    <cfRule type="cellIs" dxfId="235" priority="1014" operator="equal">
      <formula>"Left"</formula>
    </cfRule>
  </conditionalFormatting>
  <conditionalFormatting sqref="AL62:AP62">
    <cfRule type="cellIs" dxfId="234" priority="13538" operator="equal">
      <formula>"7:00-14:30"</formula>
    </cfRule>
    <cfRule type="containsText" dxfId="233" priority="13537" operator="containsText" text="WO">
      <formula>NOT(ISERROR(SEARCH("WO",AL62)))</formula>
    </cfRule>
    <cfRule type="containsText" dxfId="232" priority="13536" operator="containsText" text="LP">
      <formula>NOT(ISERROR(SEARCH("LP",AL62)))</formula>
    </cfRule>
    <cfRule type="containsText" dxfId="231" priority="13535" operator="containsText" text="HD">
      <formula>NOT(ISERROR(SEARCH("HD",AL62)))</formula>
    </cfRule>
    <cfRule type="containsText" dxfId="230" priority="13533" operator="containsText" text="Left">
      <formula>NOT(ISERROR(SEARCH("Left",AL62)))</formula>
    </cfRule>
    <cfRule type="containsText" dxfId="229" priority="13532" operator="containsText" text="7:00-14.30">
      <formula>NOT(ISERROR(SEARCH("7:00-14.30",AL62)))</formula>
    </cfRule>
    <cfRule type="containsText" dxfId="228" priority="13534" operator="containsText" text="Left">
      <formula>NOT(ISERROR(SEARCH("Left",AL62)))</formula>
    </cfRule>
  </conditionalFormatting>
  <conditionalFormatting sqref="AQ11">
    <cfRule type="cellIs" dxfId="227" priority="218" operator="equal">
      <formula>"Holiday"</formula>
    </cfRule>
    <cfRule type="cellIs" dxfId="226" priority="217" operator="equal">
      <formula>"CO"</formula>
    </cfRule>
  </conditionalFormatting>
  <conditionalFormatting sqref="AQ59:AQ60">
    <cfRule type="cellIs" dxfId="225" priority="73" operator="equal">
      <formula>"CL"</formula>
    </cfRule>
    <cfRule type="cellIs" dxfId="224" priority="72" operator="equal">
      <formula>"Holiday"</formula>
    </cfRule>
    <cfRule type="cellIs" dxfId="223" priority="71" operator="equal">
      <formula>"CO"</formula>
    </cfRule>
    <cfRule type="cellIs" dxfId="222" priority="74" operator="equal">
      <formula>"Left"</formula>
    </cfRule>
  </conditionalFormatting>
  <conditionalFormatting sqref="AQ4:AW61">
    <cfRule type="cellIs" dxfId="221" priority="19" operator="equal">
      <formula>"7:00-14:30"</formula>
    </cfRule>
    <cfRule type="cellIs" dxfId="220" priority="27" operator="equal">
      <formula>"10:00-17:30"</formula>
    </cfRule>
    <cfRule type="cellIs" dxfId="219" priority="26" operator="equal">
      <formula>"Agent Choice WO"</formula>
    </cfRule>
    <cfRule type="cellIs" dxfId="218" priority="25" operator="equal">
      <formula>"22:00-7:00"</formula>
    </cfRule>
    <cfRule type="cellIs" dxfId="217" priority="17" operator="equal">
      <formula>"CL"</formula>
    </cfRule>
    <cfRule type="cellIs" dxfId="216" priority="16" operator="equal">
      <formula>"Holiday"</formula>
    </cfRule>
    <cfRule type="cellIs" dxfId="215" priority="18" operator="equal">
      <formula>"Left"</formula>
    </cfRule>
    <cfRule type="cellIs" dxfId="214" priority="15" operator="equal">
      <formula>"CO"</formula>
    </cfRule>
    <cfRule type="cellIs" dxfId="213" priority="20" operator="equal">
      <formula>"HD"</formula>
    </cfRule>
    <cfRule type="cellIs" dxfId="212" priority="21" operator="equal">
      <formula>"LP"</formula>
    </cfRule>
    <cfRule type="cellIs" dxfId="211" priority="22" operator="equal">
      <formula>"TL Choice WO"</formula>
    </cfRule>
    <cfRule type="cellIs" dxfId="210" priority="23" operator="equal">
      <formula>"14:30-22:00"</formula>
    </cfRule>
    <cfRule type="cellIs" dxfId="209" priority="28" operator="equal">
      <formula>"7:00-14:30"</formula>
    </cfRule>
    <cfRule type="cellIs" dxfId="208" priority="24" operator="equal">
      <formula>"10:00-17:00"</formula>
    </cfRule>
  </conditionalFormatting>
  <conditionalFormatting sqref="AT33">
    <cfRule type="cellIs" dxfId="207" priority="82" operator="equal">
      <formula>"Left"</formula>
    </cfRule>
    <cfRule type="cellIs" dxfId="206" priority="81" operator="equal">
      <formula>"CL"</formula>
    </cfRule>
    <cfRule type="cellIs" dxfId="205" priority="80" operator="equal">
      <formula>"Holiday"</formula>
    </cfRule>
    <cfRule type="cellIs" dxfId="204" priority="79" operator="equal">
      <formula>"CO"</formula>
    </cfRule>
  </conditionalFormatting>
  <conditionalFormatting sqref="AV15">
    <cfRule type="cellIs" dxfId="203" priority="194" operator="equal">
      <formula>"Left"</formula>
    </cfRule>
    <cfRule type="cellIs" dxfId="202" priority="191" operator="equal">
      <formula>"CO"</formula>
    </cfRule>
    <cfRule type="cellIs" dxfId="201" priority="193" operator="equal">
      <formula>"CL"</formula>
    </cfRule>
    <cfRule type="cellIs" dxfId="200" priority="192" operator="equal">
      <formula>"Holiday"</formula>
    </cfRule>
  </conditionalFormatting>
  <conditionalFormatting sqref="AV50">
    <cfRule type="cellIs" dxfId="199" priority="867" operator="equal">
      <formula>"CL"</formula>
    </cfRule>
    <cfRule type="cellIs" dxfId="198" priority="868" operator="equal">
      <formula>"Left"</formula>
    </cfRule>
  </conditionalFormatting>
  <conditionalFormatting sqref="AW11">
    <cfRule type="cellIs" dxfId="197" priority="865" operator="equal">
      <formula>"CL"</formula>
    </cfRule>
    <cfRule type="cellIs" dxfId="196" priority="866" operator="equal">
      <formula>"Left"</formula>
    </cfRule>
  </conditionalFormatting>
  <conditionalFormatting sqref="AW19">
    <cfRule type="cellIs" dxfId="195" priority="863" operator="equal">
      <formula>"CL"</formula>
    </cfRule>
    <cfRule type="cellIs" dxfId="194" priority="864" operator="equal">
      <formula>"Left"</formula>
    </cfRule>
  </conditionalFormatting>
  <conditionalFormatting sqref="AW58:AW61">
    <cfRule type="cellIs" dxfId="193" priority="869" operator="equal">
      <formula>"CL"</formula>
    </cfRule>
    <cfRule type="cellIs" dxfId="192" priority="870" operator="equal">
      <formula>"Left"</formula>
    </cfRule>
  </conditionalFormatting>
  <conditionalFormatting sqref="AX62:BB62">
    <cfRule type="containsText" dxfId="191" priority="9852" operator="containsText" text="7:00-14.30">
      <formula>NOT(ISERROR(SEARCH("7:00-14.30",AX62)))</formula>
    </cfRule>
    <cfRule type="containsText" dxfId="190" priority="9853" operator="containsText" text="Left">
      <formula>NOT(ISERROR(SEARCH("Left",AX62)))</formula>
    </cfRule>
    <cfRule type="containsText" dxfId="189" priority="9854" operator="containsText" text="Left">
      <formula>NOT(ISERROR(SEARCH("Left",AX62)))</formula>
    </cfRule>
    <cfRule type="containsText" dxfId="188" priority="9855" operator="containsText" text="HD">
      <formula>NOT(ISERROR(SEARCH("HD",AX62)))</formula>
    </cfRule>
    <cfRule type="containsText" dxfId="187" priority="9856" operator="containsText" text="LP">
      <formula>NOT(ISERROR(SEARCH("LP",AX62)))</formula>
    </cfRule>
    <cfRule type="containsText" dxfId="186" priority="9857" operator="containsText" text="WO">
      <formula>NOT(ISERROR(SEARCH("WO",AX62)))</formula>
    </cfRule>
    <cfRule type="cellIs" dxfId="185" priority="9858" operator="equal">
      <formula>"7:00-14:30"</formula>
    </cfRule>
  </conditionalFormatting>
  <conditionalFormatting sqref="BC19">
    <cfRule type="cellIs" dxfId="184" priority="591" operator="equal">
      <formula>"CL"</formula>
    </cfRule>
    <cfRule type="cellIs" dxfId="183" priority="592" operator="equal">
      <formula>"Left"</formula>
    </cfRule>
  </conditionalFormatting>
  <conditionalFormatting sqref="BC5:BD5">
    <cfRule type="cellIs" dxfId="182" priority="203" operator="equal">
      <formula>"CO"</formula>
    </cfRule>
    <cfRule type="cellIs" dxfId="181" priority="204" operator="equal">
      <formula>"Holiday"</formula>
    </cfRule>
    <cfRule type="cellIs" dxfId="180" priority="205" operator="equal">
      <formula>"CL"</formula>
    </cfRule>
    <cfRule type="cellIs" dxfId="179" priority="206" operator="equal">
      <formula>"Left"</formula>
    </cfRule>
  </conditionalFormatting>
  <conditionalFormatting sqref="BC4:BE61">
    <cfRule type="cellIs" dxfId="178" priority="4" operator="equal">
      <formula>"Left"</formula>
    </cfRule>
    <cfRule type="cellIs" dxfId="177" priority="2" operator="equal">
      <formula>"Holiday"</formula>
    </cfRule>
    <cfRule type="cellIs" dxfId="176" priority="1" operator="equal">
      <formula>"CO"</formula>
    </cfRule>
    <cfRule type="cellIs" dxfId="175" priority="3" operator="equal">
      <formula>"CL"</formula>
    </cfRule>
    <cfRule type="cellIs" dxfId="174" priority="5" operator="equal">
      <formula>"7:00-14:30"</formula>
    </cfRule>
    <cfRule type="cellIs" dxfId="173" priority="6" operator="equal">
      <formula>"HD"</formula>
    </cfRule>
    <cfRule type="cellIs" dxfId="172" priority="7" operator="equal">
      <formula>"LP"</formula>
    </cfRule>
    <cfRule type="cellIs" dxfId="171" priority="8" operator="equal">
      <formula>"TL Choice WO"</formula>
    </cfRule>
    <cfRule type="cellIs" dxfId="170" priority="10" operator="equal">
      <formula>"10:00-17:00"</formula>
    </cfRule>
    <cfRule type="cellIs" dxfId="169" priority="9" operator="equal">
      <formula>"14:30-22:00"</formula>
    </cfRule>
    <cfRule type="cellIs" dxfId="168" priority="14" operator="equal">
      <formula>"7:00-14:30"</formula>
    </cfRule>
    <cfRule type="cellIs" dxfId="167" priority="13" operator="equal">
      <formula>"10:00-17:30"</formula>
    </cfRule>
    <cfRule type="cellIs" dxfId="166" priority="12" operator="equal">
      <formula>"Agent Choice WO"</formula>
    </cfRule>
    <cfRule type="cellIs" dxfId="165" priority="11" operator="equal">
      <formula>"22:00-7:00"</formula>
    </cfRule>
  </conditionalFormatting>
  <conditionalFormatting sqref="BD17">
    <cfRule type="cellIs" dxfId="164" priority="1748" operator="equal">
      <formula>"Left"</formula>
    </cfRule>
    <cfRule type="cellIs" dxfId="163" priority="1747" operator="equal">
      <formula>"CL"</formula>
    </cfRule>
  </conditionalFormatting>
  <conditionalFormatting sqref="BD19:BD20">
    <cfRule type="cellIs" dxfId="162" priority="467" operator="equal">
      <formula>"CL"</formula>
    </cfRule>
    <cfRule type="cellIs" dxfId="161" priority="468" operator="equal">
      <formula>"Left"</formula>
    </cfRule>
  </conditionalFormatting>
  <conditionalFormatting sqref="BD28">
    <cfRule type="cellIs" dxfId="160" priority="199" operator="equal">
      <formula>"CO"</formula>
    </cfRule>
    <cfRule type="cellIs" dxfId="159" priority="202" operator="equal">
      <formula>"Left"</formula>
    </cfRule>
    <cfRule type="cellIs" dxfId="158" priority="201" operator="equal">
      <formula>"CL"</formula>
    </cfRule>
    <cfRule type="cellIs" dxfId="157" priority="200" operator="equal">
      <formula>"Holiday"</formula>
    </cfRule>
  </conditionalFormatting>
  <conditionalFormatting sqref="BD37">
    <cfRule type="cellIs" dxfId="156" priority="78" operator="equal">
      <formula>"Left"</formula>
    </cfRule>
    <cfRule type="cellIs" dxfId="155" priority="77" operator="equal">
      <formula>"CL"</formula>
    </cfRule>
  </conditionalFormatting>
  <conditionalFormatting sqref="BD53">
    <cfRule type="cellIs" dxfId="154" priority="86" operator="equal">
      <formula>"Left"</formula>
    </cfRule>
    <cfRule type="cellIs" dxfId="153" priority="85" operator="equal">
      <formula>"CL"</formula>
    </cfRule>
    <cfRule type="cellIs" dxfId="152" priority="84" operator="equal">
      <formula>"Holiday"</formula>
    </cfRule>
    <cfRule type="cellIs" dxfId="151" priority="83" operator="equal">
      <formula>"CO"</formula>
    </cfRule>
  </conditionalFormatting>
  <conditionalFormatting sqref="BE19">
    <cfRule type="cellIs" dxfId="150" priority="343" operator="equal">
      <formula>"CL"</formula>
    </cfRule>
    <cfRule type="cellIs" dxfId="149" priority="344" operator="equal">
      <formula>"Left"</formula>
    </cfRule>
  </conditionalFormatting>
  <conditionalFormatting sqref="BF5:BJ61 N5:R62 Z5:AD62 AL5:AP62 AX5:BB62 BF62:BO62">
    <cfRule type="containsText" dxfId="148" priority="22938" operator="containsText" text="Left">
      <formula>NOT(ISERROR(SEARCH("Left",N5)))</formula>
    </cfRule>
    <cfRule type="containsText" dxfId="147" priority="22939" operator="containsText" text="HD">
      <formula>NOT(ISERROR(SEARCH("HD",N5)))</formula>
    </cfRule>
    <cfRule type="containsText" dxfId="146" priority="22940" operator="containsText" text="LP">
      <formula>NOT(ISERROR(SEARCH("LP",N5)))</formula>
    </cfRule>
    <cfRule type="containsText" dxfId="145" priority="22937" operator="containsText" text="Left">
      <formula>NOT(ISERROR(SEARCH("Left",N5)))</formula>
    </cfRule>
    <cfRule type="containsText" dxfId="144" priority="22941" operator="containsText" text="WO">
      <formula>NOT(ISERROR(SEARCH("WO",N5)))</formula>
    </cfRule>
  </conditionalFormatting>
  <conditionalFormatting sqref="BF62:BO62">
    <cfRule type="cellIs" dxfId="143" priority="6178" operator="equal">
      <formula>"7:00-14:30"</formula>
    </cfRule>
    <cfRule type="containsText" dxfId="142" priority="6172" operator="containsText" text="7:00-14.30">
      <formula>NOT(ISERROR(SEARCH("7:00-14.30",BF62)))</formula>
    </cfRule>
    <cfRule type="containsText" dxfId="141" priority="6175" operator="containsText" text="HD">
      <formula>NOT(ISERROR(SEARCH("HD",BF62)))</formula>
    </cfRule>
    <cfRule type="containsText" dxfId="140" priority="6173" operator="containsText" text="Left">
      <formula>NOT(ISERROR(SEARCH("Left",BF62)))</formula>
    </cfRule>
    <cfRule type="containsText" dxfId="139" priority="6174" operator="containsText" text="Left">
      <formula>NOT(ISERROR(SEARCH("Left",BF62)))</formula>
    </cfRule>
    <cfRule type="containsText" dxfId="138" priority="6176" operator="containsText" text="LP">
      <formula>NOT(ISERROR(SEARCH("LP",BF62)))</formula>
    </cfRule>
    <cfRule type="containsText" dxfId="137" priority="6177" operator="containsText" text="WO">
      <formula>NOT(ISERROR(SEARCH("WO",BF62)))</formula>
    </cfRule>
  </conditionalFormatting>
  <pageMargins left="0.7" right="0.7" top="0.75" bottom="0.75" header="0.3" footer="0.3"/>
  <pageSetup orientation="portrait" r:id="rId1"/>
  <ignoredErrors>
    <ignoredError sqref="H64:H68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7AA02E-B0A4-4B62-B31A-A131E6E59F4E}">
          <x14:formula1>
            <xm:f>Grid!$A$1:$A$13</xm:f>
          </x14:formula1>
          <xm:sqref>BC4:BE61 U4:U60 G4:M61 V4:Y61 S4:T61 AE4:AK61 A38 AQ4:AW61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73"/>
  <sheetViews>
    <sheetView zoomScale="98" zoomScaleNormal="98" workbookViewId="0">
      <pane xSplit="6" ySplit="3" topLeftCell="AU4" activePane="bottomRight" state="frozen"/>
      <selection pane="topRight" activeCell="G1" sqref="G1"/>
      <selection pane="bottomLeft" activeCell="A4" sqref="A4"/>
      <selection pane="bottomRight" activeCell="AU4" sqref="AU4"/>
    </sheetView>
  </sheetViews>
  <sheetFormatPr defaultRowHeight="15"/>
  <cols>
    <col min="1" max="1" width="3" bestFit="1" customWidth="1"/>
    <col min="2" max="2" width="7.5703125" bestFit="1" customWidth="1"/>
    <col min="3" max="3" width="17.28515625" bestFit="1" customWidth="1"/>
    <col min="4" max="4" width="7.85546875" bestFit="1" customWidth="1"/>
    <col min="5" max="5" width="6.85546875" customWidth="1"/>
    <col min="6" max="6" width="21" customWidth="1"/>
    <col min="7" max="10" width="14.7109375" hidden="1" customWidth="1"/>
    <col min="11" max="11" width="12.85546875" hidden="1" customWidth="1"/>
    <col min="12" max="12" width="13.28515625" hidden="1" customWidth="1"/>
    <col min="13" max="13" width="13.140625" hidden="1" customWidth="1"/>
    <col min="14" max="14" width="13.5703125" hidden="1" customWidth="1"/>
    <col min="15" max="15" width="10.7109375" hidden="1" customWidth="1"/>
    <col min="16" max="16" width="3.140625" hidden="1" customWidth="1"/>
    <col min="17" max="18" width="3" hidden="1" customWidth="1"/>
    <col min="19" max="19" width="14.5703125" hidden="1" customWidth="1"/>
    <col min="20" max="20" width="17" hidden="1" customWidth="1"/>
    <col min="21" max="21" width="18" hidden="1" customWidth="1"/>
    <col min="22" max="22" width="13.7109375" hidden="1" customWidth="1"/>
    <col min="23" max="23" width="13.140625" hidden="1" customWidth="1"/>
    <col min="24" max="24" width="16.140625" hidden="1" customWidth="1"/>
    <col min="25" max="26" width="14.7109375" hidden="1" customWidth="1"/>
    <col min="27" max="27" width="11.85546875" hidden="1" customWidth="1"/>
    <col min="28" max="28" width="3.140625" hidden="1" customWidth="1"/>
    <col min="29" max="30" width="3" hidden="1" customWidth="1"/>
    <col min="31" max="38" width="14.7109375" hidden="1" customWidth="1"/>
    <col min="39" max="39" width="11.85546875" hidden="1" customWidth="1"/>
    <col min="40" max="40" width="9.140625" hidden="1" customWidth="1"/>
    <col min="41" max="41" width="11.85546875" hidden="1" customWidth="1"/>
    <col min="42" max="42" width="11.28515625" hidden="1" customWidth="1"/>
    <col min="43" max="43" width="14.28515625" hidden="1" customWidth="1"/>
    <col min="44" max="46" width="14.7109375" hidden="1" customWidth="1"/>
    <col min="47" max="48" width="14.7109375" customWidth="1"/>
    <col min="49" max="50" width="14.7109375" bestFit="1" customWidth="1"/>
    <col min="51" max="51" width="11.85546875" bestFit="1" customWidth="1"/>
    <col min="52" max="52" width="3.140625" bestFit="1" customWidth="1"/>
    <col min="53" max="54" width="3" bestFit="1" customWidth="1"/>
    <col min="55" max="56" width="14.7109375" bestFit="1" customWidth="1"/>
    <col min="57" max="57" width="14.7109375" hidden="1" customWidth="1"/>
    <col min="58" max="58" width="14.7109375" bestFit="1" customWidth="1"/>
    <col min="59" max="59" width="11.85546875" bestFit="1" customWidth="1"/>
    <col min="60" max="60" width="3.140625" bestFit="1" customWidth="1"/>
    <col min="61" max="62" width="3" bestFit="1" customWidth="1"/>
    <col min="63" max="63" width="14.7109375" bestFit="1" customWidth="1"/>
    <col min="64" max="64" width="11.85546875" bestFit="1" customWidth="1"/>
    <col min="65" max="65" width="3.140625" bestFit="1" customWidth="1"/>
    <col min="66" max="67" width="3" bestFit="1" customWidth="1"/>
    <col min="68" max="68" width="10" bestFit="1" customWidth="1"/>
  </cols>
  <sheetData>
    <row r="1" spans="1:68" ht="16.5" customHeight="1">
      <c r="A1" s="1"/>
      <c r="B1" s="32"/>
      <c r="C1" s="1"/>
      <c r="D1" s="1"/>
      <c r="E1" s="1"/>
      <c r="F1" s="1"/>
      <c r="G1" s="13" t="str">
        <f>"Wk-"&amp;WEEKNUM(DAY(G2))</f>
        <v>Wk-1</v>
      </c>
      <c r="H1" s="13" t="str">
        <f t="shared" ref="H1:M1" si="0">"Wk-"&amp;WEEKNUM(DAY(H2))</f>
        <v>Wk-1</v>
      </c>
      <c r="I1" s="13" t="str">
        <f t="shared" si="0"/>
        <v>Wk-1</v>
      </c>
      <c r="J1" s="13" t="str">
        <f t="shared" si="0"/>
        <v>Wk-1</v>
      </c>
      <c r="K1" s="13" t="str">
        <f t="shared" si="0"/>
        <v>Wk-1</v>
      </c>
      <c r="L1" s="13" t="str">
        <f t="shared" si="0"/>
        <v>Wk-1</v>
      </c>
      <c r="M1" s="13" t="str">
        <f t="shared" si="0"/>
        <v>Wk-1</v>
      </c>
      <c r="N1" s="1"/>
      <c r="O1" s="1"/>
      <c r="P1" s="1"/>
      <c r="Q1" s="1"/>
      <c r="R1" s="1"/>
      <c r="S1" s="13" t="str">
        <f>"Wk-"&amp;WEEKNUM(DAY(S2))</f>
        <v>Wk-2</v>
      </c>
      <c r="T1" s="13" t="str">
        <f>"Wk-"&amp;WEEKNUM(DAY(T2))</f>
        <v>Wk-2</v>
      </c>
      <c r="U1" s="13" t="str">
        <f t="shared" ref="U1:X1" si="1">"Wk-"&amp;WEEKNUM(DAY(U2))</f>
        <v>Wk-2</v>
      </c>
      <c r="V1" s="13" t="str">
        <f t="shared" si="1"/>
        <v>Wk-2</v>
      </c>
      <c r="W1" s="13" t="str">
        <f t="shared" si="1"/>
        <v>Wk-2</v>
      </c>
      <c r="X1" s="13" t="str">
        <f t="shared" si="1"/>
        <v>Wk-2</v>
      </c>
      <c r="Y1" s="23" t="s">
        <v>243</v>
      </c>
      <c r="Z1" s="1"/>
      <c r="AA1" s="1"/>
      <c r="AB1" s="1"/>
      <c r="AC1" s="1"/>
      <c r="AD1" s="1"/>
      <c r="AE1" s="13" t="str">
        <f>"Wk-"&amp;WEEKNUM(DAY(AE2))</f>
        <v>Wk-3</v>
      </c>
      <c r="AF1" s="13" t="str">
        <f t="shared" ref="AF1:AK1" si="2">"Wk-"&amp;WEEKNUM(DAY(AF2))</f>
        <v>Wk-3</v>
      </c>
      <c r="AG1" s="13" t="str">
        <f t="shared" si="2"/>
        <v>Wk-3</v>
      </c>
      <c r="AH1" s="13" t="str">
        <f t="shared" si="2"/>
        <v>Wk-3</v>
      </c>
      <c r="AI1" s="13" t="str">
        <f t="shared" si="2"/>
        <v>Wk-3</v>
      </c>
      <c r="AJ1" s="13" t="str">
        <f t="shared" si="2"/>
        <v>Wk-3</v>
      </c>
      <c r="AK1" s="13" t="str">
        <f t="shared" si="2"/>
        <v>Wk-3</v>
      </c>
      <c r="AL1" s="1"/>
      <c r="AM1" s="1"/>
      <c r="AN1" s="1"/>
      <c r="AO1" s="1"/>
      <c r="AP1" s="1"/>
      <c r="AQ1" s="13" t="str">
        <f>"Wk-"&amp;WEEKNUM(DAY(AQ2))</f>
        <v>Wk-4</v>
      </c>
      <c r="AR1" s="13" t="str">
        <f t="shared" ref="AR1:AW1" si="3">"Wk-"&amp;WEEKNUM(DAY(AR2))</f>
        <v>Wk-4</v>
      </c>
      <c r="AS1" s="13" t="str">
        <f t="shared" si="3"/>
        <v>Wk-4</v>
      </c>
      <c r="AT1" s="13" t="str">
        <f t="shared" si="3"/>
        <v>Wk-4</v>
      </c>
      <c r="AU1" s="13" t="str">
        <f t="shared" si="3"/>
        <v>Wk-4</v>
      </c>
      <c r="AV1" s="13" t="str">
        <f t="shared" si="3"/>
        <v>Wk-4</v>
      </c>
      <c r="AW1" s="13" t="str">
        <f t="shared" si="3"/>
        <v>Wk-4</v>
      </c>
      <c r="AX1" s="1"/>
      <c r="AY1" s="1"/>
      <c r="AZ1" s="1"/>
      <c r="BA1" s="1"/>
      <c r="BB1" s="1"/>
      <c r="BC1" s="13" t="str">
        <f>"Wk-"&amp;WEEKNUM(DAY(BC2))</f>
        <v>Wk-5</v>
      </c>
      <c r="BD1" s="13" t="str">
        <f t="shared" ref="BD1:BE1" si="4">"Wk-"&amp;WEEKNUM(DAY(BD2))</f>
        <v>Wk-5</v>
      </c>
      <c r="BE1" s="13" t="str">
        <f t="shared" si="4"/>
        <v>Wk-1</v>
      </c>
      <c r="BF1" s="1"/>
      <c r="BG1" s="1"/>
      <c r="BH1" s="1"/>
      <c r="BI1" s="1"/>
      <c r="BJ1" s="1"/>
    </row>
    <row r="2" spans="1:68" ht="13.5" customHeight="1">
      <c r="A2" s="8"/>
      <c r="B2" s="9" t="s">
        <v>0</v>
      </c>
      <c r="C2" s="9" t="s">
        <v>1</v>
      </c>
      <c r="D2" s="8" t="s">
        <v>2</v>
      </c>
      <c r="E2" s="8" t="s">
        <v>3</v>
      </c>
      <c r="F2" s="10" t="s">
        <v>4</v>
      </c>
      <c r="G2" s="8">
        <v>46266</v>
      </c>
      <c r="H2" s="8">
        <f>G2+1</f>
        <v>46267</v>
      </c>
      <c r="I2" s="8">
        <f t="shared" ref="I2:M2" si="5">H2+1</f>
        <v>46268</v>
      </c>
      <c r="J2" s="8">
        <f t="shared" si="5"/>
        <v>46269</v>
      </c>
      <c r="K2" s="8">
        <f t="shared" si="5"/>
        <v>46270</v>
      </c>
      <c r="L2" s="8">
        <f t="shared" si="5"/>
        <v>46271</v>
      </c>
      <c r="M2" s="8">
        <f t="shared" si="5"/>
        <v>46272</v>
      </c>
      <c r="N2" s="36" t="s">
        <v>141</v>
      </c>
      <c r="O2" s="37"/>
      <c r="P2" s="37"/>
      <c r="Q2" s="37"/>
      <c r="R2" s="38"/>
      <c r="S2" s="8">
        <f>M2+1</f>
        <v>46273</v>
      </c>
      <c r="T2" s="8">
        <f>S2+1</f>
        <v>46274</v>
      </c>
      <c r="U2" s="8">
        <f t="shared" ref="U2:Y2" si="6">T2+1</f>
        <v>46275</v>
      </c>
      <c r="V2" s="8">
        <f t="shared" si="6"/>
        <v>46276</v>
      </c>
      <c r="W2" s="8">
        <f t="shared" si="6"/>
        <v>46277</v>
      </c>
      <c r="X2" s="8">
        <f t="shared" si="6"/>
        <v>46278</v>
      </c>
      <c r="Y2" s="8">
        <f t="shared" si="6"/>
        <v>46279</v>
      </c>
      <c r="Z2" s="36" t="s">
        <v>142</v>
      </c>
      <c r="AA2" s="37"/>
      <c r="AB2" s="37"/>
      <c r="AC2" s="37"/>
      <c r="AD2" s="38"/>
      <c r="AE2" s="8">
        <f>Y2+1</f>
        <v>46280</v>
      </c>
      <c r="AF2" s="8">
        <f>AE2+1</f>
        <v>46281</v>
      </c>
      <c r="AG2" s="8">
        <f t="shared" ref="AG2:AK2" si="7">AF2+1</f>
        <v>46282</v>
      </c>
      <c r="AH2" s="8">
        <f t="shared" si="7"/>
        <v>46283</v>
      </c>
      <c r="AI2" s="8">
        <f t="shared" si="7"/>
        <v>46284</v>
      </c>
      <c r="AJ2" s="8">
        <f t="shared" si="7"/>
        <v>46285</v>
      </c>
      <c r="AK2" s="8">
        <f t="shared" si="7"/>
        <v>46286</v>
      </c>
      <c r="AL2" s="36" t="s">
        <v>143</v>
      </c>
      <c r="AM2" s="37"/>
      <c r="AN2" s="37"/>
      <c r="AO2" s="37"/>
      <c r="AP2" s="38"/>
      <c r="AQ2" s="8">
        <f>AK2+1</f>
        <v>46287</v>
      </c>
      <c r="AR2" s="8">
        <f>AQ2+1</f>
        <v>46288</v>
      </c>
      <c r="AS2" s="8">
        <f>AR2+1</f>
        <v>46289</v>
      </c>
      <c r="AT2" s="8">
        <f t="shared" ref="AT2:AW2" si="8">AS2+1</f>
        <v>46290</v>
      </c>
      <c r="AU2" s="8">
        <f t="shared" si="8"/>
        <v>46291</v>
      </c>
      <c r="AV2" s="8">
        <f t="shared" si="8"/>
        <v>46292</v>
      </c>
      <c r="AW2" s="8">
        <f t="shared" si="8"/>
        <v>46293</v>
      </c>
      <c r="AX2" s="36" t="s">
        <v>144</v>
      </c>
      <c r="AY2" s="37"/>
      <c r="AZ2" s="37"/>
      <c r="BA2" s="37"/>
      <c r="BB2" s="38"/>
      <c r="BC2" s="8">
        <f>AW2+1</f>
        <v>46294</v>
      </c>
      <c r="BD2" s="8">
        <f>BC2+1</f>
        <v>46295</v>
      </c>
      <c r="BE2" s="8">
        <f t="shared" ref="BE2" si="9">BD2+1</f>
        <v>46296</v>
      </c>
      <c r="BF2" s="36" t="s">
        <v>145</v>
      </c>
      <c r="BG2" s="37"/>
      <c r="BH2" s="37"/>
      <c r="BI2" s="37"/>
      <c r="BJ2" s="38"/>
      <c r="BK2" s="33" t="s">
        <v>240</v>
      </c>
      <c r="BL2" s="34"/>
      <c r="BM2" s="34"/>
      <c r="BN2" s="34"/>
      <c r="BO2" s="35"/>
    </row>
    <row r="3" spans="1:68">
      <c r="A3" s="11"/>
      <c r="B3" s="11"/>
      <c r="C3" s="11"/>
      <c r="D3" s="11"/>
      <c r="E3" s="11"/>
      <c r="F3" s="11"/>
      <c r="G3" s="12" t="str">
        <f>UPPER(TEXT(G2,"ddd"))</f>
        <v>TUE</v>
      </c>
      <c r="H3" s="12" t="str">
        <f t="shared" ref="H3:M3" si="10">UPPER(TEXT(H2,"ddd"))</f>
        <v>WED</v>
      </c>
      <c r="I3" s="12" t="str">
        <f t="shared" si="10"/>
        <v>THU</v>
      </c>
      <c r="J3" s="12" t="str">
        <f t="shared" si="10"/>
        <v>FRI</v>
      </c>
      <c r="K3" s="12" t="str">
        <f t="shared" si="10"/>
        <v>SAT</v>
      </c>
      <c r="L3" s="12" t="str">
        <f t="shared" si="10"/>
        <v>SUN</v>
      </c>
      <c r="M3" s="12" t="str">
        <f t="shared" si="10"/>
        <v>MON</v>
      </c>
      <c r="N3" s="3" t="s">
        <v>7</v>
      </c>
      <c r="O3" s="3" t="s">
        <v>8</v>
      </c>
      <c r="P3" s="3" t="s">
        <v>248</v>
      </c>
      <c r="Q3" s="3" t="s">
        <v>5</v>
      </c>
      <c r="R3" s="3" t="s">
        <v>6</v>
      </c>
      <c r="S3" s="12" t="str">
        <f>UPPER(TEXT(S2,"ddd"))</f>
        <v>TUE</v>
      </c>
      <c r="T3" s="12" t="str">
        <f t="shared" ref="T3:Y3" si="11">UPPER(TEXT(T2,"ddd"))</f>
        <v>WED</v>
      </c>
      <c r="U3" s="12" t="str">
        <f t="shared" si="11"/>
        <v>THU</v>
      </c>
      <c r="V3" s="12" t="str">
        <f t="shared" si="11"/>
        <v>FRI</v>
      </c>
      <c r="W3" s="12" t="str">
        <f t="shared" si="11"/>
        <v>SAT</v>
      </c>
      <c r="X3" s="12" t="str">
        <f t="shared" si="11"/>
        <v>SUN</v>
      </c>
      <c r="Y3" s="12" t="str">
        <f t="shared" si="11"/>
        <v>MON</v>
      </c>
      <c r="Z3" s="3" t="s">
        <v>7</v>
      </c>
      <c r="AA3" s="3" t="s">
        <v>8</v>
      </c>
      <c r="AB3" s="3" t="s">
        <v>248</v>
      </c>
      <c r="AC3" s="3" t="s">
        <v>5</v>
      </c>
      <c r="AD3" s="3" t="s">
        <v>6</v>
      </c>
      <c r="AE3" s="12" t="str">
        <f>UPPER(TEXT(AE2,"ddd"))</f>
        <v>TUE</v>
      </c>
      <c r="AF3" s="12" t="str">
        <f t="shared" ref="AF3:AK3" si="12">UPPER(TEXT(AF2,"ddd"))</f>
        <v>WED</v>
      </c>
      <c r="AG3" s="12" t="str">
        <f t="shared" si="12"/>
        <v>THU</v>
      </c>
      <c r="AH3" s="12" t="str">
        <f t="shared" si="12"/>
        <v>FRI</v>
      </c>
      <c r="AI3" s="12" t="str">
        <f t="shared" si="12"/>
        <v>SAT</v>
      </c>
      <c r="AJ3" s="12" t="str">
        <f t="shared" si="12"/>
        <v>SUN</v>
      </c>
      <c r="AK3" s="12" t="str">
        <f t="shared" si="12"/>
        <v>MON</v>
      </c>
      <c r="AL3" s="3" t="s">
        <v>7</v>
      </c>
      <c r="AM3" s="3" t="s">
        <v>8</v>
      </c>
      <c r="AN3" s="3" t="s">
        <v>248</v>
      </c>
      <c r="AO3" s="3" t="s">
        <v>5</v>
      </c>
      <c r="AP3" s="3" t="s">
        <v>6</v>
      </c>
      <c r="AQ3" s="12" t="str">
        <f>UPPER(TEXT(AQ2,"ddd"))</f>
        <v>TUE</v>
      </c>
      <c r="AR3" s="12" t="str">
        <f t="shared" ref="AR3:AW3" si="13">UPPER(TEXT(AR2,"ddd"))</f>
        <v>WED</v>
      </c>
      <c r="AS3" s="12" t="str">
        <f t="shared" si="13"/>
        <v>THU</v>
      </c>
      <c r="AT3" s="12" t="str">
        <f t="shared" si="13"/>
        <v>FRI</v>
      </c>
      <c r="AU3" s="12" t="str">
        <f t="shared" si="13"/>
        <v>SAT</v>
      </c>
      <c r="AV3" s="12" t="str">
        <f t="shared" si="13"/>
        <v>SUN</v>
      </c>
      <c r="AW3" s="12" t="str">
        <f t="shared" si="13"/>
        <v>MON</v>
      </c>
      <c r="AX3" s="3" t="s">
        <v>7</v>
      </c>
      <c r="AY3" s="3" t="s">
        <v>8</v>
      </c>
      <c r="AZ3" s="3" t="s">
        <v>248</v>
      </c>
      <c r="BA3" s="3" t="s">
        <v>5</v>
      </c>
      <c r="BB3" s="3" t="s">
        <v>6</v>
      </c>
      <c r="BC3" s="12" t="str">
        <f>UPPER(TEXT(BC2,"ddd"))</f>
        <v>TUE</v>
      </c>
      <c r="BD3" s="12" t="str">
        <f t="shared" ref="BD3:BE3" si="14">UPPER(TEXT(BD2,"ddd"))</f>
        <v>WED</v>
      </c>
      <c r="BE3" s="12" t="str">
        <f t="shared" si="14"/>
        <v>THU</v>
      </c>
      <c r="BF3" s="3" t="s">
        <v>7</v>
      </c>
      <c r="BG3" s="3" t="s">
        <v>8</v>
      </c>
      <c r="BH3" s="3" t="s">
        <v>248</v>
      </c>
      <c r="BI3" s="3" t="s">
        <v>5</v>
      </c>
      <c r="BJ3" s="3" t="s">
        <v>6</v>
      </c>
      <c r="BK3" s="20" t="s">
        <v>7</v>
      </c>
      <c r="BL3" s="20" t="s">
        <v>8</v>
      </c>
      <c r="BM3" s="20" t="s">
        <v>248</v>
      </c>
      <c r="BN3" s="20" t="s">
        <v>5</v>
      </c>
      <c r="BO3" s="20" t="s">
        <v>6</v>
      </c>
      <c r="BP3" s="25" t="s">
        <v>263</v>
      </c>
    </row>
    <row r="4" spans="1:68">
      <c r="A4" s="17">
        <v>1</v>
      </c>
      <c r="B4" s="16" t="s">
        <v>147</v>
      </c>
      <c r="C4" s="19" t="s">
        <v>148</v>
      </c>
      <c r="D4" s="15" t="s">
        <v>146</v>
      </c>
      <c r="E4" s="4" t="s">
        <v>29</v>
      </c>
      <c r="F4" s="5" t="s">
        <v>14</v>
      </c>
      <c r="G4" s="2" t="s">
        <v>134</v>
      </c>
      <c r="H4" s="2" t="s">
        <v>134</v>
      </c>
      <c r="I4" s="2" t="s">
        <v>134</v>
      </c>
      <c r="J4" s="2" t="s">
        <v>134</v>
      </c>
      <c r="K4" s="2" t="s">
        <v>134</v>
      </c>
      <c r="L4" s="2" t="s">
        <v>134</v>
      </c>
      <c r="M4" s="2" t="s">
        <v>134</v>
      </c>
      <c r="N4" s="2">
        <f t="shared" ref="N4:N62" si="15">COUNTIF($G4:$M4,"Agent Choice WO")</f>
        <v>0</v>
      </c>
      <c r="O4" s="2">
        <f t="shared" ref="O4:O62" si="16">COUNTIF($G4:$M4,"TL Choice WO")</f>
        <v>0</v>
      </c>
      <c r="P4" s="2">
        <f>COUNTIF($G4:$M4,"CL")</f>
        <v>0</v>
      </c>
      <c r="Q4" s="2">
        <f t="shared" ref="Q4:Q62" si="17">COUNTIF($G4:$M4,"HD")</f>
        <v>0</v>
      </c>
      <c r="R4" s="2">
        <f t="shared" ref="R4:R62" si="18">COUNTIF($G4:$M4,"LP")</f>
        <v>0</v>
      </c>
      <c r="S4" s="2" t="s">
        <v>134</v>
      </c>
      <c r="T4" s="2" t="s">
        <v>134</v>
      </c>
      <c r="U4" s="2" t="s">
        <v>134</v>
      </c>
      <c r="V4" s="2" t="s">
        <v>134</v>
      </c>
      <c r="W4" s="2" t="s">
        <v>134</v>
      </c>
      <c r="X4" s="2" t="s">
        <v>134</v>
      </c>
      <c r="Y4" s="2" t="s">
        <v>134</v>
      </c>
      <c r="Z4" s="2">
        <f t="shared" ref="Z4:Z62" si="19">COUNTIF($S4:$Y4,"Agent Choice WO")</f>
        <v>0</v>
      </c>
      <c r="AA4" s="2">
        <f t="shared" ref="AA4:AA62" si="20">COUNTIF($S4:$Y4,"TL Choice WO")</f>
        <v>0</v>
      </c>
      <c r="AB4" s="2">
        <f>COUNTIF($S4:$Y4,"CL")</f>
        <v>0</v>
      </c>
      <c r="AC4" s="2">
        <f t="shared" ref="AC4:AC62" si="21">COUNTIF($S4:$Y4,"HD")</f>
        <v>0</v>
      </c>
      <c r="AD4" s="2">
        <f t="shared" ref="AD4:AD62" si="22">COUNTIF($S4:$Y4,"LP")</f>
        <v>0</v>
      </c>
      <c r="AE4" s="2" t="s">
        <v>134</v>
      </c>
      <c r="AF4" s="2" t="s">
        <v>134</v>
      </c>
      <c r="AG4" s="2" t="s">
        <v>134</v>
      </c>
      <c r="AH4" s="2" t="s">
        <v>134</v>
      </c>
      <c r="AI4" s="2" t="s">
        <v>134</v>
      </c>
      <c r="AJ4" s="2" t="s">
        <v>134</v>
      </c>
      <c r="AK4" s="2" t="s">
        <v>134</v>
      </c>
      <c r="AL4" s="2">
        <f t="shared" ref="AL4:AL62" si="23">COUNTIF($AE4:$AK4,"Agent Choice WO")</f>
        <v>0</v>
      </c>
      <c r="AM4" s="2">
        <f t="shared" ref="AM4:AM62" si="24">COUNTIF($AE4:$AK4,"TL Choice WO")</f>
        <v>0</v>
      </c>
      <c r="AN4" s="2">
        <f>COUNTIF($AE4:$AK4,"CL")</f>
        <v>0</v>
      </c>
      <c r="AO4" s="2">
        <f t="shared" ref="AO4:AO62" si="25">COUNTIF($AE4:$AK4,"HD")</f>
        <v>0</v>
      </c>
      <c r="AP4" s="2">
        <f t="shared" ref="AP4:AP62" si="26">COUNTIF($AE4:$AK4,"LP")</f>
        <v>0</v>
      </c>
      <c r="AQ4" s="2" t="s">
        <v>134</v>
      </c>
      <c r="AR4" s="2" t="s">
        <v>134</v>
      </c>
      <c r="AS4" s="2" t="s">
        <v>134</v>
      </c>
      <c r="AT4" s="2" t="s">
        <v>134</v>
      </c>
      <c r="AU4" s="2" t="s">
        <v>134</v>
      </c>
      <c r="AV4" s="2" t="s">
        <v>134</v>
      </c>
      <c r="AW4" s="2" t="s">
        <v>7</v>
      </c>
      <c r="AX4" s="2">
        <f t="shared" ref="AX4:AX62" si="27">COUNTIF($AQ4:$AW4,"Agent Choice WO")</f>
        <v>1</v>
      </c>
      <c r="AY4" s="2">
        <f t="shared" ref="AY4:AY62" si="28">COUNTIF($AQ4:$AW4,"TL Choice WO")</f>
        <v>0</v>
      </c>
      <c r="AZ4" s="2">
        <f>COUNTIF($AQ4:$AW4,"CL")</f>
        <v>0</v>
      </c>
      <c r="BA4" s="2">
        <f t="shared" ref="BA4:BA62" si="29">COUNTIF($AQ4:$AW4,"HD")</f>
        <v>0</v>
      </c>
      <c r="BB4" s="2">
        <f t="shared" ref="BB4:BB62" si="30">COUNTIF($AQ4:$AW4,"LP")</f>
        <v>0</v>
      </c>
      <c r="BC4" s="2" t="s">
        <v>7</v>
      </c>
      <c r="BD4" s="2" t="s">
        <v>7</v>
      </c>
      <c r="BE4" s="2" t="s">
        <v>134</v>
      </c>
      <c r="BF4" s="2">
        <f t="shared" ref="BF4:BF62" si="31">COUNTIF($BC4:$BE4,"Agent Choice WO")</f>
        <v>2</v>
      </c>
      <c r="BG4" s="2">
        <f t="shared" ref="BG4:BG62" si="32">COUNTIF($BC4:$BE4,"TL Choice WO")</f>
        <v>0</v>
      </c>
      <c r="BH4" s="2">
        <f>COUNTIF($BC4:$BE4,"CL")</f>
        <v>0</v>
      </c>
      <c r="BI4" s="2">
        <f t="shared" ref="BI4:BI62" si="33">COUNTIF($BC4:$BE4,"HD")</f>
        <v>0</v>
      </c>
      <c r="BJ4" s="2">
        <f t="shared" ref="BJ4:BJ62" si="34">COUNTIF($BC4:$BE4,"LP")</f>
        <v>0</v>
      </c>
      <c r="BK4" s="2">
        <f t="shared" ref="BK4:BO12" si="35">SUMIFS($A4:$BJ4,$A$3:$BJ$3,BK$3)</f>
        <v>3</v>
      </c>
      <c r="BL4" s="2">
        <f t="shared" si="35"/>
        <v>0</v>
      </c>
      <c r="BM4" s="2">
        <f t="shared" si="35"/>
        <v>0</v>
      </c>
      <c r="BN4" s="2">
        <f t="shared" si="35"/>
        <v>0</v>
      </c>
      <c r="BO4" s="2">
        <f t="shared" si="35"/>
        <v>0</v>
      </c>
      <c r="BP4" s="26">
        <f>SUM(BK4:BO4)</f>
        <v>3</v>
      </c>
    </row>
    <row r="5" spans="1:68">
      <c r="A5" s="17">
        <f t="shared" ref="A5:A62" si="36">A4+1</f>
        <v>2</v>
      </c>
      <c r="B5" s="16" t="s">
        <v>149</v>
      </c>
      <c r="C5" s="19" t="s">
        <v>150</v>
      </c>
      <c r="D5" s="15" t="s">
        <v>146</v>
      </c>
      <c r="E5" s="4" t="s">
        <v>29</v>
      </c>
      <c r="F5" s="5" t="s">
        <v>18</v>
      </c>
      <c r="G5" s="2" t="s">
        <v>134</v>
      </c>
      <c r="H5" s="2" t="s">
        <v>134</v>
      </c>
      <c r="I5" s="2" t="s">
        <v>134</v>
      </c>
      <c r="J5" s="2" t="s">
        <v>134</v>
      </c>
      <c r="K5" s="2" t="s">
        <v>134</v>
      </c>
      <c r="L5" s="2" t="s">
        <v>134</v>
      </c>
      <c r="M5" s="2" t="s">
        <v>134</v>
      </c>
      <c r="N5" s="2">
        <f t="shared" si="15"/>
        <v>0</v>
      </c>
      <c r="O5" s="2">
        <f t="shared" si="16"/>
        <v>0</v>
      </c>
      <c r="P5" s="2">
        <f t="shared" ref="P5:P62" si="37">COUNTIF($G5:$M5,"CL")</f>
        <v>0</v>
      </c>
      <c r="Q5" s="2">
        <f t="shared" si="17"/>
        <v>0</v>
      </c>
      <c r="R5" s="2">
        <f t="shared" si="18"/>
        <v>0</v>
      </c>
      <c r="S5" s="2" t="s">
        <v>134</v>
      </c>
      <c r="T5" s="2" t="s">
        <v>134</v>
      </c>
      <c r="U5" s="2" t="s">
        <v>134</v>
      </c>
      <c r="V5" s="2" t="s">
        <v>134</v>
      </c>
      <c r="W5" s="2" t="s">
        <v>134</v>
      </c>
      <c r="X5" s="2" t="s">
        <v>134</v>
      </c>
      <c r="Y5" s="2" t="s">
        <v>134</v>
      </c>
      <c r="Z5" s="2">
        <f t="shared" si="19"/>
        <v>0</v>
      </c>
      <c r="AA5" s="2">
        <f t="shared" si="20"/>
        <v>0</v>
      </c>
      <c r="AB5" s="2">
        <f t="shared" ref="AB5:AB62" si="38">COUNTIF($S5:$Y5,"CL")</f>
        <v>0</v>
      </c>
      <c r="AC5" s="2">
        <f t="shared" si="21"/>
        <v>0</v>
      </c>
      <c r="AD5" s="2">
        <f t="shared" si="22"/>
        <v>0</v>
      </c>
      <c r="AE5" s="2" t="s">
        <v>134</v>
      </c>
      <c r="AF5" s="2" t="s">
        <v>134</v>
      </c>
      <c r="AG5" s="2" t="s">
        <v>134</v>
      </c>
      <c r="AH5" s="2" t="s">
        <v>134</v>
      </c>
      <c r="AI5" s="2" t="s">
        <v>134</v>
      </c>
      <c r="AJ5" s="2" t="s">
        <v>134</v>
      </c>
      <c r="AK5" s="2" t="s">
        <v>134</v>
      </c>
      <c r="AL5" s="2">
        <f t="shared" si="23"/>
        <v>0</v>
      </c>
      <c r="AM5" s="2">
        <f t="shared" si="24"/>
        <v>0</v>
      </c>
      <c r="AN5" s="2">
        <f t="shared" ref="AN5:AN62" si="39">COUNTIF($AE5:$AK5,"CL")</f>
        <v>0</v>
      </c>
      <c r="AO5" s="2">
        <f t="shared" si="25"/>
        <v>0</v>
      </c>
      <c r="AP5" s="2">
        <f t="shared" si="26"/>
        <v>0</v>
      </c>
      <c r="AQ5" s="2" t="s">
        <v>134</v>
      </c>
      <c r="AR5" s="2" t="s">
        <v>7</v>
      </c>
      <c r="AS5" s="2" t="s">
        <v>7</v>
      </c>
      <c r="AT5" s="2" t="s">
        <v>7</v>
      </c>
      <c r="AU5" s="2" t="s">
        <v>134</v>
      </c>
      <c r="AV5" s="2" t="s">
        <v>134</v>
      </c>
      <c r="AW5" s="2" t="s">
        <v>7</v>
      </c>
      <c r="AX5" s="2">
        <f t="shared" si="27"/>
        <v>4</v>
      </c>
      <c r="AY5" s="2">
        <f t="shared" si="28"/>
        <v>0</v>
      </c>
      <c r="AZ5" s="2">
        <f t="shared" ref="AZ5:AZ62" si="40">COUNTIF($AQ5:$AW5,"CL")</f>
        <v>0</v>
      </c>
      <c r="BA5" s="2">
        <f t="shared" si="29"/>
        <v>0</v>
      </c>
      <c r="BB5" s="2">
        <f t="shared" si="30"/>
        <v>0</v>
      </c>
      <c r="BC5" s="2" t="s">
        <v>134</v>
      </c>
      <c r="BD5" s="2" t="s">
        <v>134</v>
      </c>
      <c r="BE5" s="2" t="s">
        <v>134</v>
      </c>
      <c r="BF5" s="2">
        <f t="shared" si="31"/>
        <v>0</v>
      </c>
      <c r="BG5" s="2">
        <f t="shared" si="32"/>
        <v>0</v>
      </c>
      <c r="BH5" s="2">
        <f t="shared" ref="BH5:BH62" si="41">COUNTIF($BC5:$BE5,"CL")</f>
        <v>0</v>
      </c>
      <c r="BI5" s="2">
        <f t="shared" si="33"/>
        <v>0</v>
      </c>
      <c r="BJ5" s="2">
        <f t="shared" si="34"/>
        <v>0</v>
      </c>
      <c r="BK5" s="2">
        <f t="shared" si="35"/>
        <v>4</v>
      </c>
      <c r="BL5" s="2">
        <f t="shared" si="35"/>
        <v>0</v>
      </c>
      <c r="BM5" s="2">
        <f t="shared" si="35"/>
        <v>0</v>
      </c>
      <c r="BN5" s="2">
        <f t="shared" si="35"/>
        <v>0</v>
      </c>
      <c r="BO5" s="2">
        <f t="shared" si="35"/>
        <v>0</v>
      </c>
      <c r="BP5" s="26">
        <f t="shared" ref="BP5:BP63" si="42">SUM(BK5:BO5)</f>
        <v>4</v>
      </c>
    </row>
    <row r="6" spans="1:68">
      <c r="A6" s="17">
        <f t="shared" si="36"/>
        <v>3</v>
      </c>
      <c r="B6" s="16" t="s">
        <v>151</v>
      </c>
      <c r="C6" s="19" t="s">
        <v>152</v>
      </c>
      <c r="D6" s="15" t="s">
        <v>146</v>
      </c>
      <c r="E6" s="4" t="s">
        <v>29</v>
      </c>
      <c r="F6" s="5" t="s">
        <v>18</v>
      </c>
      <c r="G6" s="2" t="s">
        <v>134</v>
      </c>
      <c r="H6" s="2" t="s">
        <v>7</v>
      </c>
      <c r="I6" s="2" t="s">
        <v>134</v>
      </c>
      <c r="J6" s="2" t="s">
        <v>134</v>
      </c>
      <c r="K6" s="2" t="s">
        <v>134</v>
      </c>
      <c r="L6" s="2" t="s">
        <v>134</v>
      </c>
      <c r="M6" s="2" t="s">
        <v>134</v>
      </c>
      <c r="N6" s="2">
        <f t="shared" si="15"/>
        <v>1</v>
      </c>
      <c r="O6" s="2">
        <f t="shared" si="16"/>
        <v>0</v>
      </c>
      <c r="P6" s="2">
        <f t="shared" si="37"/>
        <v>0</v>
      </c>
      <c r="Q6" s="2">
        <f t="shared" si="17"/>
        <v>0</v>
      </c>
      <c r="R6" s="2">
        <f t="shared" si="18"/>
        <v>0</v>
      </c>
      <c r="S6" s="2" t="s">
        <v>134</v>
      </c>
      <c r="T6" s="2" t="s">
        <v>7</v>
      </c>
      <c r="U6" s="2" t="s">
        <v>134</v>
      </c>
      <c r="V6" s="2" t="s">
        <v>134</v>
      </c>
      <c r="W6" s="2" t="s">
        <v>134</v>
      </c>
      <c r="X6" s="2" t="s">
        <v>134</v>
      </c>
      <c r="Y6" s="2" t="s">
        <v>134</v>
      </c>
      <c r="Z6" s="2">
        <f t="shared" si="19"/>
        <v>1</v>
      </c>
      <c r="AA6" s="2">
        <f t="shared" si="20"/>
        <v>0</v>
      </c>
      <c r="AB6" s="2">
        <f t="shared" si="38"/>
        <v>0</v>
      </c>
      <c r="AC6" s="2">
        <f t="shared" si="21"/>
        <v>0</v>
      </c>
      <c r="AD6" s="2">
        <f t="shared" si="22"/>
        <v>0</v>
      </c>
      <c r="AE6" s="2" t="s">
        <v>134</v>
      </c>
      <c r="AF6" s="2" t="s">
        <v>134</v>
      </c>
      <c r="AG6" s="2" t="s">
        <v>7</v>
      </c>
      <c r="AH6" s="2" t="s">
        <v>134</v>
      </c>
      <c r="AI6" s="2" t="s">
        <v>134</v>
      </c>
      <c r="AJ6" s="2" t="s">
        <v>134</v>
      </c>
      <c r="AK6" s="2" t="s">
        <v>134</v>
      </c>
      <c r="AL6" s="2">
        <f t="shared" si="23"/>
        <v>1</v>
      </c>
      <c r="AM6" s="2">
        <f t="shared" si="24"/>
        <v>0</v>
      </c>
      <c r="AN6" s="2">
        <f t="shared" si="39"/>
        <v>0</v>
      </c>
      <c r="AO6" s="2">
        <f t="shared" si="25"/>
        <v>0</v>
      </c>
      <c r="AP6" s="2">
        <f t="shared" si="26"/>
        <v>0</v>
      </c>
      <c r="AQ6" s="2" t="s">
        <v>134</v>
      </c>
      <c r="AR6" s="2" t="s">
        <v>134</v>
      </c>
      <c r="AS6" s="2" t="s">
        <v>7</v>
      </c>
      <c r="AT6" s="2" t="s">
        <v>134</v>
      </c>
      <c r="AU6" s="2" t="s">
        <v>134</v>
      </c>
      <c r="AV6" s="2" t="s">
        <v>134</v>
      </c>
      <c r="AW6" s="2" t="s">
        <v>134</v>
      </c>
      <c r="AX6" s="2">
        <f t="shared" si="27"/>
        <v>1</v>
      </c>
      <c r="AY6" s="2">
        <f t="shared" si="28"/>
        <v>0</v>
      </c>
      <c r="AZ6" s="2">
        <f t="shared" si="40"/>
        <v>0</v>
      </c>
      <c r="BA6" s="2">
        <f t="shared" si="29"/>
        <v>0</v>
      </c>
      <c r="BB6" s="2">
        <f t="shared" si="30"/>
        <v>0</v>
      </c>
      <c r="BC6" s="2" t="s">
        <v>134</v>
      </c>
      <c r="BD6" s="2" t="s">
        <v>134</v>
      </c>
      <c r="BE6" s="2" t="s">
        <v>134</v>
      </c>
      <c r="BF6" s="2">
        <f t="shared" si="31"/>
        <v>0</v>
      </c>
      <c r="BG6" s="2">
        <f t="shared" si="32"/>
        <v>0</v>
      </c>
      <c r="BH6" s="2">
        <f t="shared" si="41"/>
        <v>0</v>
      </c>
      <c r="BI6" s="2">
        <f t="shared" si="33"/>
        <v>0</v>
      </c>
      <c r="BJ6" s="2">
        <f t="shared" si="34"/>
        <v>0</v>
      </c>
      <c r="BK6" s="2">
        <f t="shared" si="35"/>
        <v>4</v>
      </c>
      <c r="BL6" s="2">
        <f t="shared" si="35"/>
        <v>0</v>
      </c>
      <c r="BM6" s="2">
        <f t="shared" si="35"/>
        <v>0</v>
      </c>
      <c r="BN6" s="2">
        <f t="shared" si="35"/>
        <v>0</v>
      </c>
      <c r="BO6" s="2">
        <f t="shared" si="35"/>
        <v>0</v>
      </c>
      <c r="BP6" s="26">
        <f t="shared" si="42"/>
        <v>4</v>
      </c>
    </row>
    <row r="7" spans="1:68">
      <c r="A7" s="17">
        <f t="shared" si="36"/>
        <v>4</v>
      </c>
      <c r="B7" s="16" t="s">
        <v>153</v>
      </c>
      <c r="C7" s="19" t="s">
        <v>154</v>
      </c>
      <c r="D7" s="15" t="s">
        <v>146</v>
      </c>
      <c r="E7" s="4" t="s">
        <v>29</v>
      </c>
      <c r="F7" s="5" t="s">
        <v>67</v>
      </c>
      <c r="G7" s="2" t="s">
        <v>134</v>
      </c>
      <c r="H7" s="2" t="s">
        <v>134</v>
      </c>
      <c r="I7" s="2" t="s">
        <v>134</v>
      </c>
      <c r="J7" s="2" t="s">
        <v>134</v>
      </c>
      <c r="K7" s="2" t="s">
        <v>134</v>
      </c>
      <c r="L7" s="2" t="s">
        <v>134</v>
      </c>
      <c r="M7" s="2" t="s">
        <v>134</v>
      </c>
      <c r="N7" s="2">
        <f t="shared" si="15"/>
        <v>0</v>
      </c>
      <c r="O7" s="2">
        <f t="shared" si="16"/>
        <v>0</v>
      </c>
      <c r="P7" s="2">
        <f t="shared" si="37"/>
        <v>0</v>
      </c>
      <c r="Q7" s="2">
        <f t="shared" si="17"/>
        <v>0</v>
      </c>
      <c r="R7" s="2">
        <f t="shared" si="18"/>
        <v>0</v>
      </c>
      <c r="S7" s="2" t="s">
        <v>134</v>
      </c>
      <c r="T7" s="2" t="s">
        <v>134</v>
      </c>
      <c r="U7" s="2" t="s">
        <v>134</v>
      </c>
      <c r="V7" s="2" t="s">
        <v>134</v>
      </c>
      <c r="W7" s="2" t="s">
        <v>134</v>
      </c>
      <c r="X7" s="2" t="s">
        <v>7</v>
      </c>
      <c r="Y7" s="2" t="s">
        <v>7</v>
      </c>
      <c r="Z7" s="2">
        <f t="shared" si="19"/>
        <v>2</v>
      </c>
      <c r="AA7" s="2">
        <f t="shared" si="20"/>
        <v>0</v>
      </c>
      <c r="AB7" s="2">
        <f t="shared" si="38"/>
        <v>0</v>
      </c>
      <c r="AC7" s="2">
        <f t="shared" si="21"/>
        <v>0</v>
      </c>
      <c r="AD7" s="2">
        <f t="shared" si="22"/>
        <v>0</v>
      </c>
      <c r="AE7" s="2" t="s">
        <v>134</v>
      </c>
      <c r="AF7" s="2" t="s">
        <v>134</v>
      </c>
      <c r="AG7" s="2" t="s">
        <v>134</v>
      </c>
      <c r="AH7" s="2" t="s">
        <v>134</v>
      </c>
      <c r="AI7" s="2" t="s">
        <v>134</v>
      </c>
      <c r="AJ7" s="2" t="s">
        <v>7</v>
      </c>
      <c r="AK7" s="2" t="s">
        <v>7</v>
      </c>
      <c r="AL7" s="2">
        <f t="shared" si="23"/>
        <v>2</v>
      </c>
      <c r="AM7" s="2">
        <f t="shared" si="24"/>
        <v>0</v>
      </c>
      <c r="AN7" s="2">
        <f t="shared" si="39"/>
        <v>0</v>
      </c>
      <c r="AO7" s="2">
        <f t="shared" si="25"/>
        <v>0</v>
      </c>
      <c r="AP7" s="2">
        <f t="shared" si="26"/>
        <v>0</v>
      </c>
      <c r="AQ7" s="2" t="s">
        <v>134</v>
      </c>
      <c r="AR7" s="2" t="s">
        <v>134</v>
      </c>
      <c r="AS7" s="2" t="s">
        <v>134</v>
      </c>
      <c r="AT7" s="2" t="s">
        <v>134</v>
      </c>
      <c r="AU7" s="2" t="s">
        <v>134</v>
      </c>
      <c r="AV7" s="2" t="s">
        <v>134</v>
      </c>
      <c r="AW7" s="2" t="s">
        <v>134</v>
      </c>
      <c r="AX7" s="2">
        <f t="shared" si="27"/>
        <v>0</v>
      </c>
      <c r="AY7" s="2">
        <f t="shared" si="28"/>
        <v>0</v>
      </c>
      <c r="AZ7" s="2">
        <f t="shared" si="40"/>
        <v>0</v>
      </c>
      <c r="BA7" s="2">
        <f t="shared" si="29"/>
        <v>0</v>
      </c>
      <c r="BB7" s="2">
        <f t="shared" si="30"/>
        <v>0</v>
      </c>
      <c r="BC7" s="2" t="s">
        <v>134</v>
      </c>
      <c r="BD7" s="2" t="s">
        <v>134</v>
      </c>
      <c r="BE7" s="2" t="s">
        <v>134</v>
      </c>
      <c r="BF7" s="2">
        <f t="shared" si="31"/>
        <v>0</v>
      </c>
      <c r="BG7" s="2">
        <f t="shared" si="32"/>
        <v>0</v>
      </c>
      <c r="BH7" s="2">
        <f t="shared" si="41"/>
        <v>0</v>
      </c>
      <c r="BI7" s="2">
        <f t="shared" si="33"/>
        <v>0</v>
      </c>
      <c r="BJ7" s="2">
        <f t="shared" si="34"/>
        <v>0</v>
      </c>
      <c r="BK7" s="2">
        <f t="shared" si="35"/>
        <v>4</v>
      </c>
      <c r="BL7" s="2">
        <f t="shared" si="35"/>
        <v>0</v>
      </c>
      <c r="BM7" s="2">
        <f t="shared" si="35"/>
        <v>0</v>
      </c>
      <c r="BN7" s="2">
        <f t="shared" si="35"/>
        <v>0</v>
      </c>
      <c r="BO7" s="2">
        <f t="shared" si="35"/>
        <v>0</v>
      </c>
      <c r="BP7" s="26">
        <f t="shared" si="42"/>
        <v>4</v>
      </c>
    </row>
    <row r="8" spans="1:68">
      <c r="A8" s="17">
        <f t="shared" si="36"/>
        <v>5</v>
      </c>
      <c r="B8" s="16" t="s">
        <v>155</v>
      </c>
      <c r="C8" s="19" t="s">
        <v>156</v>
      </c>
      <c r="D8" s="15" t="s">
        <v>146</v>
      </c>
      <c r="E8" s="4" t="s">
        <v>29</v>
      </c>
      <c r="F8" s="5" t="s">
        <v>18</v>
      </c>
      <c r="G8" s="2" t="s">
        <v>134</v>
      </c>
      <c r="H8" s="2" t="s">
        <v>134</v>
      </c>
      <c r="I8" s="2" t="s">
        <v>134</v>
      </c>
      <c r="J8" s="2" t="s">
        <v>134</v>
      </c>
      <c r="K8" s="2" t="s">
        <v>134</v>
      </c>
      <c r="L8" s="2" t="s">
        <v>134</v>
      </c>
      <c r="M8" s="2" t="s">
        <v>134</v>
      </c>
      <c r="N8" s="2">
        <f t="shared" si="15"/>
        <v>0</v>
      </c>
      <c r="O8" s="2">
        <f t="shared" si="16"/>
        <v>0</v>
      </c>
      <c r="P8" s="2">
        <f t="shared" si="37"/>
        <v>0</v>
      </c>
      <c r="Q8" s="2">
        <f t="shared" si="17"/>
        <v>0</v>
      </c>
      <c r="R8" s="2">
        <f t="shared" si="18"/>
        <v>0</v>
      </c>
      <c r="S8" s="2" t="s">
        <v>134</v>
      </c>
      <c r="T8" s="2" t="s">
        <v>134</v>
      </c>
      <c r="U8" s="2" t="s">
        <v>134</v>
      </c>
      <c r="V8" s="2" t="s">
        <v>134</v>
      </c>
      <c r="W8" s="2" t="s">
        <v>134</v>
      </c>
      <c r="X8" s="2" t="s">
        <v>134</v>
      </c>
      <c r="Y8" s="2" t="s">
        <v>134</v>
      </c>
      <c r="Z8" s="2">
        <f t="shared" si="19"/>
        <v>0</v>
      </c>
      <c r="AA8" s="2">
        <f t="shared" si="20"/>
        <v>0</v>
      </c>
      <c r="AB8" s="2">
        <f t="shared" si="38"/>
        <v>0</v>
      </c>
      <c r="AC8" s="2">
        <f t="shared" si="21"/>
        <v>0</v>
      </c>
      <c r="AD8" s="2">
        <f t="shared" si="22"/>
        <v>0</v>
      </c>
      <c r="AE8" s="2" t="s">
        <v>134</v>
      </c>
      <c r="AF8" s="2" t="s">
        <v>134</v>
      </c>
      <c r="AG8" s="2" t="s">
        <v>134</v>
      </c>
      <c r="AH8" s="2" t="s">
        <v>134</v>
      </c>
      <c r="AI8" s="2" t="s">
        <v>134</v>
      </c>
      <c r="AJ8" s="2" t="s">
        <v>134</v>
      </c>
      <c r="AK8" s="2" t="s">
        <v>134</v>
      </c>
      <c r="AL8" s="2">
        <f t="shared" si="23"/>
        <v>0</v>
      </c>
      <c r="AM8" s="2">
        <f t="shared" si="24"/>
        <v>0</v>
      </c>
      <c r="AN8" s="2">
        <f t="shared" si="39"/>
        <v>0</v>
      </c>
      <c r="AO8" s="2">
        <f t="shared" si="25"/>
        <v>0</v>
      </c>
      <c r="AP8" s="2">
        <f t="shared" si="26"/>
        <v>0</v>
      </c>
      <c r="AQ8" s="2" t="s">
        <v>134</v>
      </c>
      <c r="AR8" s="2" t="s">
        <v>7</v>
      </c>
      <c r="AS8" s="2" t="s">
        <v>7</v>
      </c>
      <c r="AT8" s="2" t="s">
        <v>134</v>
      </c>
      <c r="AU8" s="2" t="s">
        <v>7</v>
      </c>
      <c r="AV8" s="2" t="s">
        <v>7</v>
      </c>
      <c r="AW8" s="2" t="s">
        <v>134</v>
      </c>
      <c r="AX8" s="2">
        <f t="shared" si="27"/>
        <v>4</v>
      </c>
      <c r="AY8" s="2">
        <f t="shared" si="28"/>
        <v>0</v>
      </c>
      <c r="AZ8" s="2">
        <f t="shared" si="40"/>
        <v>0</v>
      </c>
      <c r="BA8" s="2">
        <f t="shared" si="29"/>
        <v>0</v>
      </c>
      <c r="BB8" s="2">
        <f t="shared" si="30"/>
        <v>0</v>
      </c>
      <c r="BC8" s="2" t="s">
        <v>134</v>
      </c>
      <c r="BD8" s="2" t="s">
        <v>134</v>
      </c>
      <c r="BE8" s="2" t="s">
        <v>134</v>
      </c>
      <c r="BF8" s="2">
        <f t="shared" si="31"/>
        <v>0</v>
      </c>
      <c r="BG8" s="2">
        <f t="shared" si="32"/>
        <v>0</v>
      </c>
      <c r="BH8" s="2">
        <f t="shared" si="41"/>
        <v>0</v>
      </c>
      <c r="BI8" s="2">
        <f t="shared" si="33"/>
        <v>0</v>
      </c>
      <c r="BJ8" s="2">
        <f t="shared" si="34"/>
        <v>0</v>
      </c>
      <c r="BK8" s="2">
        <f t="shared" si="35"/>
        <v>4</v>
      </c>
      <c r="BL8" s="2">
        <f t="shared" si="35"/>
        <v>0</v>
      </c>
      <c r="BM8" s="2">
        <f t="shared" si="35"/>
        <v>0</v>
      </c>
      <c r="BN8" s="2">
        <f t="shared" si="35"/>
        <v>0</v>
      </c>
      <c r="BO8" s="2">
        <f t="shared" si="35"/>
        <v>0</v>
      </c>
      <c r="BP8" s="26">
        <f t="shared" si="42"/>
        <v>4</v>
      </c>
    </row>
    <row r="9" spans="1:68">
      <c r="A9" s="17">
        <f t="shared" si="36"/>
        <v>6</v>
      </c>
      <c r="B9" s="16" t="s">
        <v>157</v>
      </c>
      <c r="C9" s="19" t="s">
        <v>119</v>
      </c>
      <c r="D9" s="15" t="s">
        <v>146</v>
      </c>
      <c r="E9" s="4" t="s">
        <v>29</v>
      </c>
      <c r="F9" s="5" t="s">
        <v>18</v>
      </c>
      <c r="G9" s="2" t="s">
        <v>134</v>
      </c>
      <c r="H9" s="2" t="s">
        <v>134</v>
      </c>
      <c r="I9" s="2" t="s">
        <v>134</v>
      </c>
      <c r="J9" s="2" t="s">
        <v>134</v>
      </c>
      <c r="K9" s="2" t="s">
        <v>134</v>
      </c>
      <c r="L9" s="2" t="s">
        <v>134</v>
      </c>
      <c r="M9" s="2" t="s">
        <v>134</v>
      </c>
      <c r="N9" s="2">
        <f t="shared" si="15"/>
        <v>0</v>
      </c>
      <c r="O9" s="2">
        <f t="shared" si="16"/>
        <v>0</v>
      </c>
      <c r="P9" s="2">
        <f t="shared" si="37"/>
        <v>0</v>
      </c>
      <c r="Q9" s="2">
        <f t="shared" si="17"/>
        <v>0</v>
      </c>
      <c r="R9" s="2">
        <f t="shared" si="18"/>
        <v>0</v>
      </c>
      <c r="S9" s="2" t="s">
        <v>134</v>
      </c>
      <c r="T9" s="2" t="s">
        <v>134</v>
      </c>
      <c r="U9" s="2" t="s">
        <v>134</v>
      </c>
      <c r="V9" s="2" t="s">
        <v>134</v>
      </c>
      <c r="W9" s="2" t="s">
        <v>134</v>
      </c>
      <c r="X9" s="2" t="s">
        <v>7</v>
      </c>
      <c r="Y9" s="2" t="s">
        <v>7</v>
      </c>
      <c r="Z9" s="2">
        <f t="shared" si="19"/>
        <v>2</v>
      </c>
      <c r="AA9" s="2">
        <f t="shared" si="20"/>
        <v>0</v>
      </c>
      <c r="AB9" s="2">
        <f t="shared" si="38"/>
        <v>0</v>
      </c>
      <c r="AC9" s="2">
        <f t="shared" si="21"/>
        <v>0</v>
      </c>
      <c r="AD9" s="2">
        <f t="shared" si="22"/>
        <v>0</v>
      </c>
      <c r="AE9" s="2" t="s">
        <v>7</v>
      </c>
      <c r="AF9" s="2" t="s">
        <v>134</v>
      </c>
      <c r="AG9" s="2" t="s">
        <v>7</v>
      </c>
      <c r="AH9" s="2" t="s">
        <v>248</v>
      </c>
      <c r="AI9" s="2" t="s">
        <v>136</v>
      </c>
      <c r="AJ9" s="2" t="s">
        <v>136</v>
      </c>
      <c r="AK9" s="2" t="s">
        <v>136</v>
      </c>
      <c r="AL9" s="2">
        <f t="shared" si="23"/>
        <v>2</v>
      </c>
      <c r="AM9" s="2">
        <f t="shared" si="24"/>
        <v>0</v>
      </c>
      <c r="AN9" s="2">
        <f t="shared" si="39"/>
        <v>1</v>
      </c>
      <c r="AO9" s="2">
        <f t="shared" si="25"/>
        <v>0</v>
      </c>
      <c r="AP9" s="2">
        <f t="shared" si="26"/>
        <v>0</v>
      </c>
      <c r="AQ9" s="2" t="s">
        <v>136</v>
      </c>
      <c r="AR9" s="2" t="s">
        <v>136</v>
      </c>
      <c r="AS9" s="2" t="s">
        <v>136</v>
      </c>
      <c r="AT9" s="2" t="s">
        <v>136</v>
      </c>
      <c r="AU9" s="2" t="s">
        <v>136</v>
      </c>
      <c r="AV9" s="2" t="s">
        <v>136</v>
      </c>
      <c r="AW9" s="2" t="s">
        <v>136</v>
      </c>
      <c r="AX9" s="2">
        <f t="shared" si="27"/>
        <v>0</v>
      </c>
      <c r="AY9" s="2">
        <f t="shared" si="28"/>
        <v>0</v>
      </c>
      <c r="AZ9" s="2">
        <f t="shared" si="40"/>
        <v>0</v>
      </c>
      <c r="BA9" s="2">
        <f t="shared" si="29"/>
        <v>0</v>
      </c>
      <c r="BB9" s="2">
        <f t="shared" si="30"/>
        <v>0</v>
      </c>
      <c r="BC9" s="2" t="s">
        <v>136</v>
      </c>
      <c r="BD9" s="2" t="s">
        <v>136</v>
      </c>
      <c r="BE9" s="2" t="s">
        <v>134</v>
      </c>
      <c r="BF9" s="2">
        <f t="shared" si="31"/>
        <v>0</v>
      </c>
      <c r="BG9" s="2">
        <f t="shared" si="32"/>
        <v>0</v>
      </c>
      <c r="BH9" s="2">
        <f t="shared" si="41"/>
        <v>0</v>
      </c>
      <c r="BI9" s="2">
        <f t="shared" si="33"/>
        <v>0</v>
      </c>
      <c r="BJ9" s="2">
        <f t="shared" si="34"/>
        <v>0</v>
      </c>
      <c r="BK9" s="2">
        <f t="shared" si="35"/>
        <v>4</v>
      </c>
      <c r="BL9" s="2">
        <f t="shared" si="35"/>
        <v>0</v>
      </c>
      <c r="BM9" s="2">
        <f t="shared" si="35"/>
        <v>1</v>
      </c>
      <c r="BN9" s="2">
        <f t="shared" si="35"/>
        <v>0</v>
      </c>
      <c r="BO9" s="2">
        <f t="shared" si="35"/>
        <v>0</v>
      </c>
      <c r="BP9" s="26">
        <f t="shared" si="42"/>
        <v>5</v>
      </c>
    </row>
    <row r="10" spans="1:68">
      <c r="A10" s="17">
        <f t="shared" si="36"/>
        <v>7</v>
      </c>
      <c r="B10" s="16" t="s">
        <v>158</v>
      </c>
      <c r="C10" s="19" t="s">
        <v>159</v>
      </c>
      <c r="D10" s="15" t="s">
        <v>146</v>
      </c>
      <c r="E10" s="4" t="s">
        <v>29</v>
      </c>
      <c r="F10" s="5" t="s">
        <v>18</v>
      </c>
      <c r="G10" s="2" t="s">
        <v>134</v>
      </c>
      <c r="H10" s="2" t="s">
        <v>134</v>
      </c>
      <c r="I10" s="2" t="s">
        <v>134</v>
      </c>
      <c r="J10" s="2" t="s">
        <v>134</v>
      </c>
      <c r="K10" s="2" t="s">
        <v>134</v>
      </c>
      <c r="L10" s="2" t="s">
        <v>134</v>
      </c>
      <c r="M10" s="2" t="s">
        <v>7</v>
      </c>
      <c r="N10" s="2">
        <f t="shared" si="15"/>
        <v>1</v>
      </c>
      <c r="O10" s="2">
        <f t="shared" si="16"/>
        <v>0</v>
      </c>
      <c r="P10" s="2">
        <f t="shared" si="37"/>
        <v>0</v>
      </c>
      <c r="Q10" s="2">
        <f t="shared" si="17"/>
        <v>0</v>
      </c>
      <c r="R10" s="2">
        <f t="shared" si="18"/>
        <v>0</v>
      </c>
      <c r="S10" s="2" t="s">
        <v>134</v>
      </c>
      <c r="T10" s="2" t="s">
        <v>134</v>
      </c>
      <c r="U10" s="2" t="s">
        <v>134</v>
      </c>
      <c r="V10" s="2" t="s">
        <v>134</v>
      </c>
      <c r="W10" s="2" t="s">
        <v>7</v>
      </c>
      <c r="X10" s="2" t="s">
        <v>7</v>
      </c>
      <c r="Y10" s="2" t="s">
        <v>7</v>
      </c>
      <c r="Z10" s="2">
        <f t="shared" si="19"/>
        <v>3</v>
      </c>
      <c r="AA10" s="2">
        <f t="shared" si="20"/>
        <v>0</v>
      </c>
      <c r="AB10" s="2">
        <f t="shared" si="38"/>
        <v>0</v>
      </c>
      <c r="AC10" s="2">
        <f t="shared" si="21"/>
        <v>0</v>
      </c>
      <c r="AD10" s="2">
        <f t="shared" si="22"/>
        <v>0</v>
      </c>
      <c r="AE10" s="2" t="s">
        <v>134</v>
      </c>
      <c r="AF10" s="2" t="s">
        <v>134</v>
      </c>
      <c r="AG10" s="2" t="s">
        <v>134</v>
      </c>
      <c r="AH10" s="2" t="s">
        <v>134</v>
      </c>
      <c r="AI10" s="2" t="s">
        <v>134</v>
      </c>
      <c r="AJ10" s="2" t="s">
        <v>134</v>
      </c>
      <c r="AK10" s="2" t="s">
        <v>134</v>
      </c>
      <c r="AL10" s="2">
        <f t="shared" si="23"/>
        <v>0</v>
      </c>
      <c r="AM10" s="2">
        <f t="shared" si="24"/>
        <v>0</v>
      </c>
      <c r="AN10" s="2">
        <f t="shared" si="39"/>
        <v>0</v>
      </c>
      <c r="AO10" s="2">
        <f t="shared" si="25"/>
        <v>0</v>
      </c>
      <c r="AP10" s="2">
        <f t="shared" si="26"/>
        <v>0</v>
      </c>
      <c r="AQ10" s="2" t="s">
        <v>134</v>
      </c>
      <c r="AR10" s="2" t="s">
        <v>134</v>
      </c>
      <c r="AS10" s="2" t="s">
        <v>134</v>
      </c>
      <c r="AT10" s="2" t="s">
        <v>134</v>
      </c>
      <c r="AU10" s="2" t="s">
        <v>134</v>
      </c>
      <c r="AV10" s="2" t="s">
        <v>134</v>
      </c>
      <c r="AW10" s="2" t="s">
        <v>134</v>
      </c>
      <c r="AX10" s="2">
        <f t="shared" si="27"/>
        <v>0</v>
      </c>
      <c r="AY10" s="2">
        <f t="shared" si="28"/>
        <v>0</v>
      </c>
      <c r="AZ10" s="2">
        <f t="shared" si="40"/>
        <v>0</v>
      </c>
      <c r="BA10" s="2">
        <f t="shared" si="29"/>
        <v>0</v>
      </c>
      <c r="BB10" s="2">
        <f t="shared" si="30"/>
        <v>0</v>
      </c>
      <c r="BC10" s="2" t="s">
        <v>134</v>
      </c>
      <c r="BD10" s="2" t="s">
        <v>134</v>
      </c>
      <c r="BE10" s="2" t="s">
        <v>134</v>
      </c>
      <c r="BF10" s="2">
        <f t="shared" si="31"/>
        <v>0</v>
      </c>
      <c r="BG10" s="2">
        <f t="shared" si="32"/>
        <v>0</v>
      </c>
      <c r="BH10" s="2">
        <f t="shared" si="41"/>
        <v>0</v>
      </c>
      <c r="BI10" s="2">
        <f t="shared" si="33"/>
        <v>0</v>
      </c>
      <c r="BJ10" s="2">
        <f t="shared" si="34"/>
        <v>0</v>
      </c>
      <c r="BK10" s="2">
        <f t="shared" si="35"/>
        <v>4</v>
      </c>
      <c r="BL10" s="2">
        <f t="shared" si="35"/>
        <v>0</v>
      </c>
      <c r="BM10" s="2">
        <f t="shared" si="35"/>
        <v>0</v>
      </c>
      <c r="BN10" s="2">
        <f t="shared" si="35"/>
        <v>0</v>
      </c>
      <c r="BO10" s="2">
        <f t="shared" si="35"/>
        <v>0</v>
      </c>
      <c r="BP10" s="26">
        <f t="shared" si="42"/>
        <v>4</v>
      </c>
    </row>
    <row r="11" spans="1:68">
      <c r="A11" s="17">
        <f t="shared" si="36"/>
        <v>8</v>
      </c>
      <c r="B11" s="16" t="s">
        <v>160</v>
      </c>
      <c r="C11" s="19" t="s">
        <v>161</v>
      </c>
      <c r="D11" s="15" t="s">
        <v>146</v>
      </c>
      <c r="E11" s="4" t="s">
        <v>13</v>
      </c>
      <c r="F11" s="5" t="s">
        <v>14</v>
      </c>
      <c r="G11" s="2" t="s">
        <v>134</v>
      </c>
      <c r="H11" s="2" t="s">
        <v>134</v>
      </c>
      <c r="I11" s="2" t="s">
        <v>134</v>
      </c>
      <c r="J11" s="2" t="s">
        <v>134</v>
      </c>
      <c r="K11" s="2" t="s">
        <v>7</v>
      </c>
      <c r="L11" s="2" t="s">
        <v>7</v>
      </c>
      <c r="M11" s="2" t="s">
        <v>134</v>
      </c>
      <c r="N11" s="2">
        <f t="shared" si="15"/>
        <v>2</v>
      </c>
      <c r="O11" s="2">
        <f t="shared" si="16"/>
        <v>0</v>
      </c>
      <c r="P11" s="2">
        <f t="shared" si="37"/>
        <v>0</v>
      </c>
      <c r="Q11" s="2">
        <f t="shared" si="17"/>
        <v>0</v>
      </c>
      <c r="R11" s="2">
        <f t="shared" si="18"/>
        <v>0</v>
      </c>
      <c r="S11" s="2" t="s">
        <v>134</v>
      </c>
      <c r="T11" s="2" t="s">
        <v>134</v>
      </c>
      <c r="U11" s="2" t="s">
        <v>134</v>
      </c>
      <c r="V11" s="2" t="s">
        <v>134</v>
      </c>
      <c r="W11" s="2" t="s">
        <v>134</v>
      </c>
      <c r="X11" s="2" t="s">
        <v>134</v>
      </c>
      <c r="Y11" s="2" t="s">
        <v>134</v>
      </c>
      <c r="Z11" s="2">
        <f t="shared" si="19"/>
        <v>0</v>
      </c>
      <c r="AA11" s="2">
        <f t="shared" si="20"/>
        <v>0</v>
      </c>
      <c r="AB11" s="2">
        <f t="shared" si="38"/>
        <v>0</v>
      </c>
      <c r="AC11" s="2">
        <f t="shared" si="21"/>
        <v>0</v>
      </c>
      <c r="AD11" s="2">
        <f t="shared" si="22"/>
        <v>0</v>
      </c>
      <c r="AE11" s="2" t="s">
        <v>134</v>
      </c>
      <c r="AF11" s="2" t="s">
        <v>134</v>
      </c>
      <c r="AG11" s="2" t="s">
        <v>134</v>
      </c>
      <c r="AH11" s="2" t="s">
        <v>134</v>
      </c>
      <c r="AI11" s="2" t="s">
        <v>134</v>
      </c>
      <c r="AJ11" s="2" t="s">
        <v>134</v>
      </c>
      <c r="AK11" s="2" t="s">
        <v>134</v>
      </c>
      <c r="AL11" s="2">
        <f t="shared" si="23"/>
        <v>0</v>
      </c>
      <c r="AM11" s="2">
        <f t="shared" si="24"/>
        <v>0</v>
      </c>
      <c r="AN11" s="2">
        <f t="shared" si="39"/>
        <v>0</v>
      </c>
      <c r="AO11" s="2">
        <f t="shared" si="25"/>
        <v>0</v>
      </c>
      <c r="AP11" s="2">
        <f t="shared" si="26"/>
        <v>0</v>
      </c>
      <c r="AQ11" s="2" t="s">
        <v>134</v>
      </c>
      <c r="AR11" s="2" t="s">
        <v>134</v>
      </c>
      <c r="AS11" s="2" t="s">
        <v>134</v>
      </c>
      <c r="AT11" s="2" t="s">
        <v>134</v>
      </c>
      <c r="AU11" s="2" t="s">
        <v>7</v>
      </c>
      <c r="AV11" s="2" t="s">
        <v>7</v>
      </c>
      <c r="AW11" s="2" t="s">
        <v>134</v>
      </c>
      <c r="AX11" s="2">
        <f t="shared" si="27"/>
        <v>2</v>
      </c>
      <c r="AY11" s="2">
        <f t="shared" si="28"/>
        <v>0</v>
      </c>
      <c r="AZ11" s="2">
        <f t="shared" si="40"/>
        <v>0</v>
      </c>
      <c r="BA11" s="2">
        <f t="shared" si="29"/>
        <v>0</v>
      </c>
      <c r="BB11" s="2">
        <f t="shared" si="30"/>
        <v>0</v>
      </c>
      <c r="BC11" s="2" t="s">
        <v>134</v>
      </c>
      <c r="BD11" s="2" t="s">
        <v>248</v>
      </c>
      <c r="BE11" s="2" t="s">
        <v>134</v>
      </c>
      <c r="BF11" s="2">
        <f t="shared" si="31"/>
        <v>0</v>
      </c>
      <c r="BG11" s="2">
        <f t="shared" si="32"/>
        <v>0</v>
      </c>
      <c r="BH11" s="2">
        <f t="shared" si="41"/>
        <v>1</v>
      </c>
      <c r="BI11" s="2">
        <f t="shared" si="33"/>
        <v>0</v>
      </c>
      <c r="BJ11" s="2">
        <f t="shared" si="34"/>
        <v>0</v>
      </c>
      <c r="BK11" s="2">
        <f t="shared" si="35"/>
        <v>4</v>
      </c>
      <c r="BL11" s="2">
        <f t="shared" si="35"/>
        <v>0</v>
      </c>
      <c r="BM11" s="2">
        <f t="shared" si="35"/>
        <v>1</v>
      </c>
      <c r="BN11" s="2">
        <f t="shared" si="35"/>
        <v>0</v>
      </c>
      <c r="BO11" s="2">
        <f t="shared" si="35"/>
        <v>0</v>
      </c>
      <c r="BP11" s="26">
        <f t="shared" si="42"/>
        <v>5</v>
      </c>
    </row>
    <row r="12" spans="1:68">
      <c r="A12" s="17">
        <f t="shared" si="36"/>
        <v>9</v>
      </c>
      <c r="B12" s="16" t="s">
        <v>162</v>
      </c>
      <c r="C12" s="19" t="s">
        <v>163</v>
      </c>
      <c r="D12" s="15" t="s">
        <v>146</v>
      </c>
      <c r="E12" s="4" t="s">
        <v>13</v>
      </c>
      <c r="F12" s="5" t="s">
        <v>18</v>
      </c>
      <c r="G12" s="2" t="s">
        <v>134</v>
      </c>
      <c r="H12" s="2" t="s">
        <v>134</v>
      </c>
      <c r="I12" s="2" t="s">
        <v>134</v>
      </c>
      <c r="J12" s="2" t="s">
        <v>134</v>
      </c>
      <c r="K12" s="2" t="s">
        <v>7</v>
      </c>
      <c r="L12" s="2" t="s">
        <v>7</v>
      </c>
      <c r="M12" s="2" t="s">
        <v>7</v>
      </c>
      <c r="N12" s="2">
        <f t="shared" si="15"/>
        <v>3</v>
      </c>
      <c r="O12" s="2">
        <f t="shared" si="16"/>
        <v>0</v>
      </c>
      <c r="P12" s="2">
        <f t="shared" si="37"/>
        <v>0</v>
      </c>
      <c r="Q12" s="2">
        <f t="shared" si="17"/>
        <v>0</v>
      </c>
      <c r="R12" s="2">
        <f t="shared" si="18"/>
        <v>0</v>
      </c>
      <c r="S12" s="2" t="s">
        <v>134</v>
      </c>
      <c r="T12" s="2" t="s">
        <v>134</v>
      </c>
      <c r="U12" s="2" t="s">
        <v>134</v>
      </c>
      <c r="V12" s="2" t="s">
        <v>134</v>
      </c>
      <c r="W12" s="2" t="s">
        <v>134</v>
      </c>
      <c r="X12" s="2" t="s">
        <v>134</v>
      </c>
      <c r="Y12" s="2" t="s">
        <v>134</v>
      </c>
      <c r="Z12" s="2">
        <f t="shared" si="19"/>
        <v>0</v>
      </c>
      <c r="AA12" s="2">
        <f t="shared" si="20"/>
        <v>0</v>
      </c>
      <c r="AB12" s="2">
        <f t="shared" si="38"/>
        <v>0</v>
      </c>
      <c r="AC12" s="2">
        <f t="shared" si="21"/>
        <v>0</v>
      </c>
      <c r="AD12" s="2">
        <f t="shared" si="22"/>
        <v>0</v>
      </c>
      <c r="AE12" s="2" t="s">
        <v>134</v>
      </c>
      <c r="AF12" s="2" t="s">
        <v>134</v>
      </c>
      <c r="AG12" s="2" t="s">
        <v>134</v>
      </c>
      <c r="AH12" s="2" t="s">
        <v>134</v>
      </c>
      <c r="AI12" s="2" t="s">
        <v>134</v>
      </c>
      <c r="AJ12" s="2" t="s">
        <v>134</v>
      </c>
      <c r="AK12" s="2" t="s">
        <v>134</v>
      </c>
      <c r="AL12" s="2">
        <f t="shared" si="23"/>
        <v>0</v>
      </c>
      <c r="AM12" s="2">
        <f t="shared" si="24"/>
        <v>0</v>
      </c>
      <c r="AN12" s="2">
        <f t="shared" si="39"/>
        <v>0</v>
      </c>
      <c r="AO12" s="2">
        <f t="shared" si="25"/>
        <v>0</v>
      </c>
      <c r="AP12" s="2">
        <f t="shared" si="26"/>
        <v>0</v>
      </c>
      <c r="AQ12" s="2" t="s">
        <v>134</v>
      </c>
      <c r="AR12" s="2" t="s">
        <v>134</v>
      </c>
      <c r="AS12" s="2" t="s">
        <v>134</v>
      </c>
      <c r="AT12" s="2" t="s">
        <v>134</v>
      </c>
      <c r="AU12" s="2" t="s">
        <v>134</v>
      </c>
      <c r="AV12" s="2" t="s">
        <v>134</v>
      </c>
      <c r="AW12" s="2" t="s">
        <v>7</v>
      </c>
      <c r="AX12" s="2">
        <f t="shared" si="27"/>
        <v>1</v>
      </c>
      <c r="AY12" s="2">
        <f t="shared" si="28"/>
        <v>0</v>
      </c>
      <c r="AZ12" s="2">
        <f t="shared" si="40"/>
        <v>0</v>
      </c>
      <c r="BA12" s="2">
        <f t="shared" si="29"/>
        <v>0</v>
      </c>
      <c r="BB12" s="2">
        <f t="shared" si="30"/>
        <v>0</v>
      </c>
      <c r="BC12" s="2" t="s">
        <v>248</v>
      </c>
      <c r="BD12" s="2" t="s">
        <v>248</v>
      </c>
      <c r="BE12" s="2" t="s">
        <v>134</v>
      </c>
      <c r="BF12" s="2">
        <f t="shared" si="31"/>
        <v>0</v>
      </c>
      <c r="BG12" s="2">
        <f t="shared" si="32"/>
        <v>0</v>
      </c>
      <c r="BH12" s="2">
        <f t="shared" si="41"/>
        <v>2</v>
      </c>
      <c r="BI12" s="2">
        <f t="shared" si="33"/>
        <v>0</v>
      </c>
      <c r="BJ12" s="2">
        <f t="shared" si="34"/>
        <v>0</v>
      </c>
      <c r="BK12" s="2">
        <f t="shared" si="35"/>
        <v>4</v>
      </c>
      <c r="BL12" s="2">
        <f t="shared" si="35"/>
        <v>0</v>
      </c>
      <c r="BM12" s="2">
        <f t="shared" si="35"/>
        <v>2</v>
      </c>
      <c r="BN12" s="2">
        <f t="shared" si="35"/>
        <v>0</v>
      </c>
      <c r="BO12" s="2">
        <f t="shared" si="35"/>
        <v>0</v>
      </c>
      <c r="BP12" s="26">
        <f t="shared" si="42"/>
        <v>6</v>
      </c>
    </row>
    <row r="13" spans="1:68">
      <c r="A13" s="17">
        <f t="shared" si="36"/>
        <v>10</v>
      </c>
      <c r="B13" s="16" t="s">
        <v>164</v>
      </c>
      <c r="C13" s="19" t="s">
        <v>165</v>
      </c>
      <c r="D13" s="15" t="s">
        <v>146</v>
      </c>
      <c r="E13" s="4" t="s">
        <v>13</v>
      </c>
      <c r="F13" s="5" t="s">
        <v>14</v>
      </c>
      <c r="G13" s="2" t="s">
        <v>134</v>
      </c>
      <c r="H13" s="2" t="s">
        <v>134</v>
      </c>
      <c r="I13" s="2" t="s">
        <v>134</v>
      </c>
      <c r="J13" s="2" t="s">
        <v>134</v>
      </c>
      <c r="K13" s="2" t="s">
        <v>134</v>
      </c>
      <c r="L13" s="2" t="s">
        <v>134</v>
      </c>
      <c r="M13" s="2" t="s">
        <v>134</v>
      </c>
      <c r="N13" s="2">
        <f t="shared" si="15"/>
        <v>0</v>
      </c>
      <c r="O13" s="2">
        <f t="shared" si="16"/>
        <v>0</v>
      </c>
      <c r="P13" s="2">
        <f t="shared" si="37"/>
        <v>0</v>
      </c>
      <c r="Q13" s="2">
        <f t="shared" si="17"/>
        <v>0</v>
      </c>
      <c r="R13" s="2">
        <f t="shared" si="18"/>
        <v>0</v>
      </c>
      <c r="S13" s="2" t="s">
        <v>134</v>
      </c>
      <c r="T13" s="2" t="s">
        <v>134</v>
      </c>
      <c r="U13" s="2" t="s">
        <v>134</v>
      </c>
      <c r="V13" s="2" t="s">
        <v>134</v>
      </c>
      <c r="W13" s="2" t="s">
        <v>134</v>
      </c>
      <c r="X13" s="2" t="s">
        <v>134</v>
      </c>
      <c r="Y13" s="2" t="s">
        <v>134</v>
      </c>
      <c r="Z13" s="2">
        <f t="shared" si="19"/>
        <v>0</v>
      </c>
      <c r="AA13" s="2">
        <f t="shared" si="20"/>
        <v>0</v>
      </c>
      <c r="AB13" s="2">
        <f t="shared" si="38"/>
        <v>0</v>
      </c>
      <c r="AC13" s="2">
        <f t="shared" si="21"/>
        <v>0</v>
      </c>
      <c r="AD13" s="2">
        <f t="shared" si="22"/>
        <v>0</v>
      </c>
      <c r="AE13" s="2" t="s">
        <v>134</v>
      </c>
      <c r="AF13" s="2" t="s">
        <v>7</v>
      </c>
      <c r="AG13" s="2" t="s">
        <v>7</v>
      </c>
      <c r="AH13" s="2" t="s">
        <v>7</v>
      </c>
      <c r="AI13" s="2" t="s">
        <v>7</v>
      </c>
      <c r="AJ13" s="2" t="s">
        <v>248</v>
      </c>
      <c r="AK13" s="2" t="s">
        <v>134</v>
      </c>
      <c r="AL13" s="2">
        <f t="shared" si="23"/>
        <v>4</v>
      </c>
      <c r="AM13" s="2">
        <f t="shared" si="24"/>
        <v>0</v>
      </c>
      <c r="AN13" s="2">
        <f t="shared" si="39"/>
        <v>1</v>
      </c>
      <c r="AO13" s="2">
        <f t="shared" si="25"/>
        <v>0</v>
      </c>
      <c r="AP13" s="2">
        <f t="shared" si="26"/>
        <v>0</v>
      </c>
      <c r="AQ13" s="2" t="s">
        <v>134</v>
      </c>
      <c r="AR13" s="2" t="s">
        <v>134</v>
      </c>
      <c r="AS13" s="2" t="s">
        <v>134</v>
      </c>
      <c r="AT13" s="2" t="s">
        <v>134</v>
      </c>
      <c r="AU13" s="2" t="s">
        <v>134</v>
      </c>
      <c r="AV13" s="2" t="s">
        <v>134</v>
      </c>
      <c r="AW13" s="2" t="s">
        <v>134</v>
      </c>
      <c r="AX13" s="2">
        <f t="shared" si="27"/>
        <v>0</v>
      </c>
      <c r="AY13" s="2">
        <f t="shared" si="28"/>
        <v>0</v>
      </c>
      <c r="AZ13" s="2">
        <f t="shared" si="40"/>
        <v>0</v>
      </c>
      <c r="BA13" s="2">
        <f t="shared" si="29"/>
        <v>0</v>
      </c>
      <c r="BB13" s="2">
        <f t="shared" si="30"/>
        <v>0</v>
      </c>
      <c r="BC13" s="2" t="s">
        <v>134</v>
      </c>
      <c r="BD13" s="2" t="s">
        <v>134</v>
      </c>
      <c r="BE13" s="2" t="s">
        <v>134</v>
      </c>
      <c r="BF13" s="2">
        <f t="shared" si="31"/>
        <v>0</v>
      </c>
      <c r="BG13" s="2">
        <f t="shared" si="32"/>
        <v>0</v>
      </c>
      <c r="BH13" s="2">
        <f t="shared" si="41"/>
        <v>0</v>
      </c>
      <c r="BI13" s="2">
        <f t="shared" si="33"/>
        <v>0</v>
      </c>
      <c r="BJ13" s="2">
        <f t="shared" si="34"/>
        <v>0</v>
      </c>
      <c r="BK13" s="2">
        <f t="shared" ref="BK13:BO21" si="43">SUMIFS($A13:$BJ13,$A$3:$BJ$3,BK$3)</f>
        <v>4</v>
      </c>
      <c r="BL13" s="2">
        <f t="shared" si="43"/>
        <v>0</v>
      </c>
      <c r="BM13" s="2">
        <f t="shared" si="43"/>
        <v>1</v>
      </c>
      <c r="BN13" s="2">
        <f t="shared" si="43"/>
        <v>0</v>
      </c>
      <c r="BO13" s="2">
        <f t="shared" si="43"/>
        <v>0</v>
      </c>
      <c r="BP13" s="26">
        <f t="shared" si="42"/>
        <v>5</v>
      </c>
    </row>
    <row r="14" spans="1:68">
      <c r="A14" s="17">
        <f t="shared" si="36"/>
        <v>11</v>
      </c>
      <c r="B14" s="16" t="s">
        <v>166</v>
      </c>
      <c r="C14" s="19" t="s">
        <v>121</v>
      </c>
      <c r="D14" s="15" t="s">
        <v>146</v>
      </c>
      <c r="E14" s="4" t="s">
        <v>13</v>
      </c>
      <c r="F14" s="5" t="s">
        <v>41</v>
      </c>
      <c r="G14" s="2" t="s">
        <v>134</v>
      </c>
      <c r="H14" s="2" t="s">
        <v>134</v>
      </c>
      <c r="I14" s="2" t="s">
        <v>134</v>
      </c>
      <c r="J14" s="2" t="s">
        <v>7</v>
      </c>
      <c r="K14" s="2" t="s">
        <v>7</v>
      </c>
      <c r="L14" s="2" t="s">
        <v>134</v>
      </c>
      <c r="M14" s="2" t="s">
        <v>134</v>
      </c>
      <c r="N14" s="2">
        <f t="shared" si="15"/>
        <v>2</v>
      </c>
      <c r="O14" s="2">
        <f t="shared" si="16"/>
        <v>0</v>
      </c>
      <c r="P14" s="2">
        <f t="shared" si="37"/>
        <v>0</v>
      </c>
      <c r="Q14" s="2">
        <f t="shared" si="17"/>
        <v>0</v>
      </c>
      <c r="R14" s="2">
        <f t="shared" si="18"/>
        <v>0</v>
      </c>
      <c r="S14" s="2" t="s">
        <v>134</v>
      </c>
      <c r="T14" s="2" t="s">
        <v>134</v>
      </c>
      <c r="U14" s="2" t="s">
        <v>134</v>
      </c>
      <c r="V14" s="2" t="s">
        <v>134</v>
      </c>
      <c r="W14" s="2" t="s">
        <v>7</v>
      </c>
      <c r="X14" s="2" t="s">
        <v>7</v>
      </c>
      <c r="Y14" s="2" t="s">
        <v>134</v>
      </c>
      <c r="Z14" s="2">
        <f t="shared" si="19"/>
        <v>2</v>
      </c>
      <c r="AA14" s="2">
        <f t="shared" si="20"/>
        <v>0</v>
      </c>
      <c r="AB14" s="2">
        <f t="shared" si="38"/>
        <v>0</v>
      </c>
      <c r="AC14" s="2">
        <f t="shared" si="21"/>
        <v>0</v>
      </c>
      <c r="AD14" s="2">
        <f t="shared" si="22"/>
        <v>0</v>
      </c>
      <c r="AE14" s="2" t="s">
        <v>134</v>
      </c>
      <c r="AF14" s="2" t="s">
        <v>134</v>
      </c>
      <c r="AG14" s="2" t="s">
        <v>134</v>
      </c>
      <c r="AH14" s="2" t="s">
        <v>134</v>
      </c>
      <c r="AI14" s="2" t="s">
        <v>134</v>
      </c>
      <c r="AJ14" s="2" t="s">
        <v>134</v>
      </c>
      <c r="AK14" s="2" t="s">
        <v>134</v>
      </c>
      <c r="AL14" s="2">
        <f t="shared" si="23"/>
        <v>0</v>
      </c>
      <c r="AM14" s="2">
        <f t="shared" si="24"/>
        <v>0</v>
      </c>
      <c r="AN14" s="2">
        <f t="shared" si="39"/>
        <v>0</v>
      </c>
      <c r="AO14" s="2">
        <f t="shared" si="25"/>
        <v>0</v>
      </c>
      <c r="AP14" s="2">
        <f t="shared" si="26"/>
        <v>0</v>
      </c>
      <c r="AQ14" s="2" t="s">
        <v>134</v>
      </c>
      <c r="AR14" s="2" t="s">
        <v>134</v>
      </c>
      <c r="AS14" s="2" t="s">
        <v>134</v>
      </c>
      <c r="AT14" s="2" t="s">
        <v>134</v>
      </c>
      <c r="AU14" s="2" t="s">
        <v>134</v>
      </c>
      <c r="AV14" s="2" t="s">
        <v>134</v>
      </c>
      <c r="AW14" s="2" t="s">
        <v>134</v>
      </c>
      <c r="AX14" s="2">
        <f t="shared" si="27"/>
        <v>0</v>
      </c>
      <c r="AY14" s="2">
        <f t="shared" si="28"/>
        <v>0</v>
      </c>
      <c r="AZ14" s="2">
        <f t="shared" si="40"/>
        <v>0</v>
      </c>
      <c r="BA14" s="2">
        <f t="shared" si="29"/>
        <v>0</v>
      </c>
      <c r="BB14" s="2">
        <f t="shared" si="30"/>
        <v>0</v>
      </c>
      <c r="BC14" s="2" t="s">
        <v>248</v>
      </c>
      <c r="BD14" s="2" t="s">
        <v>134</v>
      </c>
      <c r="BE14" s="2" t="s">
        <v>134</v>
      </c>
      <c r="BF14" s="2">
        <f t="shared" si="31"/>
        <v>0</v>
      </c>
      <c r="BG14" s="2">
        <f t="shared" si="32"/>
        <v>0</v>
      </c>
      <c r="BH14" s="2">
        <f t="shared" si="41"/>
        <v>1</v>
      </c>
      <c r="BI14" s="2">
        <f t="shared" si="33"/>
        <v>0</v>
      </c>
      <c r="BJ14" s="2">
        <f t="shared" si="34"/>
        <v>0</v>
      </c>
      <c r="BK14" s="2">
        <f t="shared" si="43"/>
        <v>4</v>
      </c>
      <c r="BL14" s="2">
        <f t="shared" si="43"/>
        <v>0</v>
      </c>
      <c r="BM14" s="2">
        <f t="shared" si="43"/>
        <v>1</v>
      </c>
      <c r="BN14" s="2">
        <f t="shared" si="43"/>
        <v>0</v>
      </c>
      <c r="BO14" s="2">
        <f t="shared" si="43"/>
        <v>0</v>
      </c>
      <c r="BP14" s="26">
        <f t="shared" si="42"/>
        <v>5</v>
      </c>
    </row>
    <row r="15" spans="1:68">
      <c r="A15" s="17">
        <f t="shared" si="36"/>
        <v>12</v>
      </c>
      <c r="B15" s="16" t="s">
        <v>167</v>
      </c>
      <c r="C15" s="19" t="s">
        <v>168</v>
      </c>
      <c r="D15" s="15" t="s">
        <v>146</v>
      </c>
      <c r="E15" s="4" t="s">
        <v>29</v>
      </c>
      <c r="F15" s="5" t="s">
        <v>18</v>
      </c>
      <c r="G15" s="2" t="s">
        <v>134</v>
      </c>
      <c r="H15" s="2" t="s">
        <v>134</v>
      </c>
      <c r="I15" s="2" t="s">
        <v>134</v>
      </c>
      <c r="J15" s="2" t="s">
        <v>134</v>
      </c>
      <c r="K15" s="2" t="s">
        <v>134</v>
      </c>
      <c r="L15" s="2" t="s">
        <v>134</v>
      </c>
      <c r="M15" s="2" t="s">
        <v>134</v>
      </c>
      <c r="N15" s="2">
        <f t="shared" si="15"/>
        <v>0</v>
      </c>
      <c r="O15" s="2">
        <f t="shared" si="16"/>
        <v>0</v>
      </c>
      <c r="P15" s="2">
        <f t="shared" si="37"/>
        <v>0</v>
      </c>
      <c r="Q15" s="2">
        <f t="shared" si="17"/>
        <v>0</v>
      </c>
      <c r="R15" s="2">
        <f t="shared" si="18"/>
        <v>0</v>
      </c>
      <c r="S15" s="2" t="s">
        <v>134</v>
      </c>
      <c r="T15" s="2" t="s">
        <v>134</v>
      </c>
      <c r="U15" s="2" t="s">
        <v>134</v>
      </c>
      <c r="V15" s="2" t="s">
        <v>7</v>
      </c>
      <c r="W15" s="2" t="s">
        <v>7</v>
      </c>
      <c r="X15" s="2" t="s">
        <v>7</v>
      </c>
      <c r="Y15" s="2" t="s">
        <v>134</v>
      </c>
      <c r="Z15" s="2">
        <f t="shared" si="19"/>
        <v>3</v>
      </c>
      <c r="AA15" s="2">
        <f t="shared" si="20"/>
        <v>0</v>
      </c>
      <c r="AB15" s="2">
        <f t="shared" si="38"/>
        <v>0</v>
      </c>
      <c r="AC15" s="2">
        <f t="shared" si="21"/>
        <v>0</v>
      </c>
      <c r="AD15" s="2">
        <f t="shared" si="22"/>
        <v>0</v>
      </c>
      <c r="AE15" s="2" t="s">
        <v>134</v>
      </c>
      <c r="AF15" s="2" t="s">
        <v>134</v>
      </c>
      <c r="AG15" s="2" t="s">
        <v>134</v>
      </c>
      <c r="AH15" s="2" t="s">
        <v>134</v>
      </c>
      <c r="AI15" s="2" t="s">
        <v>134</v>
      </c>
      <c r="AJ15" s="2" t="s">
        <v>134</v>
      </c>
      <c r="AK15" s="2" t="s">
        <v>134</v>
      </c>
      <c r="AL15" s="2">
        <f t="shared" si="23"/>
        <v>0</v>
      </c>
      <c r="AM15" s="2">
        <f t="shared" si="24"/>
        <v>0</v>
      </c>
      <c r="AN15" s="2">
        <f t="shared" si="39"/>
        <v>0</v>
      </c>
      <c r="AO15" s="2">
        <f t="shared" si="25"/>
        <v>0</v>
      </c>
      <c r="AP15" s="2">
        <f t="shared" si="26"/>
        <v>0</v>
      </c>
      <c r="AQ15" s="2" t="s">
        <v>134</v>
      </c>
      <c r="AR15" s="2" t="s">
        <v>134</v>
      </c>
      <c r="AS15" s="2" t="s">
        <v>134</v>
      </c>
      <c r="AT15" s="2" t="s">
        <v>134</v>
      </c>
      <c r="AU15" s="2" t="s">
        <v>134</v>
      </c>
      <c r="AV15" s="2" t="s">
        <v>134</v>
      </c>
      <c r="AW15" s="2" t="s">
        <v>7</v>
      </c>
      <c r="AX15" s="2">
        <f t="shared" si="27"/>
        <v>1</v>
      </c>
      <c r="AY15" s="2">
        <f t="shared" si="28"/>
        <v>0</v>
      </c>
      <c r="AZ15" s="2">
        <f t="shared" si="40"/>
        <v>0</v>
      </c>
      <c r="BA15" s="2">
        <f t="shared" si="29"/>
        <v>0</v>
      </c>
      <c r="BB15" s="2">
        <f t="shared" si="30"/>
        <v>0</v>
      </c>
      <c r="BC15" s="2" t="s">
        <v>134</v>
      </c>
      <c r="BD15" s="2" t="s">
        <v>7</v>
      </c>
      <c r="BE15" s="2" t="s">
        <v>134</v>
      </c>
      <c r="BF15" s="2">
        <f t="shared" si="31"/>
        <v>1</v>
      </c>
      <c r="BG15" s="2">
        <f t="shared" si="32"/>
        <v>0</v>
      </c>
      <c r="BH15" s="2">
        <f t="shared" si="41"/>
        <v>0</v>
      </c>
      <c r="BI15" s="2">
        <f t="shared" si="33"/>
        <v>0</v>
      </c>
      <c r="BJ15" s="2">
        <f t="shared" si="34"/>
        <v>0</v>
      </c>
      <c r="BK15" s="2">
        <f t="shared" si="43"/>
        <v>5</v>
      </c>
      <c r="BL15" s="2">
        <f t="shared" si="43"/>
        <v>0</v>
      </c>
      <c r="BM15" s="2">
        <f t="shared" si="43"/>
        <v>0</v>
      </c>
      <c r="BN15" s="2">
        <f t="shared" si="43"/>
        <v>0</v>
      </c>
      <c r="BO15" s="2">
        <f t="shared" si="43"/>
        <v>0</v>
      </c>
      <c r="BP15" s="26">
        <f t="shared" si="42"/>
        <v>5</v>
      </c>
    </row>
    <row r="16" spans="1:68">
      <c r="A16" s="17">
        <f t="shared" si="36"/>
        <v>13</v>
      </c>
      <c r="B16" s="16" t="s">
        <v>169</v>
      </c>
      <c r="C16" s="19" t="s">
        <v>170</v>
      </c>
      <c r="D16" s="15" t="s">
        <v>146</v>
      </c>
      <c r="E16" s="4" t="s">
        <v>29</v>
      </c>
      <c r="F16" s="5" t="s">
        <v>18</v>
      </c>
      <c r="G16" s="2" t="s">
        <v>134</v>
      </c>
      <c r="H16" s="2" t="s">
        <v>134</v>
      </c>
      <c r="I16" s="2" t="s">
        <v>134</v>
      </c>
      <c r="J16" s="2" t="s">
        <v>134</v>
      </c>
      <c r="K16" s="2" t="s">
        <v>134</v>
      </c>
      <c r="L16" s="2" t="s">
        <v>134</v>
      </c>
      <c r="M16" s="2" t="s">
        <v>134</v>
      </c>
      <c r="N16" s="2">
        <f t="shared" si="15"/>
        <v>0</v>
      </c>
      <c r="O16" s="2">
        <f t="shared" si="16"/>
        <v>0</v>
      </c>
      <c r="P16" s="2">
        <f t="shared" si="37"/>
        <v>0</v>
      </c>
      <c r="Q16" s="2">
        <f t="shared" si="17"/>
        <v>0</v>
      </c>
      <c r="R16" s="2">
        <f t="shared" si="18"/>
        <v>0</v>
      </c>
      <c r="S16" s="2" t="s">
        <v>134</v>
      </c>
      <c r="T16" s="2" t="s">
        <v>134</v>
      </c>
      <c r="U16" s="2" t="s">
        <v>134</v>
      </c>
      <c r="V16" s="2" t="s">
        <v>134</v>
      </c>
      <c r="W16" s="2" t="s">
        <v>134</v>
      </c>
      <c r="X16" s="2" t="s">
        <v>134</v>
      </c>
      <c r="Y16" s="2" t="s">
        <v>7</v>
      </c>
      <c r="Z16" s="2">
        <f t="shared" si="19"/>
        <v>1</v>
      </c>
      <c r="AA16" s="2">
        <f t="shared" si="20"/>
        <v>0</v>
      </c>
      <c r="AB16" s="2">
        <f t="shared" si="38"/>
        <v>0</v>
      </c>
      <c r="AC16" s="2">
        <f t="shared" si="21"/>
        <v>0</v>
      </c>
      <c r="AD16" s="2">
        <f t="shared" si="22"/>
        <v>0</v>
      </c>
      <c r="AE16" s="2" t="s">
        <v>7</v>
      </c>
      <c r="AF16" s="2" t="s">
        <v>7</v>
      </c>
      <c r="AG16" s="2" t="s">
        <v>134</v>
      </c>
      <c r="AH16" s="2" t="s">
        <v>134</v>
      </c>
      <c r="AI16" s="2" t="s">
        <v>134</v>
      </c>
      <c r="AJ16" s="2" t="s">
        <v>134</v>
      </c>
      <c r="AK16" s="2" t="s">
        <v>134</v>
      </c>
      <c r="AL16" s="2">
        <f t="shared" si="23"/>
        <v>2</v>
      </c>
      <c r="AM16" s="2">
        <f t="shared" si="24"/>
        <v>0</v>
      </c>
      <c r="AN16" s="2">
        <f t="shared" si="39"/>
        <v>0</v>
      </c>
      <c r="AO16" s="2">
        <f t="shared" si="25"/>
        <v>0</v>
      </c>
      <c r="AP16" s="2">
        <f t="shared" si="26"/>
        <v>0</v>
      </c>
      <c r="AQ16" s="2" t="s">
        <v>134</v>
      </c>
      <c r="AR16" s="2" t="s">
        <v>134</v>
      </c>
      <c r="AS16" s="2" t="s">
        <v>7</v>
      </c>
      <c r="AT16" s="2" t="s">
        <v>134</v>
      </c>
      <c r="AU16" s="2" t="s">
        <v>134</v>
      </c>
      <c r="AV16" s="2" t="s">
        <v>134</v>
      </c>
      <c r="AW16" s="2" t="s">
        <v>134</v>
      </c>
      <c r="AX16" s="2">
        <f t="shared" si="27"/>
        <v>1</v>
      </c>
      <c r="AY16" s="2">
        <f t="shared" si="28"/>
        <v>0</v>
      </c>
      <c r="AZ16" s="2">
        <f t="shared" si="40"/>
        <v>0</v>
      </c>
      <c r="BA16" s="2">
        <f t="shared" si="29"/>
        <v>0</v>
      </c>
      <c r="BB16" s="2">
        <f t="shared" si="30"/>
        <v>0</v>
      </c>
      <c r="BC16" s="2" t="s">
        <v>134</v>
      </c>
      <c r="BD16" s="2" t="s">
        <v>134</v>
      </c>
      <c r="BE16" s="2" t="s">
        <v>134</v>
      </c>
      <c r="BF16" s="2">
        <f t="shared" si="31"/>
        <v>0</v>
      </c>
      <c r="BG16" s="2">
        <f t="shared" si="32"/>
        <v>0</v>
      </c>
      <c r="BH16" s="2">
        <f t="shared" si="41"/>
        <v>0</v>
      </c>
      <c r="BI16" s="2">
        <f t="shared" si="33"/>
        <v>0</v>
      </c>
      <c r="BJ16" s="2">
        <f t="shared" si="34"/>
        <v>0</v>
      </c>
      <c r="BK16" s="2">
        <f t="shared" si="43"/>
        <v>4</v>
      </c>
      <c r="BL16" s="2">
        <f t="shared" si="43"/>
        <v>0</v>
      </c>
      <c r="BM16" s="2">
        <f t="shared" si="43"/>
        <v>0</v>
      </c>
      <c r="BN16" s="2">
        <f t="shared" si="43"/>
        <v>0</v>
      </c>
      <c r="BO16" s="2">
        <f t="shared" si="43"/>
        <v>0</v>
      </c>
      <c r="BP16" s="26">
        <f>SUM(BK16:BO16)</f>
        <v>4</v>
      </c>
    </row>
    <row r="17" spans="1:68">
      <c r="A17" s="17">
        <f t="shared" si="36"/>
        <v>14</v>
      </c>
      <c r="B17" s="16" t="s">
        <v>171</v>
      </c>
      <c r="C17" s="19" t="s">
        <v>172</v>
      </c>
      <c r="D17" s="15" t="s">
        <v>146</v>
      </c>
      <c r="E17" s="4" t="s">
        <v>29</v>
      </c>
      <c r="F17" s="5" t="s">
        <v>18</v>
      </c>
      <c r="G17" s="2" t="s">
        <v>134</v>
      </c>
      <c r="H17" s="2" t="s">
        <v>134</v>
      </c>
      <c r="I17" s="2" t="s">
        <v>134</v>
      </c>
      <c r="J17" s="2" t="s">
        <v>134</v>
      </c>
      <c r="K17" s="2" t="s">
        <v>134</v>
      </c>
      <c r="L17" s="2" t="s">
        <v>134</v>
      </c>
      <c r="M17" s="2" t="s">
        <v>134</v>
      </c>
      <c r="N17" s="2">
        <f t="shared" si="15"/>
        <v>0</v>
      </c>
      <c r="O17" s="2">
        <f t="shared" si="16"/>
        <v>0</v>
      </c>
      <c r="P17" s="2">
        <f t="shared" si="37"/>
        <v>0</v>
      </c>
      <c r="Q17" s="2">
        <f t="shared" si="17"/>
        <v>0</v>
      </c>
      <c r="R17" s="2">
        <f t="shared" si="18"/>
        <v>0</v>
      </c>
      <c r="S17" s="2" t="s">
        <v>134</v>
      </c>
      <c r="T17" s="2" t="s">
        <v>134</v>
      </c>
      <c r="U17" s="2" t="s">
        <v>134</v>
      </c>
      <c r="V17" s="2" t="s">
        <v>134</v>
      </c>
      <c r="W17" s="2" t="s">
        <v>134</v>
      </c>
      <c r="X17" s="2" t="s">
        <v>134</v>
      </c>
      <c r="Y17" s="2" t="s">
        <v>134</v>
      </c>
      <c r="Z17" s="2">
        <f t="shared" si="19"/>
        <v>0</v>
      </c>
      <c r="AA17" s="2">
        <f t="shared" si="20"/>
        <v>0</v>
      </c>
      <c r="AB17" s="2">
        <f t="shared" si="38"/>
        <v>0</v>
      </c>
      <c r="AC17" s="2">
        <f t="shared" si="21"/>
        <v>0</v>
      </c>
      <c r="AD17" s="2">
        <f t="shared" si="22"/>
        <v>0</v>
      </c>
      <c r="AE17" s="2" t="s">
        <v>7</v>
      </c>
      <c r="AF17" s="2" t="s">
        <v>7</v>
      </c>
      <c r="AG17" s="2" t="s">
        <v>7</v>
      </c>
      <c r="AH17" s="2" t="s">
        <v>134</v>
      </c>
      <c r="AI17" s="2" t="s">
        <v>134</v>
      </c>
      <c r="AJ17" s="2" t="s">
        <v>7</v>
      </c>
      <c r="AK17" s="2" t="s">
        <v>134</v>
      </c>
      <c r="AL17" s="2">
        <f t="shared" si="23"/>
        <v>4</v>
      </c>
      <c r="AM17" s="2">
        <f t="shared" si="24"/>
        <v>0</v>
      </c>
      <c r="AN17" s="2">
        <f t="shared" si="39"/>
        <v>0</v>
      </c>
      <c r="AO17" s="2">
        <f t="shared" si="25"/>
        <v>0</v>
      </c>
      <c r="AP17" s="2">
        <f t="shared" si="26"/>
        <v>0</v>
      </c>
      <c r="AQ17" s="2" t="s">
        <v>134</v>
      </c>
      <c r="AR17" s="2" t="s">
        <v>134</v>
      </c>
      <c r="AS17" s="2" t="s">
        <v>134</v>
      </c>
      <c r="AT17" s="2" t="s">
        <v>134</v>
      </c>
      <c r="AU17" s="2" t="s">
        <v>134</v>
      </c>
      <c r="AV17" s="2" t="s">
        <v>134</v>
      </c>
      <c r="AW17" s="2" t="s">
        <v>134</v>
      </c>
      <c r="AX17" s="2">
        <f t="shared" si="27"/>
        <v>0</v>
      </c>
      <c r="AY17" s="2">
        <f t="shared" si="28"/>
        <v>0</v>
      </c>
      <c r="AZ17" s="2">
        <f t="shared" si="40"/>
        <v>0</v>
      </c>
      <c r="BA17" s="2">
        <f t="shared" si="29"/>
        <v>0</v>
      </c>
      <c r="BB17" s="2">
        <f t="shared" si="30"/>
        <v>0</v>
      </c>
      <c r="BC17" s="2" t="s">
        <v>134</v>
      </c>
      <c r="BD17" s="2" t="s">
        <v>134</v>
      </c>
      <c r="BE17" s="2" t="s">
        <v>134</v>
      </c>
      <c r="BF17" s="2">
        <f t="shared" si="31"/>
        <v>0</v>
      </c>
      <c r="BG17" s="2">
        <f t="shared" si="32"/>
        <v>0</v>
      </c>
      <c r="BH17" s="2">
        <f t="shared" si="41"/>
        <v>0</v>
      </c>
      <c r="BI17" s="2">
        <f t="shared" si="33"/>
        <v>0</v>
      </c>
      <c r="BJ17" s="2">
        <f t="shared" si="34"/>
        <v>0</v>
      </c>
      <c r="BK17" s="2">
        <f t="shared" si="43"/>
        <v>4</v>
      </c>
      <c r="BL17" s="2">
        <f t="shared" si="43"/>
        <v>0</v>
      </c>
      <c r="BM17" s="2">
        <f t="shared" si="43"/>
        <v>0</v>
      </c>
      <c r="BN17" s="2">
        <f t="shared" si="43"/>
        <v>0</v>
      </c>
      <c r="BO17" s="2">
        <f t="shared" si="43"/>
        <v>0</v>
      </c>
      <c r="BP17" s="26">
        <f t="shared" si="42"/>
        <v>4</v>
      </c>
    </row>
    <row r="18" spans="1:68">
      <c r="A18" s="17">
        <f t="shared" si="36"/>
        <v>15</v>
      </c>
      <c r="B18" s="16" t="s">
        <v>173</v>
      </c>
      <c r="C18" s="19" t="s">
        <v>174</v>
      </c>
      <c r="D18" s="15" t="s">
        <v>146</v>
      </c>
      <c r="E18" s="4" t="s">
        <v>13</v>
      </c>
      <c r="F18" s="5" t="s">
        <v>18</v>
      </c>
      <c r="G18" s="2" t="s">
        <v>134</v>
      </c>
      <c r="H18" s="2" t="s">
        <v>134</v>
      </c>
      <c r="I18" s="2" t="s">
        <v>134</v>
      </c>
      <c r="J18" s="2" t="s">
        <v>134</v>
      </c>
      <c r="K18" s="2" t="s">
        <v>134</v>
      </c>
      <c r="L18" s="2" t="s">
        <v>134</v>
      </c>
      <c r="M18" s="2" t="s">
        <v>134</v>
      </c>
      <c r="N18" s="2">
        <f t="shared" si="15"/>
        <v>0</v>
      </c>
      <c r="O18" s="2">
        <f t="shared" si="16"/>
        <v>0</v>
      </c>
      <c r="P18" s="2">
        <f t="shared" si="37"/>
        <v>0</v>
      </c>
      <c r="Q18" s="2">
        <f t="shared" si="17"/>
        <v>0</v>
      </c>
      <c r="R18" s="2">
        <f t="shared" si="18"/>
        <v>0</v>
      </c>
      <c r="S18" s="2" t="s">
        <v>134</v>
      </c>
      <c r="T18" s="2" t="s">
        <v>134</v>
      </c>
      <c r="U18" s="2" t="s">
        <v>134</v>
      </c>
      <c r="V18" s="2" t="s">
        <v>134</v>
      </c>
      <c r="W18" s="2" t="s">
        <v>134</v>
      </c>
      <c r="X18" s="2" t="s">
        <v>134</v>
      </c>
      <c r="Y18" s="2" t="s">
        <v>134</v>
      </c>
      <c r="Z18" s="2">
        <f t="shared" si="19"/>
        <v>0</v>
      </c>
      <c r="AA18" s="2">
        <f t="shared" si="20"/>
        <v>0</v>
      </c>
      <c r="AB18" s="2">
        <f t="shared" si="38"/>
        <v>0</v>
      </c>
      <c r="AC18" s="2">
        <f t="shared" si="21"/>
        <v>0</v>
      </c>
      <c r="AD18" s="2">
        <f t="shared" si="22"/>
        <v>0</v>
      </c>
      <c r="AE18" s="2" t="s">
        <v>7</v>
      </c>
      <c r="AF18" s="2" t="s">
        <v>134</v>
      </c>
      <c r="AG18" s="2" t="s">
        <v>134</v>
      </c>
      <c r="AH18" s="2" t="s">
        <v>134</v>
      </c>
      <c r="AI18" s="2" t="s">
        <v>134</v>
      </c>
      <c r="AJ18" s="2" t="s">
        <v>7</v>
      </c>
      <c r="AK18" s="2" t="s">
        <v>134</v>
      </c>
      <c r="AL18" s="2">
        <f t="shared" si="23"/>
        <v>2</v>
      </c>
      <c r="AM18" s="2">
        <f t="shared" si="24"/>
        <v>0</v>
      </c>
      <c r="AN18" s="2">
        <f t="shared" si="39"/>
        <v>0</v>
      </c>
      <c r="AO18" s="2">
        <f t="shared" si="25"/>
        <v>0</v>
      </c>
      <c r="AP18" s="2">
        <f t="shared" si="26"/>
        <v>0</v>
      </c>
      <c r="AQ18" s="2" t="s">
        <v>134</v>
      </c>
      <c r="AR18" s="2" t="s">
        <v>134</v>
      </c>
      <c r="AS18" s="2" t="s">
        <v>134</v>
      </c>
      <c r="AT18" s="2" t="s">
        <v>134</v>
      </c>
      <c r="AU18" s="2" t="s">
        <v>134</v>
      </c>
      <c r="AV18" s="2" t="s">
        <v>134</v>
      </c>
      <c r="AW18" s="2" t="s">
        <v>7</v>
      </c>
      <c r="AX18" s="2">
        <f t="shared" si="27"/>
        <v>1</v>
      </c>
      <c r="AY18" s="2">
        <f t="shared" si="28"/>
        <v>0</v>
      </c>
      <c r="AZ18" s="2">
        <f t="shared" si="40"/>
        <v>0</v>
      </c>
      <c r="BA18" s="2">
        <f t="shared" si="29"/>
        <v>0</v>
      </c>
      <c r="BB18" s="2">
        <f t="shared" si="30"/>
        <v>0</v>
      </c>
      <c r="BC18" s="2" t="s">
        <v>7</v>
      </c>
      <c r="BD18" s="2" t="s">
        <v>134</v>
      </c>
      <c r="BE18" s="2" t="s">
        <v>134</v>
      </c>
      <c r="BF18" s="2">
        <f t="shared" si="31"/>
        <v>1</v>
      </c>
      <c r="BG18" s="2">
        <f t="shared" si="32"/>
        <v>0</v>
      </c>
      <c r="BH18" s="2">
        <f t="shared" si="41"/>
        <v>0</v>
      </c>
      <c r="BI18" s="2">
        <f t="shared" si="33"/>
        <v>0</v>
      </c>
      <c r="BJ18" s="2">
        <f t="shared" si="34"/>
        <v>0</v>
      </c>
      <c r="BK18" s="2">
        <f t="shared" si="43"/>
        <v>4</v>
      </c>
      <c r="BL18" s="2">
        <f t="shared" si="43"/>
        <v>0</v>
      </c>
      <c r="BM18" s="2">
        <f t="shared" si="43"/>
        <v>0</v>
      </c>
      <c r="BN18" s="2">
        <f t="shared" si="43"/>
        <v>0</v>
      </c>
      <c r="BO18" s="2">
        <f t="shared" si="43"/>
        <v>0</v>
      </c>
      <c r="BP18" s="26">
        <f t="shared" si="42"/>
        <v>4</v>
      </c>
    </row>
    <row r="19" spans="1:68">
      <c r="A19" s="17">
        <f t="shared" si="36"/>
        <v>16</v>
      </c>
      <c r="B19" s="16" t="s">
        <v>175</v>
      </c>
      <c r="C19" s="19" t="s">
        <v>176</v>
      </c>
      <c r="D19" s="15" t="s">
        <v>146</v>
      </c>
      <c r="E19" s="4" t="s">
        <v>29</v>
      </c>
      <c r="F19" s="5" t="s">
        <v>18</v>
      </c>
      <c r="G19" s="2" t="s">
        <v>134</v>
      </c>
      <c r="H19" s="2" t="s">
        <v>134</v>
      </c>
      <c r="I19" s="2" t="s">
        <v>134</v>
      </c>
      <c r="J19" s="2" t="s">
        <v>134</v>
      </c>
      <c r="K19" s="2" t="s">
        <v>134</v>
      </c>
      <c r="L19" s="2" t="s">
        <v>7</v>
      </c>
      <c r="M19" s="2" t="s">
        <v>134</v>
      </c>
      <c r="N19" s="2">
        <f t="shared" si="15"/>
        <v>1</v>
      </c>
      <c r="O19" s="2">
        <f t="shared" si="16"/>
        <v>0</v>
      </c>
      <c r="P19" s="2">
        <f t="shared" si="37"/>
        <v>0</v>
      </c>
      <c r="Q19" s="2">
        <f t="shared" si="17"/>
        <v>0</v>
      </c>
      <c r="R19" s="2">
        <f t="shared" si="18"/>
        <v>0</v>
      </c>
      <c r="S19" s="2" t="s">
        <v>134</v>
      </c>
      <c r="T19" s="2" t="s">
        <v>134</v>
      </c>
      <c r="U19" s="2" t="s">
        <v>134</v>
      </c>
      <c r="V19" s="2" t="s">
        <v>134</v>
      </c>
      <c r="W19" s="2" t="s">
        <v>134</v>
      </c>
      <c r="X19" s="2" t="s">
        <v>134</v>
      </c>
      <c r="Y19" s="2" t="s">
        <v>134</v>
      </c>
      <c r="Z19" s="2">
        <f t="shared" si="19"/>
        <v>0</v>
      </c>
      <c r="AA19" s="2">
        <f t="shared" si="20"/>
        <v>0</v>
      </c>
      <c r="AB19" s="2">
        <f t="shared" si="38"/>
        <v>0</v>
      </c>
      <c r="AC19" s="2">
        <f t="shared" si="21"/>
        <v>0</v>
      </c>
      <c r="AD19" s="2">
        <f t="shared" si="22"/>
        <v>0</v>
      </c>
      <c r="AE19" s="2" t="s">
        <v>134</v>
      </c>
      <c r="AF19" s="2" t="s">
        <v>134</v>
      </c>
      <c r="AG19" s="2" t="s">
        <v>7</v>
      </c>
      <c r="AH19" s="2" t="s">
        <v>134</v>
      </c>
      <c r="AI19" s="2" t="s">
        <v>134</v>
      </c>
      <c r="AJ19" s="2" t="s">
        <v>134</v>
      </c>
      <c r="AK19" s="2" t="s">
        <v>134</v>
      </c>
      <c r="AL19" s="2">
        <f t="shared" si="23"/>
        <v>1</v>
      </c>
      <c r="AM19" s="2">
        <f t="shared" si="24"/>
        <v>0</v>
      </c>
      <c r="AN19" s="2">
        <f t="shared" si="39"/>
        <v>0</v>
      </c>
      <c r="AO19" s="2">
        <f t="shared" si="25"/>
        <v>0</v>
      </c>
      <c r="AP19" s="2">
        <f t="shared" si="26"/>
        <v>0</v>
      </c>
      <c r="AQ19" s="2" t="s">
        <v>134</v>
      </c>
      <c r="AR19" s="2" t="s">
        <v>134</v>
      </c>
      <c r="AS19" s="2" t="s">
        <v>134</v>
      </c>
      <c r="AT19" s="2" t="s">
        <v>134</v>
      </c>
      <c r="AU19" s="2" t="s">
        <v>7</v>
      </c>
      <c r="AV19" s="2" t="s">
        <v>7</v>
      </c>
      <c r="AW19" s="2" t="s">
        <v>134</v>
      </c>
      <c r="AX19" s="2">
        <f t="shared" si="27"/>
        <v>2</v>
      </c>
      <c r="AY19" s="2">
        <f t="shared" si="28"/>
        <v>0</v>
      </c>
      <c r="AZ19" s="2">
        <f t="shared" si="40"/>
        <v>0</v>
      </c>
      <c r="BA19" s="2">
        <f t="shared" si="29"/>
        <v>0</v>
      </c>
      <c r="BB19" s="2">
        <f t="shared" si="30"/>
        <v>0</v>
      </c>
      <c r="BC19" s="2" t="s">
        <v>134</v>
      </c>
      <c r="BD19" s="2" t="s">
        <v>134</v>
      </c>
      <c r="BE19" s="2" t="s">
        <v>134</v>
      </c>
      <c r="BF19" s="2">
        <f t="shared" si="31"/>
        <v>0</v>
      </c>
      <c r="BG19" s="2">
        <f t="shared" si="32"/>
        <v>0</v>
      </c>
      <c r="BH19" s="2">
        <f t="shared" si="41"/>
        <v>0</v>
      </c>
      <c r="BI19" s="2">
        <f t="shared" si="33"/>
        <v>0</v>
      </c>
      <c r="BJ19" s="2">
        <f t="shared" si="34"/>
        <v>0</v>
      </c>
      <c r="BK19" s="2">
        <f t="shared" si="43"/>
        <v>4</v>
      </c>
      <c r="BL19" s="2">
        <f t="shared" si="43"/>
        <v>0</v>
      </c>
      <c r="BM19" s="2">
        <f t="shared" si="43"/>
        <v>0</v>
      </c>
      <c r="BN19" s="2">
        <f t="shared" si="43"/>
        <v>0</v>
      </c>
      <c r="BO19" s="2">
        <f t="shared" si="43"/>
        <v>0</v>
      </c>
      <c r="BP19" s="26">
        <f t="shared" si="42"/>
        <v>4</v>
      </c>
    </row>
    <row r="20" spans="1:68">
      <c r="A20" s="17">
        <f t="shared" si="36"/>
        <v>17</v>
      </c>
      <c r="B20" s="16" t="s">
        <v>177</v>
      </c>
      <c r="C20" s="19" t="s">
        <v>178</v>
      </c>
      <c r="D20" s="15" t="s">
        <v>146</v>
      </c>
      <c r="E20" s="4" t="s">
        <v>29</v>
      </c>
      <c r="F20" s="5" t="s">
        <v>18</v>
      </c>
      <c r="G20" s="2" t="s">
        <v>134</v>
      </c>
      <c r="H20" s="2" t="s">
        <v>134</v>
      </c>
      <c r="I20" s="2" t="s">
        <v>134</v>
      </c>
      <c r="J20" s="2" t="s">
        <v>134</v>
      </c>
      <c r="K20" s="2" t="s">
        <v>134</v>
      </c>
      <c r="L20" s="2" t="s">
        <v>134</v>
      </c>
      <c r="M20" s="2" t="s">
        <v>134</v>
      </c>
      <c r="N20" s="2">
        <f t="shared" si="15"/>
        <v>0</v>
      </c>
      <c r="O20" s="2">
        <f t="shared" si="16"/>
        <v>0</v>
      </c>
      <c r="P20" s="2">
        <f t="shared" si="37"/>
        <v>0</v>
      </c>
      <c r="Q20" s="2">
        <f t="shared" si="17"/>
        <v>0</v>
      </c>
      <c r="R20" s="2">
        <f t="shared" si="18"/>
        <v>0</v>
      </c>
      <c r="S20" s="2" t="s">
        <v>134</v>
      </c>
      <c r="T20" s="2" t="s">
        <v>134</v>
      </c>
      <c r="U20" s="2" t="s">
        <v>134</v>
      </c>
      <c r="V20" s="2" t="s">
        <v>134</v>
      </c>
      <c r="W20" s="2" t="s">
        <v>134</v>
      </c>
      <c r="X20" s="2" t="s">
        <v>134</v>
      </c>
      <c r="Y20" s="2" t="s">
        <v>134</v>
      </c>
      <c r="Z20" s="2">
        <f t="shared" si="19"/>
        <v>0</v>
      </c>
      <c r="AA20" s="2">
        <f t="shared" si="20"/>
        <v>0</v>
      </c>
      <c r="AB20" s="2">
        <f t="shared" si="38"/>
        <v>0</v>
      </c>
      <c r="AC20" s="2">
        <f t="shared" si="21"/>
        <v>0</v>
      </c>
      <c r="AD20" s="2">
        <f t="shared" si="22"/>
        <v>0</v>
      </c>
      <c r="AE20" s="2" t="s">
        <v>134</v>
      </c>
      <c r="AF20" s="2" t="s">
        <v>134</v>
      </c>
      <c r="AG20" s="2" t="s">
        <v>134</v>
      </c>
      <c r="AH20" s="2" t="s">
        <v>7</v>
      </c>
      <c r="AI20" s="2" t="s">
        <v>134</v>
      </c>
      <c r="AJ20" s="2" t="s">
        <v>134</v>
      </c>
      <c r="AK20" s="2" t="s">
        <v>134</v>
      </c>
      <c r="AL20" s="2">
        <f t="shared" si="23"/>
        <v>1</v>
      </c>
      <c r="AM20" s="2">
        <f t="shared" si="24"/>
        <v>0</v>
      </c>
      <c r="AN20" s="2">
        <f t="shared" si="39"/>
        <v>0</v>
      </c>
      <c r="AO20" s="2">
        <f t="shared" si="25"/>
        <v>0</v>
      </c>
      <c r="AP20" s="2">
        <f t="shared" si="26"/>
        <v>0</v>
      </c>
      <c r="AQ20" s="2" t="s">
        <v>134</v>
      </c>
      <c r="AR20" s="2" t="s">
        <v>134</v>
      </c>
      <c r="AS20" s="2" t="s">
        <v>134</v>
      </c>
      <c r="AT20" s="2" t="s">
        <v>134</v>
      </c>
      <c r="AU20" s="2" t="s">
        <v>134</v>
      </c>
      <c r="AV20" s="2" t="s">
        <v>134</v>
      </c>
      <c r="AW20" s="2" t="s">
        <v>134</v>
      </c>
      <c r="AX20" s="2">
        <f t="shared" si="27"/>
        <v>0</v>
      </c>
      <c r="AY20" s="2">
        <f t="shared" si="28"/>
        <v>0</v>
      </c>
      <c r="AZ20" s="2">
        <f t="shared" si="40"/>
        <v>0</v>
      </c>
      <c r="BA20" s="2">
        <f t="shared" si="29"/>
        <v>0</v>
      </c>
      <c r="BB20" s="2">
        <f t="shared" si="30"/>
        <v>0</v>
      </c>
      <c r="BC20" s="2" t="s">
        <v>7</v>
      </c>
      <c r="BD20" s="2" t="s">
        <v>7</v>
      </c>
      <c r="BE20" s="2" t="s">
        <v>134</v>
      </c>
      <c r="BF20" s="2">
        <f t="shared" si="31"/>
        <v>2</v>
      </c>
      <c r="BG20" s="2">
        <f t="shared" si="32"/>
        <v>0</v>
      </c>
      <c r="BH20" s="2">
        <f t="shared" si="41"/>
        <v>0</v>
      </c>
      <c r="BI20" s="2">
        <f t="shared" si="33"/>
        <v>0</v>
      </c>
      <c r="BJ20" s="2">
        <f t="shared" si="34"/>
        <v>0</v>
      </c>
      <c r="BK20" s="2">
        <f t="shared" si="43"/>
        <v>3</v>
      </c>
      <c r="BL20" s="2">
        <f t="shared" si="43"/>
        <v>0</v>
      </c>
      <c r="BM20" s="2">
        <f t="shared" si="43"/>
        <v>0</v>
      </c>
      <c r="BN20" s="2">
        <f t="shared" si="43"/>
        <v>0</v>
      </c>
      <c r="BO20" s="2">
        <f t="shared" si="43"/>
        <v>0</v>
      </c>
      <c r="BP20" s="26">
        <f t="shared" si="42"/>
        <v>3</v>
      </c>
    </row>
    <row r="21" spans="1:68">
      <c r="A21" s="17">
        <f t="shared" si="36"/>
        <v>18</v>
      </c>
      <c r="B21" s="16" t="s">
        <v>179</v>
      </c>
      <c r="C21" s="19" t="s">
        <v>180</v>
      </c>
      <c r="D21" s="15" t="s">
        <v>146</v>
      </c>
      <c r="E21" s="4" t="s">
        <v>13</v>
      </c>
      <c r="F21" s="5" t="s">
        <v>14</v>
      </c>
      <c r="G21" s="2" t="s">
        <v>7</v>
      </c>
      <c r="H21" s="2" t="s">
        <v>7</v>
      </c>
      <c r="I21" s="2" t="s">
        <v>7</v>
      </c>
      <c r="J21" s="2" t="s">
        <v>7</v>
      </c>
      <c r="K21" s="2" t="s">
        <v>6</v>
      </c>
      <c r="L21" s="2" t="s">
        <v>6</v>
      </c>
      <c r="M21" s="2" t="s">
        <v>6</v>
      </c>
      <c r="N21" s="2">
        <f t="shared" si="15"/>
        <v>4</v>
      </c>
      <c r="O21" s="2">
        <f t="shared" si="16"/>
        <v>0</v>
      </c>
      <c r="P21" s="2">
        <f t="shared" si="37"/>
        <v>0</v>
      </c>
      <c r="Q21" s="2">
        <f t="shared" si="17"/>
        <v>0</v>
      </c>
      <c r="R21" s="2">
        <f t="shared" si="18"/>
        <v>3</v>
      </c>
      <c r="S21" s="2" t="s">
        <v>134</v>
      </c>
      <c r="T21" s="2" t="s">
        <v>6</v>
      </c>
      <c r="U21" s="2" t="s">
        <v>6</v>
      </c>
      <c r="V21" s="2" t="s">
        <v>6</v>
      </c>
      <c r="W21" s="2" t="s">
        <v>134</v>
      </c>
      <c r="X21" s="2" t="s">
        <v>134</v>
      </c>
      <c r="Y21" s="2" t="s">
        <v>134</v>
      </c>
      <c r="Z21" s="2">
        <f t="shared" si="19"/>
        <v>0</v>
      </c>
      <c r="AA21" s="2">
        <f t="shared" si="20"/>
        <v>0</v>
      </c>
      <c r="AB21" s="2">
        <f t="shared" si="38"/>
        <v>0</v>
      </c>
      <c r="AC21" s="2">
        <f t="shared" si="21"/>
        <v>0</v>
      </c>
      <c r="AD21" s="2">
        <f t="shared" si="22"/>
        <v>3</v>
      </c>
      <c r="AE21" s="2" t="s">
        <v>134</v>
      </c>
      <c r="AF21" s="2" t="s">
        <v>134</v>
      </c>
      <c r="AG21" s="2" t="s">
        <v>134</v>
      </c>
      <c r="AH21" s="2" t="s">
        <v>134</v>
      </c>
      <c r="AI21" s="2" t="s">
        <v>134</v>
      </c>
      <c r="AJ21" s="2" t="s">
        <v>134</v>
      </c>
      <c r="AK21" s="2" t="s">
        <v>134</v>
      </c>
      <c r="AL21" s="2">
        <f t="shared" si="23"/>
        <v>0</v>
      </c>
      <c r="AM21" s="2">
        <f t="shared" si="24"/>
        <v>0</v>
      </c>
      <c r="AN21" s="2">
        <f t="shared" si="39"/>
        <v>0</v>
      </c>
      <c r="AO21" s="2">
        <f t="shared" si="25"/>
        <v>0</v>
      </c>
      <c r="AP21" s="2">
        <f t="shared" si="26"/>
        <v>0</v>
      </c>
      <c r="AQ21" s="2" t="s">
        <v>134</v>
      </c>
      <c r="AR21" s="2" t="s">
        <v>134</v>
      </c>
      <c r="AS21" s="2" t="s">
        <v>134</v>
      </c>
      <c r="AT21" s="2" t="s">
        <v>134</v>
      </c>
      <c r="AU21" s="2" t="s">
        <v>134</v>
      </c>
      <c r="AV21" s="2" t="s">
        <v>134</v>
      </c>
      <c r="AW21" s="2" t="s">
        <v>134</v>
      </c>
      <c r="AX21" s="2">
        <f t="shared" si="27"/>
        <v>0</v>
      </c>
      <c r="AY21" s="2">
        <f t="shared" si="28"/>
        <v>0</v>
      </c>
      <c r="AZ21" s="2">
        <f t="shared" si="40"/>
        <v>0</v>
      </c>
      <c r="BA21" s="2">
        <f t="shared" si="29"/>
        <v>0</v>
      </c>
      <c r="BB21" s="2">
        <f t="shared" si="30"/>
        <v>0</v>
      </c>
      <c r="BC21" s="2" t="s">
        <v>134</v>
      </c>
      <c r="BD21" s="2" t="s">
        <v>134</v>
      </c>
      <c r="BE21" s="2" t="s">
        <v>134</v>
      </c>
      <c r="BF21" s="2">
        <f t="shared" si="31"/>
        <v>0</v>
      </c>
      <c r="BG21" s="2">
        <f t="shared" si="32"/>
        <v>0</v>
      </c>
      <c r="BH21" s="2">
        <f t="shared" si="41"/>
        <v>0</v>
      </c>
      <c r="BI21" s="2">
        <f t="shared" si="33"/>
        <v>0</v>
      </c>
      <c r="BJ21" s="2">
        <f t="shared" si="34"/>
        <v>0</v>
      </c>
      <c r="BK21" s="2">
        <f t="shared" si="43"/>
        <v>4</v>
      </c>
      <c r="BL21" s="2">
        <f t="shared" si="43"/>
        <v>0</v>
      </c>
      <c r="BM21" s="2">
        <f t="shared" si="43"/>
        <v>0</v>
      </c>
      <c r="BN21" s="2">
        <f t="shared" si="43"/>
        <v>0</v>
      </c>
      <c r="BO21" s="2">
        <f t="shared" si="43"/>
        <v>6</v>
      </c>
      <c r="BP21" s="26">
        <f t="shared" si="42"/>
        <v>10</v>
      </c>
    </row>
    <row r="22" spans="1:68">
      <c r="A22" s="17">
        <f t="shared" si="36"/>
        <v>19</v>
      </c>
      <c r="B22" s="16" t="s">
        <v>181</v>
      </c>
      <c r="C22" s="19" t="s">
        <v>182</v>
      </c>
      <c r="D22" s="15" t="s">
        <v>146</v>
      </c>
      <c r="E22" s="4" t="s">
        <v>13</v>
      </c>
      <c r="F22" s="5" t="s">
        <v>14</v>
      </c>
      <c r="G22" s="2" t="s">
        <v>7</v>
      </c>
      <c r="H22" s="2" t="s">
        <v>7</v>
      </c>
      <c r="I22" s="2" t="s">
        <v>134</v>
      </c>
      <c r="J22" s="2" t="s">
        <v>134</v>
      </c>
      <c r="K22" s="2" t="s">
        <v>134</v>
      </c>
      <c r="L22" s="2" t="s">
        <v>134</v>
      </c>
      <c r="M22" s="2" t="s">
        <v>134</v>
      </c>
      <c r="N22" s="2">
        <f t="shared" si="15"/>
        <v>2</v>
      </c>
      <c r="O22" s="2">
        <f t="shared" si="16"/>
        <v>0</v>
      </c>
      <c r="P22" s="2">
        <f t="shared" si="37"/>
        <v>0</v>
      </c>
      <c r="Q22" s="2">
        <f t="shared" si="17"/>
        <v>0</v>
      </c>
      <c r="R22" s="2">
        <f t="shared" si="18"/>
        <v>0</v>
      </c>
      <c r="S22" s="2" t="s">
        <v>134</v>
      </c>
      <c r="T22" s="2" t="s">
        <v>134</v>
      </c>
      <c r="U22" s="2" t="s">
        <v>134</v>
      </c>
      <c r="V22" s="2" t="s">
        <v>7</v>
      </c>
      <c r="W22" s="2" t="s">
        <v>134</v>
      </c>
      <c r="X22" s="2" t="s">
        <v>134</v>
      </c>
      <c r="Y22" s="2" t="s">
        <v>134</v>
      </c>
      <c r="Z22" s="2">
        <f t="shared" si="19"/>
        <v>1</v>
      </c>
      <c r="AA22" s="2">
        <f t="shared" si="20"/>
        <v>0</v>
      </c>
      <c r="AB22" s="2">
        <f t="shared" si="38"/>
        <v>0</v>
      </c>
      <c r="AC22" s="2">
        <f t="shared" si="21"/>
        <v>0</v>
      </c>
      <c r="AD22" s="2">
        <f t="shared" si="22"/>
        <v>0</v>
      </c>
      <c r="AE22" s="2" t="s">
        <v>134</v>
      </c>
      <c r="AF22" s="2" t="s">
        <v>134</v>
      </c>
      <c r="AG22" s="2" t="s">
        <v>134</v>
      </c>
      <c r="AH22" s="2" t="s">
        <v>134</v>
      </c>
      <c r="AI22" s="2" t="s">
        <v>134</v>
      </c>
      <c r="AJ22" s="2" t="s">
        <v>134</v>
      </c>
      <c r="AK22" s="2" t="s">
        <v>134</v>
      </c>
      <c r="AL22" s="2">
        <f t="shared" si="23"/>
        <v>0</v>
      </c>
      <c r="AM22" s="2">
        <f t="shared" si="24"/>
        <v>0</v>
      </c>
      <c r="AN22" s="2">
        <f t="shared" si="39"/>
        <v>0</v>
      </c>
      <c r="AO22" s="2">
        <f t="shared" si="25"/>
        <v>0</v>
      </c>
      <c r="AP22" s="2">
        <f t="shared" si="26"/>
        <v>0</v>
      </c>
      <c r="AQ22" s="2" t="s">
        <v>134</v>
      </c>
      <c r="AR22" s="2" t="s">
        <v>134</v>
      </c>
      <c r="AS22" s="2" t="s">
        <v>134</v>
      </c>
      <c r="AT22" s="2" t="s">
        <v>134</v>
      </c>
      <c r="AU22" s="2" t="s">
        <v>134</v>
      </c>
      <c r="AV22" s="2" t="s">
        <v>134</v>
      </c>
      <c r="AW22" s="2" t="s">
        <v>7</v>
      </c>
      <c r="AX22" s="2">
        <f t="shared" si="27"/>
        <v>1</v>
      </c>
      <c r="AY22" s="2">
        <f t="shared" si="28"/>
        <v>0</v>
      </c>
      <c r="AZ22" s="2">
        <f t="shared" si="40"/>
        <v>0</v>
      </c>
      <c r="BA22" s="2">
        <f t="shared" si="29"/>
        <v>0</v>
      </c>
      <c r="BB22" s="2">
        <f t="shared" si="30"/>
        <v>0</v>
      </c>
      <c r="BC22" s="2" t="s">
        <v>7</v>
      </c>
      <c r="BD22" s="2" t="s">
        <v>7</v>
      </c>
      <c r="BE22" s="2" t="s">
        <v>134</v>
      </c>
      <c r="BF22" s="2">
        <f t="shared" si="31"/>
        <v>2</v>
      </c>
      <c r="BG22" s="2">
        <f t="shared" si="32"/>
        <v>0</v>
      </c>
      <c r="BH22" s="2">
        <f t="shared" si="41"/>
        <v>0</v>
      </c>
      <c r="BI22" s="2">
        <f t="shared" si="33"/>
        <v>0</v>
      </c>
      <c r="BJ22" s="2">
        <f t="shared" si="34"/>
        <v>0</v>
      </c>
      <c r="BK22" s="2">
        <f t="shared" ref="BK22:BO31" si="44">SUMIFS($A22:$BJ22,$A$3:$BJ$3,BK$3)</f>
        <v>6</v>
      </c>
      <c r="BL22" s="2">
        <f t="shared" si="44"/>
        <v>0</v>
      </c>
      <c r="BM22" s="2">
        <f t="shared" si="44"/>
        <v>0</v>
      </c>
      <c r="BN22" s="2">
        <f t="shared" si="44"/>
        <v>0</v>
      </c>
      <c r="BO22" s="2">
        <f t="shared" si="44"/>
        <v>0</v>
      </c>
      <c r="BP22" s="26">
        <f t="shared" si="42"/>
        <v>6</v>
      </c>
    </row>
    <row r="23" spans="1:68">
      <c r="A23" s="17">
        <f t="shared" si="36"/>
        <v>20</v>
      </c>
      <c r="B23" s="16" t="s">
        <v>183</v>
      </c>
      <c r="C23" s="19" t="s">
        <v>184</v>
      </c>
      <c r="D23" s="15" t="s">
        <v>146</v>
      </c>
      <c r="E23" s="4" t="s">
        <v>13</v>
      </c>
      <c r="F23" s="5" t="s">
        <v>14</v>
      </c>
      <c r="G23" s="2" t="s">
        <v>134</v>
      </c>
      <c r="H23" s="2" t="s">
        <v>134</v>
      </c>
      <c r="I23" s="2" t="s">
        <v>134</v>
      </c>
      <c r="J23" s="2" t="s">
        <v>134</v>
      </c>
      <c r="K23" s="2" t="s">
        <v>134</v>
      </c>
      <c r="L23" s="2" t="s">
        <v>7</v>
      </c>
      <c r="M23" s="2" t="s">
        <v>7</v>
      </c>
      <c r="N23" s="2">
        <f t="shared" si="15"/>
        <v>2</v>
      </c>
      <c r="O23" s="2">
        <f t="shared" si="16"/>
        <v>0</v>
      </c>
      <c r="P23" s="2">
        <f t="shared" si="37"/>
        <v>0</v>
      </c>
      <c r="Q23" s="2">
        <f t="shared" si="17"/>
        <v>0</v>
      </c>
      <c r="R23" s="2">
        <f t="shared" si="18"/>
        <v>0</v>
      </c>
      <c r="S23" s="2" t="s">
        <v>134</v>
      </c>
      <c r="T23" s="2" t="s">
        <v>7</v>
      </c>
      <c r="U23" s="2" t="s">
        <v>134</v>
      </c>
      <c r="V23" s="2" t="s">
        <v>134</v>
      </c>
      <c r="W23" s="2" t="s">
        <v>134</v>
      </c>
      <c r="X23" s="2" t="s">
        <v>134</v>
      </c>
      <c r="Y23" s="2" t="s">
        <v>134</v>
      </c>
      <c r="Z23" s="2">
        <f t="shared" si="19"/>
        <v>1</v>
      </c>
      <c r="AA23" s="2">
        <f t="shared" si="20"/>
        <v>0</v>
      </c>
      <c r="AB23" s="2">
        <f t="shared" si="38"/>
        <v>0</v>
      </c>
      <c r="AC23" s="2">
        <f t="shared" si="21"/>
        <v>0</v>
      </c>
      <c r="AD23" s="2">
        <f t="shared" si="22"/>
        <v>0</v>
      </c>
      <c r="AE23" s="2" t="s">
        <v>134</v>
      </c>
      <c r="AF23" s="2" t="s">
        <v>134</v>
      </c>
      <c r="AG23" s="2" t="s">
        <v>134</v>
      </c>
      <c r="AH23" s="2" t="s">
        <v>134</v>
      </c>
      <c r="AI23" s="2" t="s">
        <v>134</v>
      </c>
      <c r="AJ23" s="2" t="s">
        <v>134</v>
      </c>
      <c r="AK23" s="2" t="s">
        <v>134</v>
      </c>
      <c r="AL23" s="2">
        <f t="shared" si="23"/>
        <v>0</v>
      </c>
      <c r="AM23" s="2">
        <f t="shared" si="24"/>
        <v>0</v>
      </c>
      <c r="AN23" s="2">
        <f t="shared" si="39"/>
        <v>0</v>
      </c>
      <c r="AO23" s="2">
        <f t="shared" si="25"/>
        <v>0</v>
      </c>
      <c r="AP23" s="2">
        <f t="shared" si="26"/>
        <v>0</v>
      </c>
      <c r="AQ23" s="2" t="s">
        <v>7</v>
      </c>
      <c r="AR23" s="2" t="s">
        <v>134</v>
      </c>
      <c r="AS23" s="2" t="s">
        <v>134</v>
      </c>
      <c r="AT23" s="2" t="s">
        <v>134</v>
      </c>
      <c r="AU23" s="2" t="s">
        <v>134</v>
      </c>
      <c r="AV23" s="2" t="s">
        <v>134</v>
      </c>
      <c r="AW23" s="2" t="s">
        <v>248</v>
      </c>
      <c r="AX23" s="2">
        <f t="shared" si="27"/>
        <v>1</v>
      </c>
      <c r="AY23" s="2">
        <f t="shared" si="28"/>
        <v>0</v>
      </c>
      <c r="AZ23" s="2">
        <f t="shared" si="40"/>
        <v>1</v>
      </c>
      <c r="BA23" s="2">
        <f t="shared" si="29"/>
        <v>0</v>
      </c>
      <c r="BB23" s="2">
        <f t="shared" si="30"/>
        <v>0</v>
      </c>
      <c r="BC23" s="2" t="s">
        <v>134</v>
      </c>
      <c r="BD23" s="2" t="s">
        <v>134</v>
      </c>
      <c r="BE23" s="2" t="s">
        <v>134</v>
      </c>
      <c r="BF23" s="2">
        <f t="shared" si="31"/>
        <v>0</v>
      </c>
      <c r="BG23" s="2">
        <f t="shared" si="32"/>
        <v>0</v>
      </c>
      <c r="BH23" s="2">
        <f t="shared" si="41"/>
        <v>0</v>
      </c>
      <c r="BI23" s="2">
        <f t="shared" si="33"/>
        <v>0</v>
      </c>
      <c r="BJ23" s="2">
        <f t="shared" si="34"/>
        <v>0</v>
      </c>
      <c r="BK23" s="2">
        <f t="shared" si="44"/>
        <v>4</v>
      </c>
      <c r="BL23" s="2">
        <f t="shared" si="44"/>
        <v>0</v>
      </c>
      <c r="BM23" s="2">
        <f t="shared" si="44"/>
        <v>1</v>
      </c>
      <c r="BN23" s="2">
        <f t="shared" si="44"/>
        <v>0</v>
      </c>
      <c r="BO23" s="2">
        <f t="shared" si="44"/>
        <v>0</v>
      </c>
      <c r="BP23" s="26">
        <f t="shared" si="42"/>
        <v>5</v>
      </c>
    </row>
    <row r="24" spans="1:68">
      <c r="A24" s="17">
        <f t="shared" si="36"/>
        <v>21</v>
      </c>
      <c r="B24" s="16" t="s">
        <v>185</v>
      </c>
      <c r="C24" s="19" t="s">
        <v>186</v>
      </c>
      <c r="D24" s="15" t="s">
        <v>146</v>
      </c>
      <c r="E24" s="4" t="s">
        <v>29</v>
      </c>
      <c r="F24" s="5" t="s">
        <v>14</v>
      </c>
      <c r="G24" s="2" t="s">
        <v>134</v>
      </c>
      <c r="H24" s="2" t="s">
        <v>134</v>
      </c>
      <c r="I24" s="2" t="s">
        <v>134</v>
      </c>
      <c r="J24" s="2" t="s">
        <v>134</v>
      </c>
      <c r="K24" s="2" t="s">
        <v>134</v>
      </c>
      <c r="L24" s="2" t="s">
        <v>134</v>
      </c>
      <c r="M24" s="2" t="s">
        <v>134</v>
      </c>
      <c r="N24" s="2">
        <f t="shared" si="15"/>
        <v>0</v>
      </c>
      <c r="O24" s="2">
        <f t="shared" si="16"/>
        <v>0</v>
      </c>
      <c r="P24" s="2">
        <f t="shared" si="37"/>
        <v>0</v>
      </c>
      <c r="Q24" s="2">
        <f t="shared" si="17"/>
        <v>0</v>
      </c>
      <c r="R24" s="2">
        <f t="shared" si="18"/>
        <v>0</v>
      </c>
      <c r="S24" s="2" t="s">
        <v>134</v>
      </c>
      <c r="T24" s="2" t="s">
        <v>134</v>
      </c>
      <c r="U24" s="2" t="s">
        <v>134</v>
      </c>
      <c r="V24" s="2" t="s">
        <v>134</v>
      </c>
      <c r="W24" s="2" t="s">
        <v>134</v>
      </c>
      <c r="X24" s="2" t="s">
        <v>134</v>
      </c>
      <c r="Y24" s="2" t="s">
        <v>134</v>
      </c>
      <c r="Z24" s="2">
        <f t="shared" si="19"/>
        <v>0</v>
      </c>
      <c r="AA24" s="2">
        <f t="shared" si="20"/>
        <v>0</v>
      </c>
      <c r="AB24" s="2">
        <f t="shared" si="38"/>
        <v>0</v>
      </c>
      <c r="AC24" s="2">
        <f t="shared" si="21"/>
        <v>0</v>
      </c>
      <c r="AD24" s="2">
        <f t="shared" si="22"/>
        <v>0</v>
      </c>
      <c r="AE24" s="2" t="s">
        <v>134</v>
      </c>
      <c r="AF24" s="2" t="s">
        <v>134</v>
      </c>
      <c r="AG24" s="2" t="s">
        <v>134</v>
      </c>
      <c r="AH24" s="2" t="s">
        <v>7</v>
      </c>
      <c r="AI24" s="2" t="s">
        <v>8</v>
      </c>
      <c r="AJ24" s="2" t="s">
        <v>134</v>
      </c>
      <c r="AK24" s="2" t="s">
        <v>134</v>
      </c>
      <c r="AL24" s="2">
        <f t="shared" si="23"/>
        <v>1</v>
      </c>
      <c r="AM24" s="2">
        <f t="shared" si="24"/>
        <v>1</v>
      </c>
      <c r="AN24" s="2">
        <f t="shared" si="39"/>
        <v>0</v>
      </c>
      <c r="AO24" s="2">
        <f t="shared" si="25"/>
        <v>0</v>
      </c>
      <c r="AP24" s="2">
        <f t="shared" si="26"/>
        <v>0</v>
      </c>
      <c r="AQ24" s="2" t="s">
        <v>134</v>
      </c>
      <c r="AR24" s="2" t="s">
        <v>134</v>
      </c>
      <c r="AS24" s="2" t="s">
        <v>134</v>
      </c>
      <c r="AT24" s="2" t="s">
        <v>134</v>
      </c>
      <c r="AU24" s="2" t="s">
        <v>134</v>
      </c>
      <c r="AV24" s="2" t="s">
        <v>134</v>
      </c>
      <c r="AW24" s="2" t="s">
        <v>134</v>
      </c>
      <c r="AX24" s="2">
        <f t="shared" si="27"/>
        <v>0</v>
      </c>
      <c r="AY24" s="2">
        <f t="shared" si="28"/>
        <v>0</v>
      </c>
      <c r="AZ24" s="2">
        <f t="shared" si="40"/>
        <v>0</v>
      </c>
      <c r="BA24" s="2">
        <f t="shared" si="29"/>
        <v>0</v>
      </c>
      <c r="BB24" s="2">
        <f t="shared" si="30"/>
        <v>0</v>
      </c>
      <c r="BC24" s="2" t="s">
        <v>7</v>
      </c>
      <c r="BD24" s="2" t="s">
        <v>7</v>
      </c>
      <c r="BE24" s="2" t="s">
        <v>134</v>
      </c>
      <c r="BF24" s="2">
        <f t="shared" si="31"/>
        <v>2</v>
      </c>
      <c r="BG24" s="2">
        <f t="shared" si="32"/>
        <v>0</v>
      </c>
      <c r="BH24" s="2">
        <f t="shared" si="41"/>
        <v>0</v>
      </c>
      <c r="BI24" s="2">
        <f t="shared" si="33"/>
        <v>0</v>
      </c>
      <c r="BJ24" s="2">
        <f t="shared" si="34"/>
        <v>0</v>
      </c>
      <c r="BK24" s="2">
        <f t="shared" si="44"/>
        <v>3</v>
      </c>
      <c r="BL24" s="2">
        <f t="shared" si="44"/>
        <v>1</v>
      </c>
      <c r="BM24" s="2">
        <f t="shared" si="44"/>
        <v>0</v>
      </c>
      <c r="BN24" s="2">
        <f t="shared" si="44"/>
        <v>0</v>
      </c>
      <c r="BO24" s="2">
        <f t="shared" si="44"/>
        <v>0</v>
      </c>
      <c r="BP24" s="26">
        <f t="shared" si="42"/>
        <v>4</v>
      </c>
    </row>
    <row r="25" spans="1:68">
      <c r="A25" s="17">
        <f t="shared" si="36"/>
        <v>22</v>
      </c>
      <c r="B25" s="16" t="s">
        <v>187</v>
      </c>
      <c r="C25" s="19" t="s">
        <v>11</v>
      </c>
      <c r="D25" s="15" t="s">
        <v>146</v>
      </c>
      <c r="E25" s="4" t="s">
        <v>13</v>
      </c>
      <c r="F25" s="5" t="s">
        <v>14</v>
      </c>
      <c r="G25" s="2" t="s">
        <v>7</v>
      </c>
      <c r="H25" s="2" t="s">
        <v>134</v>
      </c>
      <c r="I25" s="2" t="s">
        <v>134</v>
      </c>
      <c r="J25" s="2" t="s">
        <v>134</v>
      </c>
      <c r="K25" s="2" t="s">
        <v>134</v>
      </c>
      <c r="L25" s="2" t="s">
        <v>134</v>
      </c>
      <c r="M25" s="2" t="s">
        <v>134</v>
      </c>
      <c r="N25" s="2">
        <f t="shared" si="15"/>
        <v>1</v>
      </c>
      <c r="O25" s="2">
        <f t="shared" si="16"/>
        <v>0</v>
      </c>
      <c r="P25" s="2">
        <f t="shared" si="37"/>
        <v>0</v>
      </c>
      <c r="Q25" s="2">
        <f t="shared" si="17"/>
        <v>0</v>
      </c>
      <c r="R25" s="2">
        <f t="shared" si="18"/>
        <v>0</v>
      </c>
      <c r="S25" s="2" t="s">
        <v>134</v>
      </c>
      <c r="T25" s="2" t="s">
        <v>134</v>
      </c>
      <c r="U25" s="2" t="s">
        <v>134</v>
      </c>
      <c r="V25" s="2" t="s">
        <v>134</v>
      </c>
      <c r="W25" s="2" t="s">
        <v>134</v>
      </c>
      <c r="X25" s="2" t="s">
        <v>134</v>
      </c>
      <c r="Y25" s="2" t="s">
        <v>134</v>
      </c>
      <c r="Z25" s="2">
        <f t="shared" si="19"/>
        <v>0</v>
      </c>
      <c r="AA25" s="2">
        <f t="shared" si="20"/>
        <v>0</v>
      </c>
      <c r="AB25" s="2">
        <f t="shared" si="38"/>
        <v>0</v>
      </c>
      <c r="AC25" s="2">
        <f t="shared" si="21"/>
        <v>0</v>
      </c>
      <c r="AD25" s="2">
        <f t="shared" si="22"/>
        <v>0</v>
      </c>
      <c r="AE25" s="2" t="s">
        <v>134</v>
      </c>
      <c r="AF25" s="2" t="s">
        <v>7</v>
      </c>
      <c r="AG25" s="2" t="s">
        <v>134</v>
      </c>
      <c r="AH25" s="2" t="s">
        <v>134</v>
      </c>
      <c r="AI25" s="2" t="s">
        <v>134</v>
      </c>
      <c r="AJ25" s="2" t="s">
        <v>134</v>
      </c>
      <c r="AK25" s="2" t="s">
        <v>134</v>
      </c>
      <c r="AL25" s="2">
        <f t="shared" si="23"/>
        <v>1</v>
      </c>
      <c r="AM25" s="2">
        <f t="shared" si="24"/>
        <v>0</v>
      </c>
      <c r="AN25" s="2">
        <f t="shared" si="39"/>
        <v>0</v>
      </c>
      <c r="AO25" s="2">
        <f t="shared" si="25"/>
        <v>0</v>
      </c>
      <c r="AP25" s="2">
        <f t="shared" si="26"/>
        <v>0</v>
      </c>
      <c r="AQ25" s="2" t="s">
        <v>7</v>
      </c>
      <c r="AR25" s="2" t="s">
        <v>134</v>
      </c>
      <c r="AS25" s="2" t="s">
        <v>7</v>
      </c>
      <c r="AT25" s="2" t="s">
        <v>134</v>
      </c>
      <c r="AU25" s="2" t="s">
        <v>134</v>
      </c>
      <c r="AV25" s="2" t="s">
        <v>134</v>
      </c>
      <c r="AW25" s="2" t="s">
        <v>134</v>
      </c>
      <c r="AX25" s="2">
        <f t="shared" si="27"/>
        <v>2</v>
      </c>
      <c r="AY25" s="2">
        <f t="shared" si="28"/>
        <v>0</v>
      </c>
      <c r="AZ25" s="2">
        <f t="shared" si="40"/>
        <v>0</v>
      </c>
      <c r="BA25" s="2">
        <f t="shared" si="29"/>
        <v>0</v>
      </c>
      <c r="BB25" s="2">
        <f t="shared" si="30"/>
        <v>0</v>
      </c>
      <c r="BC25" s="2" t="s">
        <v>134</v>
      </c>
      <c r="BD25" s="2" t="s">
        <v>134</v>
      </c>
      <c r="BE25" s="2" t="s">
        <v>134</v>
      </c>
      <c r="BF25" s="2">
        <f t="shared" si="31"/>
        <v>0</v>
      </c>
      <c r="BG25" s="2">
        <f t="shared" si="32"/>
        <v>0</v>
      </c>
      <c r="BH25" s="2">
        <f t="shared" si="41"/>
        <v>0</v>
      </c>
      <c r="BI25" s="2">
        <f t="shared" si="33"/>
        <v>0</v>
      </c>
      <c r="BJ25" s="2">
        <f t="shared" si="34"/>
        <v>0</v>
      </c>
      <c r="BK25" s="2">
        <f t="shared" si="44"/>
        <v>4</v>
      </c>
      <c r="BL25" s="2">
        <f t="shared" si="44"/>
        <v>0</v>
      </c>
      <c r="BM25" s="2">
        <f t="shared" si="44"/>
        <v>0</v>
      </c>
      <c r="BN25" s="2">
        <f t="shared" si="44"/>
        <v>0</v>
      </c>
      <c r="BO25" s="2">
        <f t="shared" si="44"/>
        <v>0</v>
      </c>
      <c r="BP25" s="26">
        <f t="shared" si="42"/>
        <v>4</v>
      </c>
    </row>
    <row r="26" spans="1:68">
      <c r="A26" s="17">
        <f t="shared" si="36"/>
        <v>23</v>
      </c>
      <c r="B26" s="16" t="s">
        <v>188</v>
      </c>
      <c r="C26" s="19" t="s">
        <v>189</v>
      </c>
      <c r="D26" s="15" t="s">
        <v>146</v>
      </c>
      <c r="E26" s="4" t="s">
        <v>13</v>
      </c>
      <c r="F26" s="5" t="s">
        <v>14</v>
      </c>
      <c r="G26" s="2" t="s">
        <v>134</v>
      </c>
      <c r="H26" s="2" t="s">
        <v>134</v>
      </c>
      <c r="I26" s="2" t="s">
        <v>134</v>
      </c>
      <c r="J26" s="2" t="s">
        <v>134</v>
      </c>
      <c r="K26" s="2" t="s">
        <v>134</v>
      </c>
      <c r="L26" s="2" t="s">
        <v>7</v>
      </c>
      <c r="M26" s="2" t="s">
        <v>134</v>
      </c>
      <c r="N26" s="2">
        <f t="shared" si="15"/>
        <v>1</v>
      </c>
      <c r="O26" s="2">
        <f t="shared" si="16"/>
        <v>0</v>
      </c>
      <c r="P26" s="2">
        <f t="shared" si="37"/>
        <v>0</v>
      </c>
      <c r="Q26" s="2">
        <f t="shared" si="17"/>
        <v>0</v>
      </c>
      <c r="R26" s="2">
        <f t="shared" si="18"/>
        <v>0</v>
      </c>
      <c r="S26" s="2" t="s">
        <v>134</v>
      </c>
      <c r="T26" s="2" t="s">
        <v>134</v>
      </c>
      <c r="U26" s="2" t="s">
        <v>134</v>
      </c>
      <c r="V26" s="2" t="s">
        <v>134</v>
      </c>
      <c r="W26" s="2" t="s">
        <v>7</v>
      </c>
      <c r="X26" s="2" t="s">
        <v>7</v>
      </c>
      <c r="Y26" s="2" t="s">
        <v>134</v>
      </c>
      <c r="Z26" s="2">
        <f t="shared" si="19"/>
        <v>2</v>
      </c>
      <c r="AA26" s="2">
        <f t="shared" si="20"/>
        <v>0</v>
      </c>
      <c r="AB26" s="2">
        <f t="shared" si="38"/>
        <v>0</v>
      </c>
      <c r="AC26" s="2">
        <f t="shared" si="21"/>
        <v>0</v>
      </c>
      <c r="AD26" s="2">
        <f t="shared" si="22"/>
        <v>0</v>
      </c>
      <c r="AE26" s="2" t="s">
        <v>134</v>
      </c>
      <c r="AF26" s="2" t="s">
        <v>134</v>
      </c>
      <c r="AG26" s="2" t="s">
        <v>134</v>
      </c>
      <c r="AH26" s="2" t="s">
        <v>134</v>
      </c>
      <c r="AI26" s="2" t="s">
        <v>134</v>
      </c>
      <c r="AJ26" s="2" t="s">
        <v>134</v>
      </c>
      <c r="AK26" s="2" t="s">
        <v>134</v>
      </c>
      <c r="AL26" s="2">
        <f t="shared" si="23"/>
        <v>0</v>
      </c>
      <c r="AM26" s="2">
        <f t="shared" si="24"/>
        <v>0</v>
      </c>
      <c r="AN26" s="2">
        <f t="shared" si="39"/>
        <v>0</v>
      </c>
      <c r="AO26" s="2">
        <f t="shared" si="25"/>
        <v>0</v>
      </c>
      <c r="AP26" s="2">
        <f t="shared" si="26"/>
        <v>0</v>
      </c>
      <c r="AQ26" s="2" t="s">
        <v>7</v>
      </c>
      <c r="AR26" s="2" t="s">
        <v>134</v>
      </c>
      <c r="AS26" s="2" t="s">
        <v>134</v>
      </c>
      <c r="AT26" s="2" t="s">
        <v>134</v>
      </c>
      <c r="AU26" s="2" t="s">
        <v>134</v>
      </c>
      <c r="AV26" s="2" t="s">
        <v>134</v>
      </c>
      <c r="AW26" s="2" t="s">
        <v>248</v>
      </c>
      <c r="AX26" s="2">
        <f t="shared" si="27"/>
        <v>1</v>
      </c>
      <c r="AY26" s="2">
        <f t="shared" si="28"/>
        <v>0</v>
      </c>
      <c r="AZ26" s="2">
        <f t="shared" si="40"/>
        <v>1</v>
      </c>
      <c r="BA26" s="2">
        <f t="shared" si="29"/>
        <v>0</v>
      </c>
      <c r="BB26" s="2">
        <f t="shared" si="30"/>
        <v>0</v>
      </c>
      <c r="BC26" s="2" t="s">
        <v>134</v>
      </c>
      <c r="BD26" s="2" t="s">
        <v>134</v>
      </c>
      <c r="BE26" s="2" t="s">
        <v>134</v>
      </c>
      <c r="BF26" s="2">
        <f t="shared" si="31"/>
        <v>0</v>
      </c>
      <c r="BG26" s="2">
        <f t="shared" si="32"/>
        <v>0</v>
      </c>
      <c r="BH26" s="2">
        <f t="shared" si="41"/>
        <v>0</v>
      </c>
      <c r="BI26" s="2">
        <f t="shared" si="33"/>
        <v>0</v>
      </c>
      <c r="BJ26" s="2">
        <f t="shared" si="34"/>
        <v>0</v>
      </c>
      <c r="BK26" s="2">
        <f t="shared" si="44"/>
        <v>4</v>
      </c>
      <c r="BL26" s="2">
        <f t="shared" si="44"/>
        <v>0</v>
      </c>
      <c r="BM26" s="2">
        <f t="shared" si="44"/>
        <v>1</v>
      </c>
      <c r="BN26" s="2">
        <f t="shared" si="44"/>
        <v>0</v>
      </c>
      <c r="BO26" s="2">
        <f t="shared" si="44"/>
        <v>0</v>
      </c>
      <c r="BP26" s="26">
        <f t="shared" si="42"/>
        <v>5</v>
      </c>
    </row>
    <row r="27" spans="1:68">
      <c r="A27" s="17">
        <f t="shared" si="36"/>
        <v>24</v>
      </c>
      <c r="B27" s="16" t="s">
        <v>190</v>
      </c>
      <c r="C27" s="19" t="s">
        <v>191</v>
      </c>
      <c r="D27" s="15" t="s">
        <v>146</v>
      </c>
      <c r="E27" s="4" t="s">
        <v>29</v>
      </c>
      <c r="F27" s="5" t="s">
        <v>14</v>
      </c>
      <c r="G27" s="2" t="s">
        <v>134</v>
      </c>
      <c r="H27" s="2" t="s">
        <v>134</v>
      </c>
      <c r="I27" s="2" t="s">
        <v>134</v>
      </c>
      <c r="J27" s="2" t="s">
        <v>134</v>
      </c>
      <c r="K27" s="2" t="s">
        <v>134</v>
      </c>
      <c r="L27" s="2" t="s">
        <v>134</v>
      </c>
      <c r="M27" s="2" t="s">
        <v>7</v>
      </c>
      <c r="N27" s="2">
        <f t="shared" si="15"/>
        <v>1</v>
      </c>
      <c r="O27" s="2">
        <f t="shared" si="16"/>
        <v>0</v>
      </c>
      <c r="P27" s="2">
        <f t="shared" si="37"/>
        <v>0</v>
      </c>
      <c r="Q27" s="2">
        <f t="shared" si="17"/>
        <v>0</v>
      </c>
      <c r="R27" s="2">
        <f t="shared" si="18"/>
        <v>0</v>
      </c>
      <c r="S27" s="2" t="s">
        <v>7</v>
      </c>
      <c r="T27" s="2" t="s">
        <v>134</v>
      </c>
      <c r="U27" s="2" t="s">
        <v>134</v>
      </c>
      <c r="V27" s="2" t="s">
        <v>134</v>
      </c>
      <c r="W27" s="2" t="s">
        <v>134</v>
      </c>
      <c r="X27" s="2" t="s">
        <v>134</v>
      </c>
      <c r="Y27" s="2" t="s">
        <v>134</v>
      </c>
      <c r="Z27" s="2">
        <f t="shared" si="19"/>
        <v>1</v>
      </c>
      <c r="AA27" s="2">
        <f t="shared" si="20"/>
        <v>0</v>
      </c>
      <c r="AB27" s="2">
        <f t="shared" si="38"/>
        <v>0</v>
      </c>
      <c r="AC27" s="2">
        <f t="shared" si="21"/>
        <v>0</v>
      </c>
      <c r="AD27" s="2">
        <f t="shared" si="22"/>
        <v>0</v>
      </c>
      <c r="AE27" s="2" t="s">
        <v>134</v>
      </c>
      <c r="AF27" s="2" t="s">
        <v>134</v>
      </c>
      <c r="AG27" s="2" t="s">
        <v>7</v>
      </c>
      <c r="AH27" s="2" t="s">
        <v>134</v>
      </c>
      <c r="AI27" s="2" t="s">
        <v>134</v>
      </c>
      <c r="AJ27" s="2" t="s">
        <v>134</v>
      </c>
      <c r="AK27" s="2" t="s">
        <v>134</v>
      </c>
      <c r="AL27" s="2">
        <f t="shared" si="23"/>
        <v>1</v>
      </c>
      <c r="AM27" s="2">
        <f t="shared" si="24"/>
        <v>0</v>
      </c>
      <c r="AN27" s="2">
        <f t="shared" si="39"/>
        <v>0</v>
      </c>
      <c r="AO27" s="2">
        <f t="shared" si="25"/>
        <v>0</v>
      </c>
      <c r="AP27" s="2">
        <f t="shared" si="26"/>
        <v>0</v>
      </c>
      <c r="AQ27" s="2" t="s">
        <v>134</v>
      </c>
      <c r="AR27" s="2" t="s">
        <v>134</v>
      </c>
      <c r="AS27" s="2" t="s">
        <v>134</v>
      </c>
      <c r="AT27" s="2" t="s">
        <v>134</v>
      </c>
      <c r="AU27" s="2" t="s">
        <v>134</v>
      </c>
      <c r="AV27" s="2" t="s">
        <v>134</v>
      </c>
      <c r="AW27" s="2" t="s">
        <v>134</v>
      </c>
      <c r="AX27" s="2">
        <f t="shared" si="27"/>
        <v>0</v>
      </c>
      <c r="AY27" s="2">
        <f t="shared" si="28"/>
        <v>0</v>
      </c>
      <c r="AZ27" s="2">
        <f t="shared" si="40"/>
        <v>0</v>
      </c>
      <c r="BA27" s="2">
        <f t="shared" si="29"/>
        <v>0</v>
      </c>
      <c r="BB27" s="2">
        <f t="shared" si="30"/>
        <v>0</v>
      </c>
      <c r="BC27" s="2" t="s">
        <v>134</v>
      </c>
      <c r="BD27" s="2" t="s">
        <v>7</v>
      </c>
      <c r="BE27" s="2" t="s">
        <v>134</v>
      </c>
      <c r="BF27" s="2">
        <f t="shared" si="31"/>
        <v>1</v>
      </c>
      <c r="BG27" s="2">
        <f t="shared" si="32"/>
        <v>0</v>
      </c>
      <c r="BH27" s="2">
        <f t="shared" si="41"/>
        <v>0</v>
      </c>
      <c r="BI27" s="2">
        <f t="shared" si="33"/>
        <v>0</v>
      </c>
      <c r="BJ27" s="2">
        <f t="shared" si="34"/>
        <v>0</v>
      </c>
      <c r="BK27" s="2">
        <f t="shared" si="44"/>
        <v>4</v>
      </c>
      <c r="BL27" s="2">
        <f t="shared" si="44"/>
        <v>0</v>
      </c>
      <c r="BM27" s="2">
        <f t="shared" si="44"/>
        <v>0</v>
      </c>
      <c r="BN27" s="2">
        <f t="shared" si="44"/>
        <v>0</v>
      </c>
      <c r="BO27" s="2">
        <f t="shared" si="44"/>
        <v>0</v>
      </c>
      <c r="BP27" s="26">
        <f t="shared" si="42"/>
        <v>4</v>
      </c>
    </row>
    <row r="28" spans="1:68">
      <c r="A28" s="17">
        <f t="shared" si="36"/>
        <v>25</v>
      </c>
      <c r="B28" s="16" t="s">
        <v>192</v>
      </c>
      <c r="C28" s="19" t="s">
        <v>193</v>
      </c>
      <c r="D28" s="15" t="s">
        <v>146</v>
      </c>
      <c r="E28" s="4" t="s">
        <v>13</v>
      </c>
      <c r="F28" s="5" t="s">
        <v>62</v>
      </c>
      <c r="G28" s="2" t="s">
        <v>134</v>
      </c>
      <c r="H28" s="2" t="s">
        <v>134</v>
      </c>
      <c r="I28" s="2" t="s">
        <v>134</v>
      </c>
      <c r="J28" s="2" t="s">
        <v>134</v>
      </c>
      <c r="K28" s="2" t="s">
        <v>134</v>
      </c>
      <c r="L28" s="2" t="s">
        <v>7</v>
      </c>
      <c r="M28" s="2" t="s">
        <v>134</v>
      </c>
      <c r="N28" s="2">
        <f t="shared" si="15"/>
        <v>1</v>
      </c>
      <c r="O28" s="2">
        <f t="shared" si="16"/>
        <v>0</v>
      </c>
      <c r="P28" s="2">
        <f t="shared" si="37"/>
        <v>0</v>
      </c>
      <c r="Q28" s="2">
        <f t="shared" si="17"/>
        <v>0</v>
      </c>
      <c r="R28" s="2">
        <f t="shared" si="18"/>
        <v>0</v>
      </c>
      <c r="S28" s="2" t="s">
        <v>134</v>
      </c>
      <c r="T28" s="2" t="s">
        <v>134</v>
      </c>
      <c r="U28" s="2" t="s">
        <v>134</v>
      </c>
      <c r="V28" s="2" t="s">
        <v>134</v>
      </c>
      <c r="W28" s="2" t="s">
        <v>134</v>
      </c>
      <c r="X28" s="2" t="s">
        <v>7</v>
      </c>
      <c r="Y28" s="2" t="s">
        <v>134</v>
      </c>
      <c r="Z28" s="2">
        <f t="shared" si="19"/>
        <v>1</v>
      </c>
      <c r="AA28" s="2">
        <f t="shared" si="20"/>
        <v>0</v>
      </c>
      <c r="AB28" s="2">
        <f t="shared" si="38"/>
        <v>0</v>
      </c>
      <c r="AC28" s="2">
        <f t="shared" si="21"/>
        <v>0</v>
      </c>
      <c r="AD28" s="2">
        <f t="shared" si="22"/>
        <v>0</v>
      </c>
      <c r="AE28" s="2" t="s">
        <v>134</v>
      </c>
      <c r="AF28" s="2" t="s">
        <v>134</v>
      </c>
      <c r="AG28" s="2" t="s">
        <v>134</v>
      </c>
      <c r="AH28" s="2" t="s">
        <v>134</v>
      </c>
      <c r="AI28" s="2" t="s">
        <v>7</v>
      </c>
      <c r="AJ28" s="2" t="s">
        <v>7</v>
      </c>
      <c r="AK28" s="2" t="s">
        <v>134</v>
      </c>
      <c r="AL28" s="2">
        <f t="shared" si="23"/>
        <v>2</v>
      </c>
      <c r="AM28" s="2">
        <f t="shared" si="24"/>
        <v>0</v>
      </c>
      <c r="AN28" s="2">
        <f t="shared" si="39"/>
        <v>0</v>
      </c>
      <c r="AO28" s="2">
        <f t="shared" si="25"/>
        <v>0</v>
      </c>
      <c r="AP28" s="2">
        <f t="shared" si="26"/>
        <v>0</v>
      </c>
      <c r="AQ28" s="2" t="s">
        <v>134</v>
      </c>
      <c r="AR28" s="2" t="s">
        <v>134</v>
      </c>
      <c r="AS28" s="2" t="s">
        <v>134</v>
      </c>
      <c r="AT28" s="2" t="s">
        <v>134</v>
      </c>
      <c r="AU28" s="2" t="s">
        <v>134</v>
      </c>
      <c r="AV28" s="2" t="s">
        <v>248</v>
      </c>
      <c r="AW28" s="2" t="s">
        <v>134</v>
      </c>
      <c r="AX28" s="2">
        <f t="shared" si="27"/>
        <v>0</v>
      </c>
      <c r="AY28" s="2">
        <f t="shared" si="28"/>
        <v>0</v>
      </c>
      <c r="AZ28" s="2">
        <f t="shared" si="40"/>
        <v>1</v>
      </c>
      <c r="BA28" s="2">
        <f t="shared" si="29"/>
        <v>0</v>
      </c>
      <c r="BB28" s="2">
        <f t="shared" si="30"/>
        <v>0</v>
      </c>
      <c r="BC28" s="2" t="s">
        <v>134</v>
      </c>
      <c r="BD28" s="2" t="s">
        <v>134</v>
      </c>
      <c r="BE28" s="2" t="s">
        <v>134</v>
      </c>
      <c r="BF28" s="2">
        <f t="shared" si="31"/>
        <v>0</v>
      </c>
      <c r="BG28" s="2">
        <f t="shared" si="32"/>
        <v>0</v>
      </c>
      <c r="BH28" s="2">
        <f t="shared" si="41"/>
        <v>0</v>
      </c>
      <c r="BI28" s="2">
        <f t="shared" si="33"/>
        <v>0</v>
      </c>
      <c r="BJ28" s="2">
        <f t="shared" si="34"/>
        <v>0</v>
      </c>
      <c r="BK28" s="2">
        <f t="shared" si="44"/>
        <v>4</v>
      </c>
      <c r="BL28" s="2">
        <f t="shared" si="44"/>
        <v>0</v>
      </c>
      <c r="BM28" s="2">
        <f t="shared" si="44"/>
        <v>1</v>
      </c>
      <c r="BN28" s="2">
        <f t="shared" si="44"/>
        <v>0</v>
      </c>
      <c r="BO28" s="2">
        <f t="shared" si="44"/>
        <v>0</v>
      </c>
      <c r="BP28" s="26">
        <f t="shared" si="42"/>
        <v>5</v>
      </c>
    </row>
    <row r="29" spans="1:68">
      <c r="A29" s="17">
        <f t="shared" si="36"/>
        <v>26</v>
      </c>
      <c r="B29" s="16" t="s">
        <v>194</v>
      </c>
      <c r="C29" s="19" t="s">
        <v>195</v>
      </c>
      <c r="D29" s="15" t="s">
        <v>146</v>
      </c>
      <c r="E29" s="4" t="s">
        <v>13</v>
      </c>
      <c r="F29" s="5" t="s">
        <v>14</v>
      </c>
      <c r="G29" s="2" t="s">
        <v>7</v>
      </c>
      <c r="H29" s="2" t="s">
        <v>134</v>
      </c>
      <c r="I29" s="2" t="s">
        <v>134</v>
      </c>
      <c r="J29" s="2" t="s">
        <v>134</v>
      </c>
      <c r="K29" s="2" t="s">
        <v>134</v>
      </c>
      <c r="L29" s="2" t="s">
        <v>134</v>
      </c>
      <c r="M29" s="2" t="s">
        <v>134</v>
      </c>
      <c r="N29" s="2">
        <f t="shared" si="15"/>
        <v>1</v>
      </c>
      <c r="O29" s="2">
        <f t="shared" si="16"/>
        <v>0</v>
      </c>
      <c r="P29" s="2">
        <f t="shared" si="37"/>
        <v>0</v>
      </c>
      <c r="Q29" s="2">
        <f t="shared" si="17"/>
        <v>0</v>
      </c>
      <c r="R29" s="2">
        <f t="shared" si="18"/>
        <v>0</v>
      </c>
      <c r="S29" s="2" t="s">
        <v>134</v>
      </c>
      <c r="T29" s="2" t="s">
        <v>134</v>
      </c>
      <c r="U29" s="2" t="s">
        <v>134</v>
      </c>
      <c r="V29" s="2" t="s">
        <v>134</v>
      </c>
      <c r="W29" s="2" t="s">
        <v>134</v>
      </c>
      <c r="X29" s="2" t="s">
        <v>134</v>
      </c>
      <c r="Y29" s="2" t="s">
        <v>134</v>
      </c>
      <c r="Z29" s="2">
        <f t="shared" si="19"/>
        <v>0</v>
      </c>
      <c r="AA29" s="2">
        <f t="shared" si="20"/>
        <v>0</v>
      </c>
      <c r="AB29" s="2">
        <f t="shared" si="38"/>
        <v>0</v>
      </c>
      <c r="AC29" s="2">
        <f t="shared" si="21"/>
        <v>0</v>
      </c>
      <c r="AD29" s="2">
        <f t="shared" si="22"/>
        <v>0</v>
      </c>
      <c r="AE29" s="2" t="s">
        <v>134</v>
      </c>
      <c r="AF29" s="2" t="s">
        <v>134</v>
      </c>
      <c r="AG29" s="2" t="s">
        <v>134</v>
      </c>
      <c r="AH29" s="2" t="s">
        <v>134</v>
      </c>
      <c r="AI29" s="2" t="s">
        <v>134</v>
      </c>
      <c r="AJ29" s="2" t="s">
        <v>7</v>
      </c>
      <c r="AK29" s="2" t="s">
        <v>134</v>
      </c>
      <c r="AL29" s="2">
        <f t="shared" si="23"/>
        <v>1</v>
      </c>
      <c r="AM29" s="2">
        <f t="shared" si="24"/>
        <v>0</v>
      </c>
      <c r="AN29" s="2">
        <f t="shared" si="39"/>
        <v>0</v>
      </c>
      <c r="AO29" s="2">
        <f t="shared" si="25"/>
        <v>0</v>
      </c>
      <c r="AP29" s="2">
        <f t="shared" si="26"/>
        <v>0</v>
      </c>
      <c r="AQ29" s="2" t="s">
        <v>134</v>
      </c>
      <c r="AR29" s="2" t="s">
        <v>134</v>
      </c>
      <c r="AS29" s="2" t="s">
        <v>134</v>
      </c>
      <c r="AT29" s="2" t="s">
        <v>134</v>
      </c>
      <c r="AU29" s="2" t="s">
        <v>134</v>
      </c>
      <c r="AV29" s="2" t="s">
        <v>134</v>
      </c>
      <c r="AW29" s="2" t="s">
        <v>7</v>
      </c>
      <c r="AX29" s="2">
        <f t="shared" si="27"/>
        <v>1</v>
      </c>
      <c r="AY29" s="2">
        <f t="shared" si="28"/>
        <v>0</v>
      </c>
      <c r="AZ29" s="2">
        <f t="shared" si="40"/>
        <v>0</v>
      </c>
      <c r="BA29" s="2">
        <f t="shared" si="29"/>
        <v>0</v>
      </c>
      <c r="BB29" s="2">
        <f t="shared" si="30"/>
        <v>0</v>
      </c>
      <c r="BC29" s="2" t="s">
        <v>7</v>
      </c>
      <c r="BD29" s="2" t="s">
        <v>134</v>
      </c>
      <c r="BE29" s="2" t="s">
        <v>134</v>
      </c>
      <c r="BF29" s="2">
        <f t="shared" si="31"/>
        <v>1</v>
      </c>
      <c r="BG29" s="2">
        <f t="shared" si="32"/>
        <v>0</v>
      </c>
      <c r="BH29" s="2">
        <f t="shared" si="41"/>
        <v>0</v>
      </c>
      <c r="BI29" s="2">
        <f t="shared" si="33"/>
        <v>0</v>
      </c>
      <c r="BJ29" s="2">
        <f t="shared" si="34"/>
        <v>0</v>
      </c>
      <c r="BK29" s="2">
        <f t="shared" si="44"/>
        <v>4</v>
      </c>
      <c r="BL29" s="2">
        <f t="shared" si="44"/>
        <v>0</v>
      </c>
      <c r="BM29" s="2">
        <f t="shared" si="44"/>
        <v>0</v>
      </c>
      <c r="BN29" s="2">
        <f t="shared" si="44"/>
        <v>0</v>
      </c>
      <c r="BO29" s="2">
        <f t="shared" si="44"/>
        <v>0</v>
      </c>
      <c r="BP29" s="26">
        <f t="shared" si="42"/>
        <v>4</v>
      </c>
    </row>
    <row r="30" spans="1:68">
      <c r="A30" s="17">
        <f t="shared" si="36"/>
        <v>27</v>
      </c>
      <c r="B30" s="16" t="s">
        <v>196</v>
      </c>
      <c r="C30" s="19" t="s">
        <v>197</v>
      </c>
      <c r="D30" s="15" t="s">
        <v>146</v>
      </c>
      <c r="E30" s="4" t="s">
        <v>29</v>
      </c>
      <c r="F30" s="5" t="s">
        <v>14</v>
      </c>
      <c r="G30" s="2" t="s">
        <v>134</v>
      </c>
      <c r="H30" s="2" t="s">
        <v>134</v>
      </c>
      <c r="I30" s="2" t="s">
        <v>134</v>
      </c>
      <c r="J30" s="2" t="s">
        <v>134</v>
      </c>
      <c r="K30" s="2" t="s">
        <v>134</v>
      </c>
      <c r="L30" s="2" t="s">
        <v>134</v>
      </c>
      <c r="M30" s="2" t="s">
        <v>134</v>
      </c>
      <c r="N30" s="2">
        <f t="shared" si="15"/>
        <v>0</v>
      </c>
      <c r="O30" s="2">
        <f t="shared" si="16"/>
        <v>0</v>
      </c>
      <c r="P30" s="2">
        <f t="shared" si="37"/>
        <v>0</v>
      </c>
      <c r="Q30" s="2">
        <f t="shared" si="17"/>
        <v>0</v>
      </c>
      <c r="R30" s="2">
        <f t="shared" si="18"/>
        <v>0</v>
      </c>
      <c r="S30" s="2" t="s">
        <v>134</v>
      </c>
      <c r="T30" s="2" t="s">
        <v>134</v>
      </c>
      <c r="U30" s="2" t="s">
        <v>134</v>
      </c>
      <c r="V30" s="2" t="s">
        <v>134</v>
      </c>
      <c r="W30" s="2" t="s">
        <v>134</v>
      </c>
      <c r="X30" s="2" t="s">
        <v>134</v>
      </c>
      <c r="Y30" s="2" t="s">
        <v>134</v>
      </c>
      <c r="Z30" s="2">
        <f t="shared" si="19"/>
        <v>0</v>
      </c>
      <c r="AA30" s="2">
        <f t="shared" si="20"/>
        <v>0</v>
      </c>
      <c r="AB30" s="2">
        <f t="shared" si="38"/>
        <v>0</v>
      </c>
      <c r="AC30" s="2">
        <f t="shared" si="21"/>
        <v>0</v>
      </c>
      <c r="AD30" s="2">
        <f t="shared" si="22"/>
        <v>0</v>
      </c>
      <c r="AE30" s="2" t="s">
        <v>134</v>
      </c>
      <c r="AF30" s="2" t="s">
        <v>134</v>
      </c>
      <c r="AG30" s="2" t="s">
        <v>134</v>
      </c>
      <c r="AH30" s="2" t="s">
        <v>134</v>
      </c>
      <c r="AI30" s="2" t="s">
        <v>134</v>
      </c>
      <c r="AJ30" s="2" t="s">
        <v>134</v>
      </c>
      <c r="AK30" s="2" t="s">
        <v>7</v>
      </c>
      <c r="AL30" s="2">
        <f t="shared" si="23"/>
        <v>1</v>
      </c>
      <c r="AM30" s="2">
        <f t="shared" si="24"/>
        <v>0</v>
      </c>
      <c r="AN30" s="2">
        <f t="shared" si="39"/>
        <v>0</v>
      </c>
      <c r="AO30" s="2">
        <f t="shared" si="25"/>
        <v>0</v>
      </c>
      <c r="AP30" s="2">
        <f t="shared" si="26"/>
        <v>0</v>
      </c>
      <c r="AQ30" s="2" t="s">
        <v>7</v>
      </c>
      <c r="AR30" s="2" t="s">
        <v>7</v>
      </c>
      <c r="AS30" s="2" t="s">
        <v>7</v>
      </c>
      <c r="AT30" s="2" t="s">
        <v>136</v>
      </c>
      <c r="AU30" s="2" t="s">
        <v>136</v>
      </c>
      <c r="AV30" s="2" t="s">
        <v>136</v>
      </c>
      <c r="AW30" s="2" t="s">
        <v>136</v>
      </c>
      <c r="AX30" s="2">
        <f t="shared" si="27"/>
        <v>3</v>
      </c>
      <c r="AY30" s="2">
        <f t="shared" si="28"/>
        <v>0</v>
      </c>
      <c r="AZ30" s="2">
        <f t="shared" si="40"/>
        <v>0</v>
      </c>
      <c r="BA30" s="2">
        <f t="shared" si="29"/>
        <v>0</v>
      </c>
      <c r="BB30" s="2">
        <f t="shared" si="30"/>
        <v>0</v>
      </c>
      <c r="BC30" s="2" t="s">
        <v>136</v>
      </c>
      <c r="BD30" s="2" t="s">
        <v>136</v>
      </c>
      <c r="BE30" s="2" t="s">
        <v>134</v>
      </c>
      <c r="BF30" s="2">
        <f t="shared" si="31"/>
        <v>0</v>
      </c>
      <c r="BG30" s="2">
        <f t="shared" si="32"/>
        <v>0</v>
      </c>
      <c r="BH30" s="2">
        <f t="shared" si="41"/>
        <v>0</v>
      </c>
      <c r="BI30" s="2">
        <f t="shared" si="33"/>
        <v>0</v>
      </c>
      <c r="BJ30" s="2">
        <f t="shared" si="34"/>
        <v>0</v>
      </c>
      <c r="BK30" s="2">
        <f t="shared" si="44"/>
        <v>4</v>
      </c>
      <c r="BL30" s="2">
        <f t="shared" si="44"/>
        <v>0</v>
      </c>
      <c r="BM30" s="2">
        <f t="shared" si="44"/>
        <v>0</v>
      </c>
      <c r="BN30" s="2">
        <f t="shared" si="44"/>
        <v>0</v>
      </c>
      <c r="BO30" s="2">
        <f t="shared" si="44"/>
        <v>0</v>
      </c>
      <c r="BP30" s="26">
        <f t="shared" si="42"/>
        <v>4</v>
      </c>
    </row>
    <row r="31" spans="1:68">
      <c r="A31" s="17">
        <f t="shared" si="36"/>
        <v>28</v>
      </c>
      <c r="B31" s="16" t="s">
        <v>198</v>
      </c>
      <c r="C31" s="19" t="s">
        <v>199</v>
      </c>
      <c r="D31" s="15" t="s">
        <v>146</v>
      </c>
      <c r="E31" s="4" t="s">
        <v>13</v>
      </c>
      <c r="F31" s="5" t="s">
        <v>14</v>
      </c>
      <c r="G31" s="2" t="s">
        <v>134</v>
      </c>
      <c r="H31" s="2" t="s">
        <v>134</v>
      </c>
      <c r="I31" s="2" t="s">
        <v>134</v>
      </c>
      <c r="J31" s="2" t="s">
        <v>134</v>
      </c>
      <c r="K31" s="2" t="s">
        <v>134</v>
      </c>
      <c r="L31" s="2" t="s">
        <v>134</v>
      </c>
      <c r="M31" s="2" t="s">
        <v>134</v>
      </c>
      <c r="N31" s="2">
        <f t="shared" si="15"/>
        <v>0</v>
      </c>
      <c r="O31" s="2">
        <f t="shared" si="16"/>
        <v>0</v>
      </c>
      <c r="P31" s="2">
        <f t="shared" si="37"/>
        <v>0</v>
      </c>
      <c r="Q31" s="2">
        <f t="shared" si="17"/>
        <v>0</v>
      </c>
      <c r="R31" s="2">
        <f t="shared" si="18"/>
        <v>0</v>
      </c>
      <c r="S31" s="2" t="s">
        <v>134</v>
      </c>
      <c r="T31" s="2" t="s">
        <v>134</v>
      </c>
      <c r="U31" s="2" t="s">
        <v>134</v>
      </c>
      <c r="V31" s="2" t="s">
        <v>134</v>
      </c>
      <c r="W31" s="2" t="s">
        <v>134</v>
      </c>
      <c r="X31" s="2" t="s">
        <v>134</v>
      </c>
      <c r="Y31" s="2" t="s">
        <v>134</v>
      </c>
      <c r="Z31" s="2">
        <f t="shared" si="19"/>
        <v>0</v>
      </c>
      <c r="AA31" s="2">
        <f t="shared" si="20"/>
        <v>0</v>
      </c>
      <c r="AB31" s="2">
        <f t="shared" si="38"/>
        <v>0</v>
      </c>
      <c r="AC31" s="2">
        <f t="shared" si="21"/>
        <v>0</v>
      </c>
      <c r="AD31" s="2">
        <f t="shared" si="22"/>
        <v>0</v>
      </c>
      <c r="AE31" s="2" t="s">
        <v>134</v>
      </c>
      <c r="AF31" s="2" t="s">
        <v>134</v>
      </c>
      <c r="AG31" s="2" t="s">
        <v>134</v>
      </c>
      <c r="AH31" s="2" t="s">
        <v>7</v>
      </c>
      <c r="AI31" s="2" t="s">
        <v>7</v>
      </c>
      <c r="AJ31" s="2" t="s">
        <v>7</v>
      </c>
      <c r="AK31" s="2" t="s">
        <v>7</v>
      </c>
      <c r="AL31" s="2">
        <f t="shared" si="23"/>
        <v>4</v>
      </c>
      <c r="AM31" s="2">
        <f t="shared" si="24"/>
        <v>0</v>
      </c>
      <c r="AN31" s="2">
        <f t="shared" si="39"/>
        <v>0</v>
      </c>
      <c r="AO31" s="2">
        <f t="shared" si="25"/>
        <v>0</v>
      </c>
      <c r="AP31" s="2">
        <f t="shared" si="26"/>
        <v>0</v>
      </c>
      <c r="AQ31" s="2" t="s">
        <v>248</v>
      </c>
      <c r="AR31" s="2" t="s">
        <v>248</v>
      </c>
      <c r="AS31" s="2" t="s">
        <v>6</v>
      </c>
      <c r="AT31" s="2" t="s">
        <v>134</v>
      </c>
      <c r="AU31" s="2" t="s">
        <v>134</v>
      </c>
      <c r="AV31" s="2" t="s">
        <v>134</v>
      </c>
      <c r="AW31" s="2" t="s">
        <v>134</v>
      </c>
      <c r="AX31" s="2">
        <f t="shared" si="27"/>
        <v>0</v>
      </c>
      <c r="AY31" s="2">
        <f t="shared" si="28"/>
        <v>0</v>
      </c>
      <c r="AZ31" s="2">
        <f t="shared" si="40"/>
        <v>2</v>
      </c>
      <c r="BA31" s="2">
        <f t="shared" si="29"/>
        <v>0</v>
      </c>
      <c r="BB31" s="2">
        <f t="shared" si="30"/>
        <v>1</v>
      </c>
      <c r="BC31" s="2" t="s">
        <v>134</v>
      </c>
      <c r="BD31" s="2" t="s">
        <v>134</v>
      </c>
      <c r="BE31" s="2" t="s">
        <v>134</v>
      </c>
      <c r="BF31" s="2">
        <f t="shared" si="31"/>
        <v>0</v>
      </c>
      <c r="BG31" s="2">
        <f t="shared" si="32"/>
        <v>0</v>
      </c>
      <c r="BH31" s="2">
        <f t="shared" si="41"/>
        <v>0</v>
      </c>
      <c r="BI31" s="2">
        <f t="shared" si="33"/>
        <v>0</v>
      </c>
      <c r="BJ31" s="2">
        <f t="shared" si="34"/>
        <v>0</v>
      </c>
      <c r="BK31" s="2">
        <f t="shared" si="44"/>
        <v>4</v>
      </c>
      <c r="BL31" s="2">
        <f t="shared" si="44"/>
        <v>0</v>
      </c>
      <c r="BM31" s="2">
        <f t="shared" si="44"/>
        <v>2</v>
      </c>
      <c r="BN31" s="2">
        <f t="shared" si="44"/>
        <v>0</v>
      </c>
      <c r="BO31" s="2">
        <f t="shared" si="44"/>
        <v>1</v>
      </c>
      <c r="BP31" s="26">
        <f t="shared" si="42"/>
        <v>7</v>
      </c>
    </row>
    <row r="32" spans="1:68">
      <c r="A32" s="17">
        <f t="shared" si="36"/>
        <v>29</v>
      </c>
      <c r="B32" s="16" t="s">
        <v>200</v>
      </c>
      <c r="C32" s="19" t="s">
        <v>201</v>
      </c>
      <c r="D32" s="15" t="s">
        <v>146</v>
      </c>
      <c r="E32" s="4" t="s">
        <v>13</v>
      </c>
      <c r="F32" s="5" t="s">
        <v>14</v>
      </c>
      <c r="G32" s="2" t="s">
        <v>134</v>
      </c>
      <c r="H32" s="2" t="s">
        <v>134</v>
      </c>
      <c r="I32" s="2" t="s">
        <v>134</v>
      </c>
      <c r="J32" s="2" t="s">
        <v>134</v>
      </c>
      <c r="K32" s="2" t="s">
        <v>134</v>
      </c>
      <c r="L32" s="2" t="s">
        <v>7</v>
      </c>
      <c r="M32" s="2" t="s">
        <v>134</v>
      </c>
      <c r="N32" s="2">
        <f t="shared" si="15"/>
        <v>1</v>
      </c>
      <c r="O32" s="2">
        <f t="shared" si="16"/>
        <v>0</v>
      </c>
      <c r="P32" s="2">
        <f t="shared" si="37"/>
        <v>0</v>
      </c>
      <c r="Q32" s="2">
        <f t="shared" si="17"/>
        <v>0</v>
      </c>
      <c r="R32" s="2">
        <f t="shared" si="18"/>
        <v>0</v>
      </c>
      <c r="S32" s="2" t="s">
        <v>134</v>
      </c>
      <c r="T32" s="2" t="s">
        <v>134</v>
      </c>
      <c r="U32" s="2" t="s">
        <v>134</v>
      </c>
      <c r="V32" s="2" t="s">
        <v>134</v>
      </c>
      <c r="W32" s="2" t="s">
        <v>134</v>
      </c>
      <c r="X32" s="2" t="s">
        <v>7</v>
      </c>
      <c r="Y32" s="2" t="s">
        <v>134</v>
      </c>
      <c r="Z32" s="2">
        <f t="shared" si="19"/>
        <v>1</v>
      </c>
      <c r="AA32" s="2">
        <f t="shared" si="20"/>
        <v>0</v>
      </c>
      <c r="AB32" s="2">
        <f t="shared" si="38"/>
        <v>0</v>
      </c>
      <c r="AC32" s="2">
        <f t="shared" si="21"/>
        <v>0</v>
      </c>
      <c r="AD32" s="2">
        <f t="shared" si="22"/>
        <v>0</v>
      </c>
      <c r="AE32" s="2" t="s">
        <v>134</v>
      </c>
      <c r="AF32" s="2" t="s">
        <v>134</v>
      </c>
      <c r="AG32" s="2" t="s">
        <v>134</v>
      </c>
      <c r="AH32" s="2" t="s">
        <v>134</v>
      </c>
      <c r="AI32" s="2" t="s">
        <v>134</v>
      </c>
      <c r="AJ32" s="2" t="s">
        <v>134</v>
      </c>
      <c r="AK32" s="2" t="s">
        <v>134</v>
      </c>
      <c r="AL32" s="2">
        <f t="shared" si="23"/>
        <v>0</v>
      </c>
      <c r="AM32" s="2">
        <f t="shared" si="24"/>
        <v>0</v>
      </c>
      <c r="AN32" s="2">
        <f t="shared" si="39"/>
        <v>0</v>
      </c>
      <c r="AO32" s="2">
        <f t="shared" si="25"/>
        <v>0</v>
      </c>
      <c r="AP32" s="2">
        <f t="shared" si="26"/>
        <v>0</v>
      </c>
      <c r="AQ32" s="2" t="s">
        <v>7</v>
      </c>
      <c r="AR32" s="2" t="s">
        <v>7</v>
      </c>
      <c r="AS32" s="2" t="s">
        <v>134</v>
      </c>
      <c r="AT32" s="2" t="s">
        <v>248</v>
      </c>
      <c r="AU32" s="2" t="s">
        <v>134</v>
      </c>
      <c r="AV32" s="2" t="s">
        <v>134</v>
      </c>
      <c r="AW32" s="2" t="s">
        <v>134</v>
      </c>
      <c r="AX32" s="2">
        <f t="shared" si="27"/>
        <v>2</v>
      </c>
      <c r="AY32" s="2">
        <f t="shared" si="28"/>
        <v>0</v>
      </c>
      <c r="AZ32" s="2">
        <f t="shared" si="40"/>
        <v>1</v>
      </c>
      <c r="BA32" s="2">
        <f t="shared" si="29"/>
        <v>0</v>
      </c>
      <c r="BB32" s="2">
        <f t="shared" si="30"/>
        <v>0</v>
      </c>
      <c r="BC32" s="2" t="s">
        <v>134</v>
      </c>
      <c r="BD32" s="2" t="s">
        <v>134</v>
      </c>
      <c r="BE32" s="2" t="s">
        <v>134</v>
      </c>
      <c r="BF32" s="2">
        <f t="shared" si="31"/>
        <v>0</v>
      </c>
      <c r="BG32" s="2">
        <f t="shared" si="32"/>
        <v>0</v>
      </c>
      <c r="BH32" s="2">
        <f t="shared" si="41"/>
        <v>0</v>
      </c>
      <c r="BI32" s="2">
        <f t="shared" si="33"/>
        <v>0</v>
      </c>
      <c r="BJ32" s="2">
        <f t="shared" si="34"/>
        <v>0</v>
      </c>
      <c r="BK32" s="2">
        <f t="shared" ref="BK32:BO40" si="45">SUMIFS($A32:$BJ32,$A$3:$BJ$3,BK$3)</f>
        <v>4</v>
      </c>
      <c r="BL32" s="2">
        <f t="shared" si="45"/>
        <v>0</v>
      </c>
      <c r="BM32" s="2">
        <f t="shared" si="45"/>
        <v>1</v>
      </c>
      <c r="BN32" s="2">
        <f t="shared" si="45"/>
        <v>0</v>
      </c>
      <c r="BO32" s="2">
        <f t="shared" si="45"/>
        <v>0</v>
      </c>
      <c r="BP32" s="26">
        <f t="shared" si="42"/>
        <v>5</v>
      </c>
    </row>
    <row r="33" spans="1:68">
      <c r="A33" s="17">
        <f t="shared" si="36"/>
        <v>30</v>
      </c>
      <c r="B33" s="16" t="s">
        <v>202</v>
      </c>
      <c r="C33" s="19" t="s">
        <v>203</v>
      </c>
      <c r="D33" s="15" t="s">
        <v>146</v>
      </c>
      <c r="E33" s="4" t="s">
        <v>13</v>
      </c>
      <c r="F33" s="5" t="s">
        <v>14</v>
      </c>
      <c r="G33" s="2" t="s">
        <v>134</v>
      </c>
      <c r="H33" s="2" t="s">
        <v>134</v>
      </c>
      <c r="I33" s="2" t="s">
        <v>134</v>
      </c>
      <c r="J33" s="2" t="s">
        <v>134</v>
      </c>
      <c r="K33" s="2" t="s">
        <v>134</v>
      </c>
      <c r="L33" s="2" t="s">
        <v>134</v>
      </c>
      <c r="M33" s="2" t="s">
        <v>7</v>
      </c>
      <c r="N33" s="2">
        <f t="shared" si="15"/>
        <v>1</v>
      </c>
      <c r="O33" s="2">
        <f t="shared" si="16"/>
        <v>0</v>
      </c>
      <c r="P33" s="2">
        <f t="shared" si="37"/>
        <v>0</v>
      </c>
      <c r="Q33" s="2">
        <f t="shared" si="17"/>
        <v>0</v>
      </c>
      <c r="R33" s="2">
        <f t="shared" si="18"/>
        <v>0</v>
      </c>
      <c r="S33" s="2" t="s">
        <v>7</v>
      </c>
      <c r="T33" s="2" t="s">
        <v>134</v>
      </c>
      <c r="U33" s="2" t="s">
        <v>134</v>
      </c>
      <c r="V33" s="2" t="s">
        <v>134</v>
      </c>
      <c r="W33" s="2" t="s">
        <v>134</v>
      </c>
      <c r="X33" s="2" t="s">
        <v>134</v>
      </c>
      <c r="Y33" s="2" t="s">
        <v>134</v>
      </c>
      <c r="Z33" s="2">
        <f t="shared" si="19"/>
        <v>1</v>
      </c>
      <c r="AA33" s="2">
        <f t="shared" si="20"/>
        <v>0</v>
      </c>
      <c r="AB33" s="2">
        <f t="shared" si="38"/>
        <v>0</v>
      </c>
      <c r="AC33" s="2">
        <f t="shared" si="21"/>
        <v>0</v>
      </c>
      <c r="AD33" s="2">
        <f t="shared" si="22"/>
        <v>0</v>
      </c>
      <c r="AE33" s="2" t="s">
        <v>134</v>
      </c>
      <c r="AF33" s="2" t="s">
        <v>134</v>
      </c>
      <c r="AG33" s="2" t="s">
        <v>134</v>
      </c>
      <c r="AH33" s="2" t="s">
        <v>134</v>
      </c>
      <c r="AI33" s="2" t="s">
        <v>134</v>
      </c>
      <c r="AJ33" s="2" t="s">
        <v>134</v>
      </c>
      <c r="AK33" s="2" t="s">
        <v>134</v>
      </c>
      <c r="AL33" s="2">
        <f t="shared" si="23"/>
        <v>0</v>
      </c>
      <c r="AM33" s="2">
        <f t="shared" si="24"/>
        <v>0</v>
      </c>
      <c r="AN33" s="2">
        <f t="shared" si="39"/>
        <v>0</v>
      </c>
      <c r="AO33" s="2">
        <f t="shared" si="25"/>
        <v>0</v>
      </c>
      <c r="AP33" s="2">
        <f t="shared" si="26"/>
        <v>0</v>
      </c>
      <c r="AQ33" s="2" t="s">
        <v>134</v>
      </c>
      <c r="AR33" s="2" t="s">
        <v>134</v>
      </c>
      <c r="AS33" s="2" t="s">
        <v>134</v>
      </c>
      <c r="AT33" s="2" t="s">
        <v>134</v>
      </c>
      <c r="AU33" s="2" t="s">
        <v>134</v>
      </c>
      <c r="AV33" s="2" t="s">
        <v>134</v>
      </c>
      <c r="AW33" s="2" t="s">
        <v>134</v>
      </c>
      <c r="AX33" s="2">
        <f t="shared" si="27"/>
        <v>0</v>
      </c>
      <c r="AY33" s="2">
        <f t="shared" si="28"/>
        <v>0</v>
      </c>
      <c r="AZ33" s="2">
        <f t="shared" si="40"/>
        <v>0</v>
      </c>
      <c r="BA33" s="2">
        <f t="shared" si="29"/>
        <v>0</v>
      </c>
      <c r="BB33" s="2">
        <f t="shared" si="30"/>
        <v>0</v>
      </c>
      <c r="BC33" s="2" t="s">
        <v>7</v>
      </c>
      <c r="BD33" s="2" t="s">
        <v>7</v>
      </c>
      <c r="BE33" s="2" t="s">
        <v>134</v>
      </c>
      <c r="BF33" s="2">
        <f t="shared" si="31"/>
        <v>2</v>
      </c>
      <c r="BG33" s="2">
        <f t="shared" si="32"/>
        <v>0</v>
      </c>
      <c r="BH33" s="2">
        <f t="shared" si="41"/>
        <v>0</v>
      </c>
      <c r="BI33" s="2">
        <f t="shared" si="33"/>
        <v>0</v>
      </c>
      <c r="BJ33" s="2">
        <f t="shared" si="34"/>
        <v>0</v>
      </c>
      <c r="BK33" s="2">
        <f t="shared" si="45"/>
        <v>4</v>
      </c>
      <c r="BL33" s="2">
        <f t="shared" si="45"/>
        <v>0</v>
      </c>
      <c r="BM33" s="2">
        <f t="shared" si="45"/>
        <v>0</v>
      </c>
      <c r="BN33" s="2">
        <f t="shared" si="45"/>
        <v>0</v>
      </c>
      <c r="BO33" s="2">
        <f t="shared" si="45"/>
        <v>0</v>
      </c>
      <c r="BP33" s="26">
        <f t="shared" si="42"/>
        <v>4</v>
      </c>
    </row>
    <row r="34" spans="1:68">
      <c r="A34" s="17">
        <f t="shared" si="36"/>
        <v>31</v>
      </c>
      <c r="B34" s="16" t="s">
        <v>204</v>
      </c>
      <c r="C34" s="19" t="s">
        <v>205</v>
      </c>
      <c r="D34" s="15" t="s">
        <v>146</v>
      </c>
      <c r="E34" s="4" t="s">
        <v>13</v>
      </c>
      <c r="F34" s="5" t="s">
        <v>14</v>
      </c>
      <c r="G34" s="2" t="s">
        <v>7</v>
      </c>
      <c r="H34" s="2" t="s">
        <v>134</v>
      </c>
      <c r="I34" s="2" t="s">
        <v>134</v>
      </c>
      <c r="J34" s="2" t="s">
        <v>134</v>
      </c>
      <c r="K34" s="2" t="s">
        <v>134</v>
      </c>
      <c r="L34" s="2" t="s">
        <v>134</v>
      </c>
      <c r="M34" s="2" t="s">
        <v>134</v>
      </c>
      <c r="N34" s="2">
        <f t="shared" si="15"/>
        <v>1</v>
      </c>
      <c r="O34" s="2">
        <f t="shared" si="16"/>
        <v>0</v>
      </c>
      <c r="P34" s="2">
        <f t="shared" si="37"/>
        <v>0</v>
      </c>
      <c r="Q34" s="2">
        <f t="shared" si="17"/>
        <v>0</v>
      </c>
      <c r="R34" s="2">
        <f t="shared" si="18"/>
        <v>0</v>
      </c>
      <c r="S34" s="2" t="s">
        <v>134</v>
      </c>
      <c r="T34" s="2" t="s">
        <v>134</v>
      </c>
      <c r="U34" s="2" t="s">
        <v>134</v>
      </c>
      <c r="V34" s="2" t="s">
        <v>134</v>
      </c>
      <c r="W34" s="2" t="s">
        <v>134</v>
      </c>
      <c r="X34" s="2" t="s">
        <v>7</v>
      </c>
      <c r="Y34" s="2" t="s">
        <v>134</v>
      </c>
      <c r="Z34" s="2">
        <f t="shared" si="19"/>
        <v>1</v>
      </c>
      <c r="AA34" s="2">
        <f t="shared" si="20"/>
        <v>0</v>
      </c>
      <c r="AB34" s="2">
        <f t="shared" si="38"/>
        <v>0</v>
      </c>
      <c r="AC34" s="2">
        <f t="shared" si="21"/>
        <v>0</v>
      </c>
      <c r="AD34" s="2">
        <f t="shared" si="22"/>
        <v>0</v>
      </c>
      <c r="AE34" s="2" t="s">
        <v>134</v>
      </c>
      <c r="AF34" s="2" t="s">
        <v>134</v>
      </c>
      <c r="AG34" s="2" t="s">
        <v>134</v>
      </c>
      <c r="AH34" s="2" t="s">
        <v>134</v>
      </c>
      <c r="AI34" s="2" t="s">
        <v>134</v>
      </c>
      <c r="AJ34" s="2" t="s">
        <v>134</v>
      </c>
      <c r="AK34" s="2" t="s">
        <v>134</v>
      </c>
      <c r="AL34" s="2">
        <f t="shared" si="23"/>
        <v>0</v>
      </c>
      <c r="AM34" s="2">
        <f t="shared" si="24"/>
        <v>0</v>
      </c>
      <c r="AN34" s="2">
        <f t="shared" si="39"/>
        <v>0</v>
      </c>
      <c r="AO34" s="2">
        <f t="shared" si="25"/>
        <v>0</v>
      </c>
      <c r="AP34" s="2">
        <f t="shared" si="26"/>
        <v>0</v>
      </c>
      <c r="AQ34" s="2" t="s">
        <v>134</v>
      </c>
      <c r="AR34" s="2" t="s">
        <v>134</v>
      </c>
      <c r="AS34" s="2" t="s">
        <v>134</v>
      </c>
      <c r="AT34" s="2" t="s">
        <v>134</v>
      </c>
      <c r="AU34" s="2" t="s">
        <v>8</v>
      </c>
      <c r="AV34" s="2" t="s">
        <v>8</v>
      </c>
      <c r="AW34" s="2" t="s">
        <v>134</v>
      </c>
      <c r="AX34" s="2">
        <f t="shared" si="27"/>
        <v>0</v>
      </c>
      <c r="AY34" s="2">
        <f t="shared" si="28"/>
        <v>2</v>
      </c>
      <c r="AZ34" s="2">
        <f t="shared" si="40"/>
        <v>0</v>
      </c>
      <c r="BA34" s="2">
        <f t="shared" si="29"/>
        <v>0</v>
      </c>
      <c r="BB34" s="2">
        <f t="shared" si="30"/>
        <v>0</v>
      </c>
      <c r="BC34" s="2" t="s">
        <v>134</v>
      </c>
      <c r="BD34" s="2" t="s">
        <v>134</v>
      </c>
      <c r="BE34" s="2" t="s">
        <v>134</v>
      </c>
      <c r="BF34" s="2">
        <f t="shared" si="31"/>
        <v>0</v>
      </c>
      <c r="BG34" s="2">
        <f t="shared" si="32"/>
        <v>0</v>
      </c>
      <c r="BH34" s="2">
        <f t="shared" si="41"/>
        <v>0</v>
      </c>
      <c r="BI34" s="2">
        <f t="shared" si="33"/>
        <v>0</v>
      </c>
      <c r="BJ34" s="2">
        <f t="shared" si="34"/>
        <v>0</v>
      </c>
      <c r="BK34" s="2">
        <f t="shared" si="45"/>
        <v>2</v>
      </c>
      <c r="BL34" s="2">
        <f t="shared" si="45"/>
        <v>2</v>
      </c>
      <c r="BM34" s="2">
        <f t="shared" si="45"/>
        <v>0</v>
      </c>
      <c r="BN34" s="2">
        <f t="shared" si="45"/>
        <v>0</v>
      </c>
      <c r="BO34" s="2">
        <f t="shared" si="45"/>
        <v>0</v>
      </c>
      <c r="BP34" s="26">
        <f t="shared" si="42"/>
        <v>4</v>
      </c>
    </row>
    <row r="35" spans="1:68">
      <c r="A35" s="17">
        <f t="shared" si="36"/>
        <v>32</v>
      </c>
      <c r="B35" s="16" t="s">
        <v>206</v>
      </c>
      <c r="C35" s="19" t="s">
        <v>207</v>
      </c>
      <c r="D35" s="15" t="s">
        <v>146</v>
      </c>
      <c r="E35" s="4" t="s">
        <v>13</v>
      </c>
      <c r="F35" s="5" t="s">
        <v>67</v>
      </c>
      <c r="G35" s="2" t="s">
        <v>134</v>
      </c>
      <c r="H35" s="2" t="s">
        <v>134</v>
      </c>
      <c r="I35" s="2" t="s">
        <v>134</v>
      </c>
      <c r="J35" s="2" t="s">
        <v>134</v>
      </c>
      <c r="K35" s="2" t="s">
        <v>134</v>
      </c>
      <c r="L35" s="2" t="s">
        <v>7</v>
      </c>
      <c r="M35" s="2" t="s">
        <v>134</v>
      </c>
      <c r="N35" s="2">
        <f t="shared" si="15"/>
        <v>1</v>
      </c>
      <c r="O35" s="2">
        <f t="shared" si="16"/>
        <v>0</v>
      </c>
      <c r="P35" s="2">
        <f t="shared" si="37"/>
        <v>0</v>
      </c>
      <c r="Q35" s="2">
        <f t="shared" si="17"/>
        <v>0</v>
      </c>
      <c r="R35" s="2">
        <f t="shared" si="18"/>
        <v>0</v>
      </c>
      <c r="S35" s="2" t="s">
        <v>134</v>
      </c>
      <c r="T35" s="2" t="s">
        <v>134</v>
      </c>
      <c r="U35" s="2" t="s">
        <v>134</v>
      </c>
      <c r="V35" s="2" t="s">
        <v>134</v>
      </c>
      <c r="W35" s="2" t="s">
        <v>134</v>
      </c>
      <c r="X35" s="2" t="s">
        <v>134</v>
      </c>
      <c r="Y35" s="2" t="s">
        <v>134</v>
      </c>
      <c r="Z35" s="2">
        <f t="shared" si="19"/>
        <v>0</v>
      </c>
      <c r="AA35" s="2">
        <f t="shared" si="20"/>
        <v>0</v>
      </c>
      <c r="AB35" s="2">
        <f t="shared" si="38"/>
        <v>0</v>
      </c>
      <c r="AC35" s="2">
        <f t="shared" si="21"/>
        <v>0</v>
      </c>
      <c r="AD35" s="2">
        <f t="shared" si="22"/>
        <v>0</v>
      </c>
      <c r="AE35" s="2" t="s">
        <v>134</v>
      </c>
      <c r="AF35" s="2" t="s">
        <v>134</v>
      </c>
      <c r="AG35" s="2" t="s">
        <v>134</v>
      </c>
      <c r="AH35" s="2" t="s">
        <v>134</v>
      </c>
      <c r="AI35" s="2" t="s">
        <v>7</v>
      </c>
      <c r="AJ35" s="2" t="s">
        <v>134</v>
      </c>
      <c r="AK35" s="2" t="s">
        <v>134</v>
      </c>
      <c r="AL35" s="2">
        <f t="shared" si="23"/>
        <v>1</v>
      </c>
      <c r="AM35" s="2">
        <f t="shared" si="24"/>
        <v>0</v>
      </c>
      <c r="AN35" s="2">
        <f t="shared" si="39"/>
        <v>0</v>
      </c>
      <c r="AO35" s="2">
        <f t="shared" si="25"/>
        <v>0</v>
      </c>
      <c r="AP35" s="2">
        <f t="shared" si="26"/>
        <v>0</v>
      </c>
      <c r="AQ35" s="2" t="s">
        <v>134</v>
      </c>
      <c r="AR35" s="2" t="s">
        <v>134</v>
      </c>
      <c r="AS35" s="2" t="s">
        <v>134</v>
      </c>
      <c r="AT35" s="2" t="s">
        <v>134</v>
      </c>
      <c r="AU35" s="2" t="s">
        <v>134</v>
      </c>
      <c r="AV35" s="2" t="s">
        <v>7</v>
      </c>
      <c r="AW35" s="2" t="s">
        <v>134</v>
      </c>
      <c r="AX35" s="2">
        <f t="shared" si="27"/>
        <v>1</v>
      </c>
      <c r="AY35" s="2">
        <f t="shared" si="28"/>
        <v>0</v>
      </c>
      <c r="AZ35" s="2">
        <f t="shared" si="40"/>
        <v>0</v>
      </c>
      <c r="BA35" s="2">
        <f t="shared" si="29"/>
        <v>0</v>
      </c>
      <c r="BB35" s="2">
        <f t="shared" si="30"/>
        <v>0</v>
      </c>
      <c r="BC35" s="2" t="s">
        <v>134</v>
      </c>
      <c r="BD35" s="2" t="s">
        <v>134</v>
      </c>
      <c r="BE35" s="2" t="s">
        <v>134</v>
      </c>
      <c r="BF35" s="2">
        <f t="shared" si="31"/>
        <v>0</v>
      </c>
      <c r="BG35" s="2">
        <f t="shared" si="32"/>
        <v>0</v>
      </c>
      <c r="BH35" s="2">
        <f t="shared" si="41"/>
        <v>0</v>
      </c>
      <c r="BI35" s="2">
        <f t="shared" si="33"/>
        <v>0</v>
      </c>
      <c r="BJ35" s="2">
        <f t="shared" si="34"/>
        <v>0</v>
      </c>
      <c r="BK35" s="2">
        <f t="shared" si="45"/>
        <v>3</v>
      </c>
      <c r="BL35" s="2">
        <f t="shared" si="45"/>
        <v>0</v>
      </c>
      <c r="BM35" s="2">
        <f t="shared" si="45"/>
        <v>0</v>
      </c>
      <c r="BN35" s="2">
        <f t="shared" si="45"/>
        <v>0</v>
      </c>
      <c r="BO35" s="2">
        <f t="shared" si="45"/>
        <v>0</v>
      </c>
      <c r="BP35" s="26">
        <f t="shared" si="42"/>
        <v>3</v>
      </c>
    </row>
    <row r="36" spans="1:68">
      <c r="A36" s="17">
        <f t="shared" si="36"/>
        <v>33</v>
      </c>
      <c r="B36" s="16" t="s">
        <v>208</v>
      </c>
      <c r="C36" s="19" t="s">
        <v>209</v>
      </c>
      <c r="D36" s="15" t="s">
        <v>146</v>
      </c>
      <c r="E36" s="4" t="s">
        <v>13</v>
      </c>
      <c r="F36" s="5" t="s">
        <v>14</v>
      </c>
      <c r="G36" s="2" t="s">
        <v>134</v>
      </c>
      <c r="H36" s="2" t="s">
        <v>134</v>
      </c>
      <c r="I36" s="2" t="s">
        <v>134</v>
      </c>
      <c r="J36" s="2" t="s">
        <v>134</v>
      </c>
      <c r="K36" s="2" t="s">
        <v>134</v>
      </c>
      <c r="L36" s="2" t="s">
        <v>7</v>
      </c>
      <c r="M36" s="2" t="s">
        <v>7</v>
      </c>
      <c r="N36" s="2">
        <f t="shared" si="15"/>
        <v>2</v>
      </c>
      <c r="O36" s="2">
        <f t="shared" si="16"/>
        <v>0</v>
      </c>
      <c r="P36" s="2">
        <f t="shared" si="37"/>
        <v>0</v>
      </c>
      <c r="Q36" s="2">
        <f t="shared" si="17"/>
        <v>0</v>
      </c>
      <c r="R36" s="2">
        <f t="shared" si="18"/>
        <v>0</v>
      </c>
      <c r="S36" s="2" t="s">
        <v>134</v>
      </c>
      <c r="T36" s="2" t="s">
        <v>7</v>
      </c>
      <c r="U36" s="2" t="s">
        <v>7</v>
      </c>
      <c r="V36" s="2" t="s">
        <v>134</v>
      </c>
      <c r="W36" s="2" t="s">
        <v>134</v>
      </c>
      <c r="X36" s="2" t="s">
        <v>134</v>
      </c>
      <c r="Y36" s="2" t="s">
        <v>134</v>
      </c>
      <c r="Z36" s="2">
        <f t="shared" si="19"/>
        <v>2</v>
      </c>
      <c r="AA36" s="2">
        <f t="shared" si="20"/>
        <v>0</v>
      </c>
      <c r="AB36" s="2">
        <f t="shared" si="38"/>
        <v>0</v>
      </c>
      <c r="AC36" s="2">
        <f t="shared" si="21"/>
        <v>0</v>
      </c>
      <c r="AD36" s="2">
        <f t="shared" si="22"/>
        <v>0</v>
      </c>
      <c r="AE36" s="2" t="s">
        <v>134</v>
      </c>
      <c r="AF36" s="2" t="s">
        <v>134</v>
      </c>
      <c r="AG36" s="2" t="s">
        <v>134</v>
      </c>
      <c r="AH36" s="2" t="s">
        <v>134</v>
      </c>
      <c r="AI36" s="2" t="s">
        <v>134</v>
      </c>
      <c r="AJ36" s="2" t="s">
        <v>134</v>
      </c>
      <c r="AK36" s="2" t="s">
        <v>134</v>
      </c>
      <c r="AL36" s="2">
        <f t="shared" si="23"/>
        <v>0</v>
      </c>
      <c r="AM36" s="2">
        <f t="shared" si="24"/>
        <v>0</v>
      </c>
      <c r="AN36" s="2">
        <f t="shared" si="39"/>
        <v>0</v>
      </c>
      <c r="AO36" s="2">
        <f t="shared" si="25"/>
        <v>0</v>
      </c>
      <c r="AP36" s="2">
        <f t="shared" si="26"/>
        <v>0</v>
      </c>
      <c r="AQ36" s="2" t="s">
        <v>134</v>
      </c>
      <c r="AR36" s="2" t="s">
        <v>134</v>
      </c>
      <c r="AS36" s="2" t="s">
        <v>134</v>
      </c>
      <c r="AT36" s="2" t="s">
        <v>134</v>
      </c>
      <c r="AU36" s="2" t="s">
        <v>134</v>
      </c>
      <c r="AV36" s="2" t="s">
        <v>134</v>
      </c>
      <c r="AW36" s="2" t="s">
        <v>134</v>
      </c>
      <c r="AX36" s="2">
        <f t="shared" si="27"/>
        <v>0</v>
      </c>
      <c r="AY36" s="2">
        <f t="shared" si="28"/>
        <v>0</v>
      </c>
      <c r="AZ36" s="2">
        <f t="shared" si="40"/>
        <v>0</v>
      </c>
      <c r="BA36" s="2">
        <f t="shared" si="29"/>
        <v>0</v>
      </c>
      <c r="BB36" s="2">
        <f t="shared" si="30"/>
        <v>0</v>
      </c>
      <c r="BC36" s="2" t="s">
        <v>134</v>
      </c>
      <c r="BD36" s="2" t="s">
        <v>134</v>
      </c>
      <c r="BE36" s="2" t="s">
        <v>7</v>
      </c>
      <c r="BF36" s="2">
        <f t="shared" si="31"/>
        <v>1</v>
      </c>
      <c r="BG36" s="2">
        <f t="shared" si="32"/>
        <v>0</v>
      </c>
      <c r="BH36" s="2">
        <f t="shared" si="41"/>
        <v>0</v>
      </c>
      <c r="BI36" s="2">
        <f t="shared" si="33"/>
        <v>0</v>
      </c>
      <c r="BJ36" s="2">
        <f t="shared" si="34"/>
        <v>0</v>
      </c>
      <c r="BK36" s="2">
        <f t="shared" si="45"/>
        <v>5</v>
      </c>
      <c r="BL36" s="2">
        <f t="shared" si="45"/>
        <v>0</v>
      </c>
      <c r="BM36" s="2">
        <f t="shared" si="45"/>
        <v>0</v>
      </c>
      <c r="BN36" s="2">
        <f t="shared" si="45"/>
        <v>0</v>
      </c>
      <c r="BO36" s="2">
        <f t="shared" si="45"/>
        <v>0</v>
      </c>
      <c r="BP36" s="26">
        <f t="shared" si="42"/>
        <v>5</v>
      </c>
    </row>
    <row r="37" spans="1:68">
      <c r="A37" s="17">
        <f t="shared" si="36"/>
        <v>34</v>
      </c>
      <c r="B37" s="16" t="s">
        <v>210</v>
      </c>
      <c r="C37" s="19" t="s">
        <v>211</v>
      </c>
      <c r="D37" s="15" t="s">
        <v>146</v>
      </c>
      <c r="E37" s="4" t="s">
        <v>29</v>
      </c>
      <c r="F37" s="5" t="s">
        <v>14</v>
      </c>
      <c r="G37" s="2" t="s">
        <v>7</v>
      </c>
      <c r="H37" s="2" t="s">
        <v>7</v>
      </c>
      <c r="I37" s="2" t="s">
        <v>7</v>
      </c>
      <c r="J37" s="2" t="s">
        <v>7</v>
      </c>
      <c r="K37" s="2" t="s">
        <v>134</v>
      </c>
      <c r="L37" s="2" t="s">
        <v>134</v>
      </c>
      <c r="M37" s="2" t="s">
        <v>134</v>
      </c>
      <c r="N37" s="2">
        <f t="shared" si="15"/>
        <v>4</v>
      </c>
      <c r="O37" s="2">
        <f t="shared" si="16"/>
        <v>0</v>
      </c>
      <c r="P37" s="2">
        <f t="shared" si="37"/>
        <v>0</v>
      </c>
      <c r="Q37" s="2">
        <f t="shared" si="17"/>
        <v>0</v>
      </c>
      <c r="R37" s="2">
        <f t="shared" si="18"/>
        <v>0</v>
      </c>
      <c r="S37" s="2" t="s">
        <v>134</v>
      </c>
      <c r="T37" s="2" t="s">
        <v>134</v>
      </c>
      <c r="U37" s="2" t="s">
        <v>134</v>
      </c>
      <c r="V37" s="2" t="s">
        <v>134</v>
      </c>
      <c r="W37" s="2" t="s">
        <v>134</v>
      </c>
      <c r="X37" s="2" t="s">
        <v>134</v>
      </c>
      <c r="Y37" s="2" t="s">
        <v>134</v>
      </c>
      <c r="Z37" s="2">
        <f t="shared" si="19"/>
        <v>0</v>
      </c>
      <c r="AA37" s="2">
        <f t="shared" si="20"/>
        <v>0</v>
      </c>
      <c r="AB37" s="2">
        <f t="shared" si="38"/>
        <v>0</v>
      </c>
      <c r="AC37" s="2">
        <f t="shared" si="21"/>
        <v>0</v>
      </c>
      <c r="AD37" s="2">
        <f t="shared" si="22"/>
        <v>0</v>
      </c>
      <c r="AE37" s="2" t="s">
        <v>134</v>
      </c>
      <c r="AF37" s="2" t="s">
        <v>134</v>
      </c>
      <c r="AG37" s="2" t="s">
        <v>134</v>
      </c>
      <c r="AH37" s="2" t="s">
        <v>134</v>
      </c>
      <c r="AI37" s="2" t="s">
        <v>134</v>
      </c>
      <c r="AJ37" s="2" t="s">
        <v>248</v>
      </c>
      <c r="AK37" s="2" t="s">
        <v>134</v>
      </c>
      <c r="AL37" s="2">
        <f t="shared" si="23"/>
        <v>0</v>
      </c>
      <c r="AM37" s="2">
        <f t="shared" si="24"/>
        <v>0</v>
      </c>
      <c r="AN37" s="2">
        <f t="shared" si="39"/>
        <v>1</v>
      </c>
      <c r="AO37" s="2">
        <f t="shared" si="25"/>
        <v>0</v>
      </c>
      <c r="AP37" s="2">
        <f t="shared" si="26"/>
        <v>0</v>
      </c>
      <c r="AQ37" s="2" t="s">
        <v>134</v>
      </c>
      <c r="AR37" s="2" t="s">
        <v>134</v>
      </c>
      <c r="AS37" s="2" t="s">
        <v>134</v>
      </c>
      <c r="AT37" s="2" t="s">
        <v>134</v>
      </c>
      <c r="AU37" s="2" t="s">
        <v>134</v>
      </c>
      <c r="AV37" s="2" t="s">
        <v>134</v>
      </c>
      <c r="AW37" s="2" t="s">
        <v>134</v>
      </c>
      <c r="AX37" s="2">
        <f t="shared" si="27"/>
        <v>0</v>
      </c>
      <c r="AY37" s="2">
        <f t="shared" si="28"/>
        <v>0</v>
      </c>
      <c r="AZ37" s="2">
        <f t="shared" si="40"/>
        <v>0</v>
      </c>
      <c r="BA37" s="2">
        <f t="shared" si="29"/>
        <v>0</v>
      </c>
      <c r="BB37" s="2">
        <f t="shared" si="30"/>
        <v>0</v>
      </c>
      <c r="BC37" s="2" t="s">
        <v>134</v>
      </c>
      <c r="BD37" s="2" t="s">
        <v>134</v>
      </c>
      <c r="BE37" s="2" t="s">
        <v>134</v>
      </c>
      <c r="BF37" s="2">
        <f t="shared" si="31"/>
        <v>0</v>
      </c>
      <c r="BG37" s="2">
        <f t="shared" si="32"/>
        <v>0</v>
      </c>
      <c r="BH37" s="2">
        <f t="shared" si="41"/>
        <v>0</v>
      </c>
      <c r="BI37" s="2">
        <f t="shared" si="33"/>
        <v>0</v>
      </c>
      <c r="BJ37" s="2">
        <f t="shared" si="34"/>
        <v>0</v>
      </c>
      <c r="BK37" s="2">
        <f t="shared" si="45"/>
        <v>4</v>
      </c>
      <c r="BL37" s="2">
        <f t="shared" si="45"/>
        <v>0</v>
      </c>
      <c r="BM37" s="2">
        <f t="shared" si="45"/>
        <v>1</v>
      </c>
      <c r="BN37" s="2">
        <f t="shared" si="45"/>
        <v>0</v>
      </c>
      <c r="BO37" s="2">
        <f t="shared" si="45"/>
        <v>0</v>
      </c>
      <c r="BP37" s="26">
        <f t="shared" si="42"/>
        <v>5</v>
      </c>
    </row>
    <row r="38" spans="1:68">
      <c r="A38" s="17">
        <f t="shared" si="36"/>
        <v>35</v>
      </c>
      <c r="B38" s="16" t="s">
        <v>212</v>
      </c>
      <c r="C38" s="19" t="s">
        <v>213</v>
      </c>
      <c r="D38" s="15" t="s">
        <v>146</v>
      </c>
      <c r="E38" s="4" t="s">
        <v>13</v>
      </c>
      <c r="F38" s="5" t="s">
        <v>14</v>
      </c>
      <c r="G38" s="2" t="s">
        <v>7</v>
      </c>
      <c r="H38" s="2" t="s">
        <v>134</v>
      </c>
      <c r="I38" s="2" t="s">
        <v>134</v>
      </c>
      <c r="J38" s="2" t="s">
        <v>134</v>
      </c>
      <c r="K38" s="2" t="s">
        <v>134</v>
      </c>
      <c r="L38" s="2" t="s">
        <v>134</v>
      </c>
      <c r="M38" s="2" t="s">
        <v>134</v>
      </c>
      <c r="N38" s="2">
        <f t="shared" si="15"/>
        <v>1</v>
      </c>
      <c r="O38" s="2">
        <f t="shared" si="16"/>
        <v>0</v>
      </c>
      <c r="P38" s="2">
        <f t="shared" si="37"/>
        <v>0</v>
      </c>
      <c r="Q38" s="2">
        <f t="shared" si="17"/>
        <v>0</v>
      </c>
      <c r="R38" s="2">
        <f t="shared" si="18"/>
        <v>0</v>
      </c>
      <c r="S38" s="2" t="s">
        <v>8</v>
      </c>
      <c r="T38" s="2" t="s">
        <v>134</v>
      </c>
      <c r="U38" s="2" t="s">
        <v>134</v>
      </c>
      <c r="V38" s="2" t="s">
        <v>134</v>
      </c>
      <c r="W38" s="2" t="s">
        <v>134</v>
      </c>
      <c r="X38" s="2" t="s">
        <v>134</v>
      </c>
      <c r="Y38" s="2" t="s">
        <v>134</v>
      </c>
      <c r="Z38" s="2">
        <f t="shared" si="19"/>
        <v>0</v>
      </c>
      <c r="AA38" s="2">
        <f t="shared" si="20"/>
        <v>1</v>
      </c>
      <c r="AB38" s="2">
        <f t="shared" si="38"/>
        <v>0</v>
      </c>
      <c r="AC38" s="2">
        <f t="shared" si="21"/>
        <v>0</v>
      </c>
      <c r="AD38" s="2">
        <f t="shared" si="22"/>
        <v>0</v>
      </c>
      <c r="AE38" s="2" t="s">
        <v>134</v>
      </c>
      <c r="AF38" s="2" t="s">
        <v>134</v>
      </c>
      <c r="AG38" s="2" t="s">
        <v>7</v>
      </c>
      <c r="AH38" s="2" t="s">
        <v>7</v>
      </c>
      <c r="AI38" s="2" t="s">
        <v>134</v>
      </c>
      <c r="AJ38" s="2" t="s">
        <v>134</v>
      </c>
      <c r="AK38" s="2" t="s">
        <v>134</v>
      </c>
      <c r="AL38" s="2">
        <f t="shared" si="23"/>
        <v>2</v>
      </c>
      <c r="AM38" s="2">
        <f t="shared" si="24"/>
        <v>0</v>
      </c>
      <c r="AN38" s="2">
        <f t="shared" si="39"/>
        <v>0</v>
      </c>
      <c r="AO38" s="2">
        <f t="shared" si="25"/>
        <v>0</v>
      </c>
      <c r="AP38" s="2">
        <f t="shared" si="26"/>
        <v>0</v>
      </c>
      <c r="AQ38" s="2" t="s">
        <v>134</v>
      </c>
      <c r="AR38" s="2" t="s">
        <v>134</v>
      </c>
      <c r="AS38" s="2" t="s">
        <v>134</v>
      </c>
      <c r="AT38" s="2" t="s">
        <v>134</v>
      </c>
      <c r="AU38" s="2" t="s">
        <v>134</v>
      </c>
      <c r="AV38" s="2" t="s">
        <v>134</v>
      </c>
      <c r="AW38" s="2" t="s">
        <v>248</v>
      </c>
      <c r="AX38" s="2">
        <f t="shared" si="27"/>
        <v>0</v>
      </c>
      <c r="AY38" s="2">
        <f t="shared" si="28"/>
        <v>0</v>
      </c>
      <c r="AZ38" s="2">
        <f t="shared" si="40"/>
        <v>1</v>
      </c>
      <c r="BA38" s="2">
        <f t="shared" si="29"/>
        <v>0</v>
      </c>
      <c r="BB38" s="2">
        <f t="shared" si="30"/>
        <v>0</v>
      </c>
      <c r="BC38" s="2" t="s">
        <v>134</v>
      </c>
      <c r="BD38" s="2" t="s">
        <v>134</v>
      </c>
      <c r="BE38" s="2" t="s">
        <v>134</v>
      </c>
      <c r="BF38" s="2">
        <f t="shared" si="31"/>
        <v>0</v>
      </c>
      <c r="BG38" s="2">
        <f t="shared" si="32"/>
        <v>0</v>
      </c>
      <c r="BH38" s="2">
        <f t="shared" si="41"/>
        <v>0</v>
      </c>
      <c r="BI38" s="2">
        <f t="shared" si="33"/>
        <v>0</v>
      </c>
      <c r="BJ38" s="2">
        <f t="shared" si="34"/>
        <v>0</v>
      </c>
      <c r="BK38" s="2">
        <f t="shared" si="45"/>
        <v>3</v>
      </c>
      <c r="BL38" s="2">
        <f t="shared" si="45"/>
        <v>1</v>
      </c>
      <c r="BM38" s="2">
        <f t="shared" si="45"/>
        <v>1</v>
      </c>
      <c r="BN38" s="2">
        <f t="shared" si="45"/>
        <v>0</v>
      </c>
      <c r="BO38" s="2">
        <f t="shared" si="45"/>
        <v>0</v>
      </c>
      <c r="BP38" s="26">
        <f t="shared" si="42"/>
        <v>5</v>
      </c>
    </row>
    <row r="39" spans="1:68">
      <c r="A39" s="17">
        <f t="shared" si="36"/>
        <v>36</v>
      </c>
      <c r="B39" s="16" t="s">
        <v>214</v>
      </c>
      <c r="C39" s="19" t="s">
        <v>215</v>
      </c>
      <c r="D39" s="15" t="s">
        <v>146</v>
      </c>
      <c r="E39" s="4" t="s">
        <v>29</v>
      </c>
      <c r="F39" s="5" t="s">
        <v>14</v>
      </c>
      <c r="G39" s="2" t="s">
        <v>134</v>
      </c>
      <c r="H39" s="2" t="s">
        <v>134</v>
      </c>
      <c r="I39" s="2" t="s">
        <v>134</v>
      </c>
      <c r="J39" s="2" t="s">
        <v>134</v>
      </c>
      <c r="K39" s="2" t="s">
        <v>134</v>
      </c>
      <c r="L39" s="2" t="s">
        <v>134</v>
      </c>
      <c r="M39" s="2" t="s">
        <v>134</v>
      </c>
      <c r="N39" s="2">
        <f t="shared" si="15"/>
        <v>0</v>
      </c>
      <c r="O39" s="2">
        <f t="shared" si="16"/>
        <v>0</v>
      </c>
      <c r="P39" s="2">
        <f t="shared" si="37"/>
        <v>0</v>
      </c>
      <c r="Q39" s="2">
        <f t="shared" si="17"/>
        <v>0</v>
      </c>
      <c r="R39" s="2">
        <f t="shared" si="18"/>
        <v>0</v>
      </c>
      <c r="S39" s="2" t="s">
        <v>134</v>
      </c>
      <c r="T39" s="2" t="s">
        <v>134</v>
      </c>
      <c r="U39" s="2" t="s">
        <v>7</v>
      </c>
      <c r="V39" s="2" t="s">
        <v>134</v>
      </c>
      <c r="W39" s="2" t="s">
        <v>7</v>
      </c>
      <c r="X39" s="2" t="s">
        <v>7</v>
      </c>
      <c r="Y39" s="2" t="s">
        <v>134</v>
      </c>
      <c r="Z39" s="2">
        <f t="shared" si="19"/>
        <v>3</v>
      </c>
      <c r="AA39" s="2">
        <f t="shared" si="20"/>
        <v>0</v>
      </c>
      <c r="AB39" s="2">
        <f t="shared" si="38"/>
        <v>0</v>
      </c>
      <c r="AC39" s="2">
        <f t="shared" si="21"/>
        <v>0</v>
      </c>
      <c r="AD39" s="2">
        <f t="shared" si="22"/>
        <v>0</v>
      </c>
      <c r="AE39" s="2" t="s">
        <v>134</v>
      </c>
      <c r="AF39" s="2" t="s">
        <v>7</v>
      </c>
      <c r="AG39" s="2" t="s">
        <v>134</v>
      </c>
      <c r="AH39" s="2" t="s">
        <v>134</v>
      </c>
      <c r="AI39" s="2" t="s">
        <v>134</v>
      </c>
      <c r="AJ39" s="2" t="s">
        <v>134</v>
      </c>
      <c r="AK39" s="2" t="s">
        <v>134</v>
      </c>
      <c r="AL39" s="2">
        <f t="shared" si="23"/>
        <v>1</v>
      </c>
      <c r="AM39" s="2">
        <f t="shared" si="24"/>
        <v>0</v>
      </c>
      <c r="AN39" s="2">
        <f t="shared" si="39"/>
        <v>0</v>
      </c>
      <c r="AO39" s="2">
        <f t="shared" si="25"/>
        <v>0</v>
      </c>
      <c r="AP39" s="2">
        <f t="shared" si="26"/>
        <v>0</v>
      </c>
      <c r="AQ39" s="2" t="s">
        <v>134</v>
      </c>
      <c r="AR39" s="2" t="s">
        <v>134</v>
      </c>
      <c r="AS39" s="2" t="s">
        <v>134</v>
      </c>
      <c r="AT39" s="2" t="s">
        <v>134</v>
      </c>
      <c r="AU39" s="2" t="s">
        <v>7</v>
      </c>
      <c r="AV39" s="2" t="s">
        <v>134</v>
      </c>
      <c r="AW39" s="2" t="s">
        <v>134</v>
      </c>
      <c r="AX39" s="2">
        <f t="shared" si="27"/>
        <v>1</v>
      </c>
      <c r="AY39" s="2">
        <f t="shared" si="28"/>
        <v>0</v>
      </c>
      <c r="AZ39" s="2">
        <f t="shared" si="40"/>
        <v>0</v>
      </c>
      <c r="BA39" s="2">
        <f t="shared" si="29"/>
        <v>0</v>
      </c>
      <c r="BB39" s="2">
        <f t="shared" si="30"/>
        <v>0</v>
      </c>
      <c r="BC39" s="2" t="s">
        <v>134</v>
      </c>
      <c r="BD39" s="2" t="s">
        <v>134</v>
      </c>
      <c r="BE39" s="2" t="s">
        <v>134</v>
      </c>
      <c r="BF39" s="2">
        <f t="shared" si="31"/>
        <v>0</v>
      </c>
      <c r="BG39" s="2">
        <f t="shared" si="32"/>
        <v>0</v>
      </c>
      <c r="BH39" s="2">
        <f t="shared" si="41"/>
        <v>0</v>
      </c>
      <c r="BI39" s="2">
        <f t="shared" si="33"/>
        <v>0</v>
      </c>
      <c r="BJ39" s="2">
        <f t="shared" si="34"/>
        <v>0</v>
      </c>
      <c r="BK39" s="2">
        <f t="shared" si="45"/>
        <v>5</v>
      </c>
      <c r="BL39" s="2">
        <f t="shared" si="45"/>
        <v>0</v>
      </c>
      <c r="BM39" s="2">
        <f t="shared" si="45"/>
        <v>0</v>
      </c>
      <c r="BN39" s="2">
        <f t="shared" si="45"/>
        <v>0</v>
      </c>
      <c r="BO39" s="2">
        <f t="shared" si="45"/>
        <v>0</v>
      </c>
      <c r="BP39" s="26">
        <f t="shared" si="42"/>
        <v>5</v>
      </c>
    </row>
    <row r="40" spans="1:68">
      <c r="A40" s="17">
        <f t="shared" si="36"/>
        <v>37</v>
      </c>
      <c r="B40" s="16" t="s">
        <v>216</v>
      </c>
      <c r="C40" s="19" t="s">
        <v>217</v>
      </c>
      <c r="D40" s="15" t="s">
        <v>146</v>
      </c>
      <c r="E40" s="4" t="s">
        <v>29</v>
      </c>
      <c r="F40" s="5" t="s">
        <v>14</v>
      </c>
      <c r="G40" s="2" t="s">
        <v>134</v>
      </c>
      <c r="H40" s="2" t="s">
        <v>7</v>
      </c>
      <c r="I40" s="2" t="s">
        <v>7</v>
      </c>
      <c r="J40" s="2" t="s">
        <v>134</v>
      </c>
      <c r="K40" s="2" t="s">
        <v>134</v>
      </c>
      <c r="L40" s="2" t="s">
        <v>134</v>
      </c>
      <c r="M40" s="2" t="s">
        <v>134</v>
      </c>
      <c r="N40" s="2">
        <f t="shared" si="15"/>
        <v>2</v>
      </c>
      <c r="O40" s="2">
        <f t="shared" si="16"/>
        <v>0</v>
      </c>
      <c r="P40" s="2">
        <f t="shared" si="37"/>
        <v>0</v>
      </c>
      <c r="Q40" s="2">
        <f t="shared" si="17"/>
        <v>0</v>
      </c>
      <c r="R40" s="2">
        <f t="shared" si="18"/>
        <v>0</v>
      </c>
      <c r="S40" s="2" t="s">
        <v>134</v>
      </c>
      <c r="T40" s="2" t="s">
        <v>134</v>
      </c>
      <c r="U40" s="2" t="s">
        <v>134</v>
      </c>
      <c r="V40" s="2" t="s">
        <v>134</v>
      </c>
      <c r="W40" s="2" t="s">
        <v>134</v>
      </c>
      <c r="X40" s="2" t="s">
        <v>134</v>
      </c>
      <c r="Y40" s="2" t="s">
        <v>134</v>
      </c>
      <c r="Z40" s="2">
        <f t="shared" si="19"/>
        <v>0</v>
      </c>
      <c r="AA40" s="2">
        <f t="shared" si="20"/>
        <v>0</v>
      </c>
      <c r="AB40" s="2">
        <f t="shared" si="38"/>
        <v>0</v>
      </c>
      <c r="AC40" s="2">
        <f t="shared" si="21"/>
        <v>0</v>
      </c>
      <c r="AD40" s="2">
        <f t="shared" si="22"/>
        <v>0</v>
      </c>
      <c r="AE40" s="2" t="s">
        <v>134</v>
      </c>
      <c r="AF40" s="2" t="s">
        <v>134</v>
      </c>
      <c r="AG40" s="2" t="s">
        <v>134</v>
      </c>
      <c r="AH40" s="2" t="s">
        <v>134</v>
      </c>
      <c r="AI40" s="2" t="s">
        <v>134</v>
      </c>
      <c r="AJ40" s="2" t="s">
        <v>134</v>
      </c>
      <c r="AK40" s="2" t="s">
        <v>134</v>
      </c>
      <c r="AL40" s="2">
        <f t="shared" si="23"/>
        <v>0</v>
      </c>
      <c r="AM40" s="2">
        <f t="shared" si="24"/>
        <v>0</v>
      </c>
      <c r="AN40" s="2">
        <f t="shared" si="39"/>
        <v>0</v>
      </c>
      <c r="AO40" s="2">
        <f t="shared" si="25"/>
        <v>0</v>
      </c>
      <c r="AP40" s="2">
        <f t="shared" si="26"/>
        <v>0</v>
      </c>
      <c r="AQ40" s="2" t="s">
        <v>7</v>
      </c>
      <c r="AR40" s="2" t="s">
        <v>7</v>
      </c>
      <c r="AS40" s="2" t="s">
        <v>134</v>
      </c>
      <c r="AT40" s="2" t="s">
        <v>134</v>
      </c>
      <c r="AU40" s="2" t="s">
        <v>134</v>
      </c>
      <c r="AV40" s="2" t="s">
        <v>134</v>
      </c>
      <c r="AW40" s="2" t="s">
        <v>134</v>
      </c>
      <c r="AX40" s="2">
        <f t="shared" si="27"/>
        <v>2</v>
      </c>
      <c r="AY40" s="2">
        <f t="shared" si="28"/>
        <v>0</v>
      </c>
      <c r="AZ40" s="2">
        <f t="shared" si="40"/>
        <v>0</v>
      </c>
      <c r="BA40" s="2">
        <f t="shared" si="29"/>
        <v>0</v>
      </c>
      <c r="BB40" s="2">
        <f t="shared" si="30"/>
        <v>0</v>
      </c>
      <c r="BC40" s="2" t="s">
        <v>134</v>
      </c>
      <c r="BD40" s="2" t="s">
        <v>134</v>
      </c>
      <c r="BE40" s="2" t="s">
        <v>134</v>
      </c>
      <c r="BF40" s="2">
        <f t="shared" si="31"/>
        <v>0</v>
      </c>
      <c r="BG40" s="2">
        <f t="shared" si="32"/>
        <v>0</v>
      </c>
      <c r="BH40" s="2">
        <f t="shared" si="41"/>
        <v>0</v>
      </c>
      <c r="BI40" s="2">
        <f t="shared" si="33"/>
        <v>0</v>
      </c>
      <c r="BJ40" s="2">
        <f t="shared" si="34"/>
        <v>0</v>
      </c>
      <c r="BK40" s="2">
        <f t="shared" si="45"/>
        <v>4</v>
      </c>
      <c r="BL40" s="2">
        <f t="shared" si="45"/>
        <v>0</v>
      </c>
      <c r="BM40" s="2">
        <f t="shared" si="45"/>
        <v>0</v>
      </c>
      <c r="BN40" s="2">
        <f t="shared" si="45"/>
        <v>0</v>
      </c>
      <c r="BO40" s="2">
        <f t="shared" si="45"/>
        <v>0</v>
      </c>
      <c r="BP40" s="26">
        <f t="shared" si="42"/>
        <v>4</v>
      </c>
    </row>
    <row r="41" spans="1:68">
      <c r="A41" s="17">
        <f t="shared" si="36"/>
        <v>38</v>
      </c>
      <c r="B41" s="16" t="s">
        <v>218</v>
      </c>
      <c r="C41" s="19" t="s">
        <v>219</v>
      </c>
      <c r="D41" s="15" t="s">
        <v>146</v>
      </c>
      <c r="E41" s="4" t="s">
        <v>13</v>
      </c>
      <c r="F41" s="5" t="s">
        <v>14</v>
      </c>
      <c r="G41" s="2" t="s">
        <v>134</v>
      </c>
      <c r="H41" s="2" t="s">
        <v>134</v>
      </c>
      <c r="I41" s="2" t="s">
        <v>134</v>
      </c>
      <c r="J41" s="2" t="s">
        <v>134</v>
      </c>
      <c r="K41" s="2" t="s">
        <v>7</v>
      </c>
      <c r="L41" s="2" t="s">
        <v>134</v>
      </c>
      <c r="M41" s="2" t="s">
        <v>134</v>
      </c>
      <c r="N41" s="2">
        <f t="shared" si="15"/>
        <v>1</v>
      </c>
      <c r="O41" s="2">
        <f t="shared" si="16"/>
        <v>0</v>
      </c>
      <c r="P41" s="2">
        <f t="shared" si="37"/>
        <v>0</v>
      </c>
      <c r="Q41" s="2">
        <f t="shared" si="17"/>
        <v>0</v>
      </c>
      <c r="R41" s="2">
        <f t="shared" si="18"/>
        <v>0</v>
      </c>
      <c r="S41" s="2" t="s">
        <v>134</v>
      </c>
      <c r="T41" s="2" t="s">
        <v>134</v>
      </c>
      <c r="U41" s="2" t="s">
        <v>134</v>
      </c>
      <c r="V41" s="2" t="s">
        <v>134</v>
      </c>
      <c r="W41" s="2" t="s">
        <v>134</v>
      </c>
      <c r="X41" s="2" t="s">
        <v>134</v>
      </c>
      <c r="Y41" s="2" t="s">
        <v>7</v>
      </c>
      <c r="Z41" s="2">
        <f t="shared" si="19"/>
        <v>1</v>
      </c>
      <c r="AA41" s="2">
        <f t="shared" si="20"/>
        <v>0</v>
      </c>
      <c r="AB41" s="2">
        <f t="shared" si="38"/>
        <v>0</v>
      </c>
      <c r="AC41" s="2">
        <f t="shared" si="21"/>
        <v>0</v>
      </c>
      <c r="AD41" s="2">
        <f t="shared" si="22"/>
        <v>0</v>
      </c>
      <c r="AE41" s="2" t="s">
        <v>134</v>
      </c>
      <c r="AF41" s="2" t="s">
        <v>134</v>
      </c>
      <c r="AG41" s="2" t="s">
        <v>134</v>
      </c>
      <c r="AH41" s="2" t="s">
        <v>134</v>
      </c>
      <c r="AI41" s="2" t="s">
        <v>7</v>
      </c>
      <c r="AJ41" s="2" t="s">
        <v>134</v>
      </c>
      <c r="AK41" s="2" t="s">
        <v>134</v>
      </c>
      <c r="AL41" s="2">
        <f t="shared" si="23"/>
        <v>1</v>
      </c>
      <c r="AM41" s="2">
        <f t="shared" si="24"/>
        <v>0</v>
      </c>
      <c r="AN41" s="2">
        <f t="shared" si="39"/>
        <v>0</v>
      </c>
      <c r="AO41" s="2">
        <f t="shared" si="25"/>
        <v>0</v>
      </c>
      <c r="AP41" s="2">
        <f t="shared" si="26"/>
        <v>0</v>
      </c>
      <c r="AQ41" s="2" t="s">
        <v>134</v>
      </c>
      <c r="AR41" s="2" t="s">
        <v>134</v>
      </c>
      <c r="AS41" s="2" t="s">
        <v>134</v>
      </c>
      <c r="AT41" s="2" t="s">
        <v>134</v>
      </c>
      <c r="AU41" s="2" t="s">
        <v>7</v>
      </c>
      <c r="AV41" s="2" t="s">
        <v>134</v>
      </c>
      <c r="AW41" s="2" t="s">
        <v>134</v>
      </c>
      <c r="AX41" s="2">
        <f t="shared" si="27"/>
        <v>1</v>
      </c>
      <c r="AY41" s="2">
        <f t="shared" si="28"/>
        <v>0</v>
      </c>
      <c r="AZ41" s="2">
        <f t="shared" si="40"/>
        <v>0</v>
      </c>
      <c r="BA41" s="2">
        <f t="shared" si="29"/>
        <v>0</v>
      </c>
      <c r="BB41" s="2">
        <f t="shared" si="30"/>
        <v>0</v>
      </c>
      <c r="BC41" s="2" t="s">
        <v>134</v>
      </c>
      <c r="BD41" s="2" t="s">
        <v>134</v>
      </c>
      <c r="BE41" s="2" t="s">
        <v>134</v>
      </c>
      <c r="BF41" s="2">
        <f t="shared" si="31"/>
        <v>0</v>
      </c>
      <c r="BG41" s="2">
        <f t="shared" si="32"/>
        <v>0</v>
      </c>
      <c r="BH41" s="2">
        <f t="shared" si="41"/>
        <v>0</v>
      </c>
      <c r="BI41" s="2">
        <f t="shared" si="33"/>
        <v>0</v>
      </c>
      <c r="BJ41" s="2">
        <f t="shared" si="34"/>
        <v>0</v>
      </c>
      <c r="BK41" s="2">
        <f t="shared" ref="BK41:BO49" si="46">SUMIFS($A41:$BJ41,$A$3:$BJ$3,BK$3)</f>
        <v>4</v>
      </c>
      <c r="BL41" s="2">
        <f t="shared" si="46"/>
        <v>0</v>
      </c>
      <c r="BM41" s="2">
        <f t="shared" si="46"/>
        <v>0</v>
      </c>
      <c r="BN41" s="2">
        <f t="shared" si="46"/>
        <v>0</v>
      </c>
      <c r="BO41" s="2">
        <f t="shared" si="46"/>
        <v>0</v>
      </c>
      <c r="BP41" s="26">
        <f t="shared" si="42"/>
        <v>4</v>
      </c>
    </row>
    <row r="42" spans="1:68">
      <c r="A42" s="17">
        <f t="shared" si="36"/>
        <v>39</v>
      </c>
      <c r="B42" s="16" t="s">
        <v>220</v>
      </c>
      <c r="C42" s="19" t="s">
        <v>221</v>
      </c>
      <c r="D42" s="15" t="s">
        <v>146</v>
      </c>
      <c r="E42" s="4" t="s">
        <v>29</v>
      </c>
      <c r="F42" s="5" t="s">
        <v>14</v>
      </c>
      <c r="G42" s="2" t="s">
        <v>7</v>
      </c>
      <c r="H42" s="2" t="s">
        <v>134</v>
      </c>
      <c r="I42" s="2" t="s">
        <v>134</v>
      </c>
      <c r="J42" s="2" t="s">
        <v>134</v>
      </c>
      <c r="K42" s="2" t="s">
        <v>134</v>
      </c>
      <c r="L42" s="2" t="s">
        <v>134</v>
      </c>
      <c r="M42" s="2" t="s">
        <v>134</v>
      </c>
      <c r="N42" s="2">
        <f t="shared" si="15"/>
        <v>1</v>
      </c>
      <c r="O42" s="2">
        <f t="shared" si="16"/>
        <v>0</v>
      </c>
      <c r="P42" s="2">
        <f t="shared" si="37"/>
        <v>0</v>
      </c>
      <c r="Q42" s="2">
        <f t="shared" si="17"/>
        <v>0</v>
      </c>
      <c r="R42" s="2">
        <f t="shared" si="18"/>
        <v>0</v>
      </c>
      <c r="S42" s="2" t="s">
        <v>134</v>
      </c>
      <c r="T42" s="2" t="s">
        <v>134</v>
      </c>
      <c r="U42" s="2" t="s">
        <v>134</v>
      </c>
      <c r="V42" s="2" t="s">
        <v>134</v>
      </c>
      <c r="W42" s="2" t="s">
        <v>134</v>
      </c>
      <c r="X42" s="2" t="s">
        <v>134</v>
      </c>
      <c r="Y42" s="2" t="s">
        <v>7</v>
      </c>
      <c r="Z42" s="2">
        <f t="shared" si="19"/>
        <v>1</v>
      </c>
      <c r="AA42" s="2">
        <f t="shared" si="20"/>
        <v>0</v>
      </c>
      <c r="AB42" s="2">
        <f t="shared" si="38"/>
        <v>0</v>
      </c>
      <c r="AC42" s="2">
        <f t="shared" si="21"/>
        <v>0</v>
      </c>
      <c r="AD42" s="2">
        <f t="shared" si="22"/>
        <v>0</v>
      </c>
      <c r="AE42" s="2" t="s">
        <v>7</v>
      </c>
      <c r="AF42" s="2" t="s">
        <v>134</v>
      </c>
      <c r="AG42" s="2" t="s">
        <v>134</v>
      </c>
      <c r="AH42" s="2" t="s">
        <v>134</v>
      </c>
      <c r="AI42" s="2" t="s">
        <v>134</v>
      </c>
      <c r="AJ42" s="2" t="s">
        <v>134</v>
      </c>
      <c r="AK42" s="2" t="s">
        <v>134</v>
      </c>
      <c r="AL42" s="2">
        <f t="shared" si="23"/>
        <v>1</v>
      </c>
      <c r="AM42" s="2">
        <f t="shared" si="24"/>
        <v>0</v>
      </c>
      <c r="AN42" s="2">
        <f t="shared" si="39"/>
        <v>0</v>
      </c>
      <c r="AO42" s="2">
        <f t="shared" si="25"/>
        <v>0</v>
      </c>
      <c r="AP42" s="2">
        <f t="shared" si="26"/>
        <v>0</v>
      </c>
      <c r="AQ42" s="2" t="s">
        <v>134</v>
      </c>
      <c r="AR42" s="2" t="s">
        <v>134</v>
      </c>
      <c r="AS42" s="2" t="s">
        <v>7</v>
      </c>
      <c r="AT42" s="2" t="s">
        <v>248</v>
      </c>
      <c r="AU42" s="2" t="s">
        <v>134</v>
      </c>
      <c r="AV42" s="2" t="s">
        <v>134</v>
      </c>
      <c r="AW42" s="2" t="s">
        <v>134</v>
      </c>
      <c r="AX42" s="2">
        <f t="shared" si="27"/>
        <v>1</v>
      </c>
      <c r="AY42" s="2">
        <f t="shared" si="28"/>
        <v>0</v>
      </c>
      <c r="AZ42" s="2">
        <f t="shared" si="40"/>
        <v>1</v>
      </c>
      <c r="BA42" s="2">
        <f t="shared" si="29"/>
        <v>0</v>
      </c>
      <c r="BB42" s="2">
        <f t="shared" si="30"/>
        <v>0</v>
      </c>
      <c r="BC42" s="2" t="s">
        <v>134</v>
      </c>
      <c r="BD42" s="2" t="s">
        <v>134</v>
      </c>
      <c r="BE42" s="2" t="s">
        <v>134</v>
      </c>
      <c r="BF42" s="2">
        <f t="shared" si="31"/>
        <v>0</v>
      </c>
      <c r="BG42" s="2">
        <f t="shared" si="32"/>
        <v>0</v>
      </c>
      <c r="BH42" s="2">
        <f t="shared" si="41"/>
        <v>0</v>
      </c>
      <c r="BI42" s="2">
        <f t="shared" si="33"/>
        <v>0</v>
      </c>
      <c r="BJ42" s="2">
        <f t="shared" si="34"/>
        <v>0</v>
      </c>
      <c r="BK42" s="2">
        <f t="shared" si="46"/>
        <v>4</v>
      </c>
      <c r="BL42" s="2">
        <f t="shared" si="46"/>
        <v>0</v>
      </c>
      <c r="BM42" s="2">
        <f t="shared" si="46"/>
        <v>1</v>
      </c>
      <c r="BN42" s="2">
        <f t="shared" si="46"/>
        <v>0</v>
      </c>
      <c r="BO42" s="2">
        <f t="shared" si="46"/>
        <v>0</v>
      </c>
      <c r="BP42" s="26">
        <f t="shared" si="42"/>
        <v>5</v>
      </c>
    </row>
    <row r="43" spans="1:68">
      <c r="A43" s="17">
        <f t="shared" si="36"/>
        <v>40</v>
      </c>
      <c r="B43" s="16" t="s">
        <v>222</v>
      </c>
      <c r="C43" s="19" t="s">
        <v>223</v>
      </c>
      <c r="D43" s="15" t="s">
        <v>146</v>
      </c>
      <c r="E43" s="4" t="s">
        <v>13</v>
      </c>
      <c r="F43" s="5" t="s">
        <v>14</v>
      </c>
      <c r="G43" s="2" t="s">
        <v>7</v>
      </c>
      <c r="H43" s="2" t="s">
        <v>134</v>
      </c>
      <c r="I43" s="2" t="s">
        <v>134</v>
      </c>
      <c r="J43" s="2" t="s">
        <v>134</v>
      </c>
      <c r="K43" s="2" t="s">
        <v>134</v>
      </c>
      <c r="L43" s="2" t="s">
        <v>134</v>
      </c>
      <c r="M43" s="2" t="s">
        <v>134</v>
      </c>
      <c r="N43" s="2">
        <f t="shared" si="15"/>
        <v>1</v>
      </c>
      <c r="O43" s="2">
        <f t="shared" si="16"/>
        <v>0</v>
      </c>
      <c r="P43" s="2">
        <f t="shared" si="37"/>
        <v>0</v>
      </c>
      <c r="Q43" s="2">
        <f t="shared" si="17"/>
        <v>0</v>
      </c>
      <c r="R43" s="2">
        <f t="shared" si="18"/>
        <v>0</v>
      </c>
      <c r="S43" s="2" t="s">
        <v>8</v>
      </c>
      <c r="T43" s="2" t="s">
        <v>134</v>
      </c>
      <c r="U43" s="2" t="s">
        <v>134</v>
      </c>
      <c r="V43" s="2" t="s">
        <v>134</v>
      </c>
      <c r="W43" s="2" t="s">
        <v>134</v>
      </c>
      <c r="X43" s="2" t="s">
        <v>134</v>
      </c>
      <c r="Y43" s="2" t="s">
        <v>134</v>
      </c>
      <c r="Z43" s="2">
        <f t="shared" si="19"/>
        <v>0</v>
      </c>
      <c r="AA43" s="2">
        <f t="shared" si="20"/>
        <v>1</v>
      </c>
      <c r="AB43" s="2">
        <f t="shared" si="38"/>
        <v>0</v>
      </c>
      <c r="AC43" s="2">
        <f t="shared" si="21"/>
        <v>0</v>
      </c>
      <c r="AD43" s="2">
        <f t="shared" si="22"/>
        <v>0</v>
      </c>
      <c r="AE43" s="2" t="s">
        <v>134</v>
      </c>
      <c r="AF43" s="2" t="s">
        <v>134</v>
      </c>
      <c r="AG43" s="2" t="s">
        <v>7</v>
      </c>
      <c r="AH43" s="2" t="s">
        <v>7</v>
      </c>
      <c r="AI43" s="2" t="s">
        <v>134</v>
      </c>
      <c r="AJ43" s="2" t="s">
        <v>134</v>
      </c>
      <c r="AK43" s="2" t="s">
        <v>134</v>
      </c>
      <c r="AL43" s="2">
        <f t="shared" si="23"/>
        <v>2</v>
      </c>
      <c r="AM43" s="2">
        <f t="shared" si="24"/>
        <v>0</v>
      </c>
      <c r="AN43" s="2">
        <f t="shared" si="39"/>
        <v>0</v>
      </c>
      <c r="AO43" s="2">
        <f t="shared" si="25"/>
        <v>0</v>
      </c>
      <c r="AP43" s="2">
        <f t="shared" si="26"/>
        <v>0</v>
      </c>
      <c r="AQ43" s="2" t="s">
        <v>134</v>
      </c>
      <c r="AR43" s="2" t="s">
        <v>134</v>
      </c>
      <c r="AS43" s="2" t="s">
        <v>134</v>
      </c>
      <c r="AT43" s="2" t="s">
        <v>134</v>
      </c>
      <c r="AU43" s="2" t="s">
        <v>134</v>
      </c>
      <c r="AV43" s="2" t="s">
        <v>134</v>
      </c>
      <c r="AW43" s="2" t="s">
        <v>134</v>
      </c>
      <c r="AX43" s="2">
        <f t="shared" si="27"/>
        <v>0</v>
      </c>
      <c r="AY43" s="2">
        <f t="shared" si="28"/>
        <v>0</v>
      </c>
      <c r="AZ43" s="2">
        <f t="shared" si="40"/>
        <v>0</v>
      </c>
      <c r="BA43" s="2">
        <f t="shared" si="29"/>
        <v>0</v>
      </c>
      <c r="BB43" s="2">
        <f t="shared" si="30"/>
        <v>0</v>
      </c>
      <c r="BC43" s="2" t="s">
        <v>134</v>
      </c>
      <c r="BD43" s="2" t="s">
        <v>134</v>
      </c>
      <c r="BE43" s="2" t="s">
        <v>134</v>
      </c>
      <c r="BF43" s="2">
        <f t="shared" si="31"/>
        <v>0</v>
      </c>
      <c r="BG43" s="2">
        <f t="shared" si="32"/>
        <v>0</v>
      </c>
      <c r="BH43" s="2">
        <f t="shared" si="41"/>
        <v>0</v>
      </c>
      <c r="BI43" s="2">
        <f t="shared" si="33"/>
        <v>0</v>
      </c>
      <c r="BJ43" s="2">
        <f t="shared" si="34"/>
        <v>0</v>
      </c>
      <c r="BK43" s="2">
        <f t="shared" si="46"/>
        <v>3</v>
      </c>
      <c r="BL43" s="2">
        <f t="shared" si="46"/>
        <v>1</v>
      </c>
      <c r="BM43" s="2">
        <f t="shared" si="46"/>
        <v>0</v>
      </c>
      <c r="BN43" s="2">
        <f t="shared" si="46"/>
        <v>0</v>
      </c>
      <c r="BO43" s="2">
        <f t="shared" si="46"/>
        <v>0</v>
      </c>
      <c r="BP43" s="26">
        <f t="shared" si="42"/>
        <v>4</v>
      </c>
    </row>
    <row r="44" spans="1:68">
      <c r="A44" s="17">
        <f t="shared" si="36"/>
        <v>41</v>
      </c>
      <c r="B44" s="16" t="s">
        <v>224</v>
      </c>
      <c r="C44" s="19" t="s">
        <v>225</v>
      </c>
      <c r="D44" s="15" t="s">
        <v>146</v>
      </c>
      <c r="E44" s="4" t="s">
        <v>13</v>
      </c>
      <c r="F44" s="5" t="s">
        <v>14</v>
      </c>
      <c r="G44" s="2" t="s">
        <v>134</v>
      </c>
      <c r="H44" s="2" t="s">
        <v>134</v>
      </c>
      <c r="I44" s="2" t="s">
        <v>134</v>
      </c>
      <c r="J44" s="2" t="s">
        <v>134</v>
      </c>
      <c r="K44" s="2" t="s">
        <v>134</v>
      </c>
      <c r="L44" s="2" t="s">
        <v>134</v>
      </c>
      <c r="M44" s="2" t="s">
        <v>134</v>
      </c>
      <c r="N44" s="2">
        <f t="shared" si="15"/>
        <v>0</v>
      </c>
      <c r="O44" s="2">
        <f t="shared" si="16"/>
        <v>0</v>
      </c>
      <c r="P44" s="2">
        <f t="shared" si="37"/>
        <v>0</v>
      </c>
      <c r="Q44" s="2">
        <f t="shared" si="17"/>
        <v>0</v>
      </c>
      <c r="R44" s="2">
        <f t="shared" si="18"/>
        <v>0</v>
      </c>
      <c r="S44" s="2" t="s">
        <v>134</v>
      </c>
      <c r="T44" s="2" t="s">
        <v>134</v>
      </c>
      <c r="U44" s="2" t="s">
        <v>134</v>
      </c>
      <c r="V44" s="2" t="s">
        <v>134</v>
      </c>
      <c r="W44" s="2" t="s">
        <v>134</v>
      </c>
      <c r="X44" s="2" t="s">
        <v>134</v>
      </c>
      <c r="Y44" s="2" t="s">
        <v>134</v>
      </c>
      <c r="Z44" s="2">
        <f>COUNTIF($S44:$Y44,"Agent Choice WO")</f>
        <v>0</v>
      </c>
      <c r="AA44" s="2">
        <f>COUNTIF($S44:$Y44,"TL Choice WO")</f>
        <v>0</v>
      </c>
      <c r="AB44" s="2">
        <f>COUNTIF($S44:$Y44,"CL")</f>
        <v>0</v>
      </c>
      <c r="AC44" s="2">
        <f>COUNTIF($S44:$Y44,"HD")</f>
        <v>0</v>
      </c>
      <c r="AD44" s="2">
        <f>COUNTIF($S44:$Y44,"LP")</f>
        <v>0</v>
      </c>
      <c r="AE44" s="2" t="s">
        <v>7</v>
      </c>
      <c r="AF44" s="2" t="s">
        <v>7</v>
      </c>
      <c r="AG44" s="2" t="s">
        <v>7</v>
      </c>
      <c r="AH44" s="2" t="s">
        <v>7</v>
      </c>
      <c r="AI44" s="2" t="s">
        <v>134</v>
      </c>
      <c r="AJ44" s="2" t="s">
        <v>134</v>
      </c>
      <c r="AK44" s="2" t="s">
        <v>134</v>
      </c>
      <c r="AL44" s="2">
        <f t="shared" si="23"/>
        <v>4</v>
      </c>
      <c r="AM44" s="2">
        <f t="shared" si="24"/>
        <v>0</v>
      </c>
      <c r="AN44" s="2">
        <f t="shared" si="39"/>
        <v>0</v>
      </c>
      <c r="AO44" s="2">
        <f t="shared" si="25"/>
        <v>0</v>
      </c>
      <c r="AP44" s="2">
        <f t="shared" si="26"/>
        <v>0</v>
      </c>
      <c r="AQ44" s="2" t="s">
        <v>134</v>
      </c>
      <c r="AR44" s="2" t="s">
        <v>134</v>
      </c>
      <c r="AS44" s="2" t="s">
        <v>134</v>
      </c>
      <c r="AT44" s="2" t="s">
        <v>134</v>
      </c>
      <c r="AU44" s="2" t="s">
        <v>134</v>
      </c>
      <c r="AV44" s="2" t="s">
        <v>134</v>
      </c>
      <c r="AW44" s="2" t="s">
        <v>134</v>
      </c>
      <c r="AX44" s="2">
        <f t="shared" si="27"/>
        <v>0</v>
      </c>
      <c r="AY44" s="2">
        <f t="shared" si="28"/>
        <v>0</v>
      </c>
      <c r="AZ44" s="2">
        <f t="shared" si="40"/>
        <v>0</v>
      </c>
      <c r="BA44" s="2">
        <f t="shared" si="29"/>
        <v>0</v>
      </c>
      <c r="BB44" s="2">
        <f t="shared" si="30"/>
        <v>0</v>
      </c>
      <c r="BC44" s="2" t="s">
        <v>134</v>
      </c>
      <c r="BD44" s="2" t="s">
        <v>134</v>
      </c>
      <c r="BE44" s="2" t="s">
        <v>134</v>
      </c>
      <c r="BF44" s="2">
        <f t="shared" si="31"/>
        <v>0</v>
      </c>
      <c r="BG44" s="2">
        <f t="shared" si="32"/>
        <v>0</v>
      </c>
      <c r="BH44" s="2">
        <f t="shared" si="41"/>
        <v>0</v>
      </c>
      <c r="BI44" s="2">
        <f t="shared" si="33"/>
        <v>0</v>
      </c>
      <c r="BJ44" s="2">
        <f t="shared" si="34"/>
        <v>0</v>
      </c>
      <c r="BK44" s="2">
        <f t="shared" si="46"/>
        <v>4</v>
      </c>
      <c r="BL44" s="2">
        <f t="shared" si="46"/>
        <v>0</v>
      </c>
      <c r="BM44" s="2">
        <f t="shared" si="46"/>
        <v>0</v>
      </c>
      <c r="BN44" s="2">
        <f t="shared" si="46"/>
        <v>0</v>
      </c>
      <c r="BO44" s="2">
        <f t="shared" si="46"/>
        <v>0</v>
      </c>
      <c r="BP44" s="26">
        <f t="shared" si="42"/>
        <v>4</v>
      </c>
    </row>
    <row r="45" spans="1:68">
      <c r="A45" s="17">
        <f t="shared" si="36"/>
        <v>42</v>
      </c>
      <c r="B45" s="16" t="s">
        <v>226</v>
      </c>
      <c r="C45" s="19" t="s">
        <v>227</v>
      </c>
      <c r="D45" s="15" t="s">
        <v>146</v>
      </c>
      <c r="E45" s="4" t="s">
        <v>13</v>
      </c>
      <c r="F45" s="5" t="s">
        <v>14</v>
      </c>
      <c r="G45" s="2" t="s">
        <v>134</v>
      </c>
      <c r="H45" s="2" t="s">
        <v>134</v>
      </c>
      <c r="I45" s="2" t="s">
        <v>134</v>
      </c>
      <c r="J45" s="2" t="s">
        <v>134</v>
      </c>
      <c r="K45" s="2" t="s">
        <v>134</v>
      </c>
      <c r="L45" s="2" t="s">
        <v>134</v>
      </c>
      <c r="M45" s="2" t="s">
        <v>134</v>
      </c>
      <c r="N45" s="2">
        <f t="shared" si="15"/>
        <v>0</v>
      </c>
      <c r="O45" s="2">
        <f t="shared" si="16"/>
        <v>0</v>
      </c>
      <c r="P45" s="2">
        <f t="shared" si="37"/>
        <v>0</v>
      </c>
      <c r="Q45" s="2">
        <f t="shared" si="17"/>
        <v>0</v>
      </c>
      <c r="R45" s="2">
        <f t="shared" si="18"/>
        <v>0</v>
      </c>
      <c r="S45" s="2" t="s">
        <v>134</v>
      </c>
      <c r="T45" s="2" t="s">
        <v>134</v>
      </c>
      <c r="U45" s="2" t="s">
        <v>134</v>
      </c>
      <c r="V45" s="2" t="s">
        <v>134</v>
      </c>
      <c r="W45" s="2" t="s">
        <v>7</v>
      </c>
      <c r="X45" s="2" t="s">
        <v>7</v>
      </c>
      <c r="Y45" s="2" t="s">
        <v>134</v>
      </c>
      <c r="Z45" s="2">
        <f t="shared" si="19"/>
        <v>2</v>
      </c>
      <c r="AA45" s="2">
        <f t="shared" si="20"/>
        <v>0</v>
      </c>
      <c r="AB45" s="2">
        <f t="shared" si="38"/>
        <v>0</v>
      </c>
      <c r="AC45" s="2">
        <f t="shared" si="21"/>
        <v>0</v>
      </c>
      <c r="AD45" s="2">
        <f t="shared" si="22"/>
        <v>0</v>
      </c>
      <c r="AE45" s="2" t="s">
        <v>134</v>
      </c>
      <c r="AF45" s="2" t="s">
        <v>134</v>
      </c>
      <c r="AG45" s="2" t="s">
        <v>134</v>
      </c>
      <c r="AH45" s="2" t="s">
        <v>134</v>
      </c>
      <c r="AI45" s="2" t="s">
        <v>134</v>
      </c>
      <c r="AJ45" s="2" t="s">
        <v>134</v>
      </c>
      <c r="AK45" s="2" t="s">
        <v>134</v>
      </c>
      <c r="AL45" s="2">
        <f t="shared" si="23"/>
        <v>0</v>
      </c>
      <c r="AM45" s="2">
        <f t="shared" si="24"/>
        <v>0</v>
      </c>
      <c r="AN45" s="2">
        <f t="shared" si="39"/>
        <v>0</v>
      </c>
      <c r="AO45" s="2">
        <f t="shared" si="25"/>
        <v>0</v>
      </c>
      <c r="AP45" s="2">
        <f t="shared" si="26"/>
        <v>0</v>
      </c>
      <c r="AQ45" s="2" t="s">
        <v>134</v>
      </c>
      <c r="AR45" s="2" t="s">
        <v>134</v>
      </c>
      <c r="AS45" s="2" t="s">
        <v>7</v>
      </c>
      <c r="AT45" s="2" t="s">
        <v>134</v>
      </c>
      <c r="AU45" s="2" t="s">
        <v>134</v>
      </c>
      <c r="AV45" s="2" t="s">
        <v>134</v>
      </c>
      <c r="AW45" s="2" t="s">
        <v>134</v>
      </c>
      <c r="AX45" s="2">
        <f t="shared" si="27"/>
        <v>1</v>
      </c>
      <c r="AY45" s="2">
        <f t="shared" si="28"/>
        <v>0</v>
      </c>
      <c r="AZ45" s="2">
        <f t="shared" si="40"/>
        <v>0</v>
      </c>
      <c r="BA45" s="2">
        <f t="shared" si="29"/>
        <v>0</v>
      </c>
      <c r="BB45" s="2">
        <f t="shared" si="30"/>
        <v>0</v>
      </c>
      <c r="BC45" s="2" t="s">
        <v>7</v>
      </c>
      <c r="BD45" s="2" t="s">
        <v>134</v>
      </c>
      <c r="BE45" s="2" t="s">
        <v>134</v>
      </c>
      <c r="BF45" s="2">
        <f t="shared" si="31"/>
        <v>1</v>
      </c>
      <c r="BG45" s="2">
        <f t="shared" si="32"/>
        <v>0</v>
      </c>
      <c r="BH45" s="2">
        <f t="shared" si="41"/>
        <v>0</v>
      </c>
      <c r="BI45" s="2">
        <f t="shared" si="33"/>
        <v>0</v>
      </c>
      <c r="BJ45" s="2">
        <f t="shared" si="34"/>
        <v>0</v>
      </c>
      <c r="BK45" s="2">
        <f t="shared" si="46"/>
        <v>4</v>
      </c>
      <c r="BL45" s="2">
        <f t="shared" si="46"/>
        <v>0</v>
      </c>
      <c r="BM45" s="2">
        <f t="shared" si="46"/>
        <v>0</v>
      </c>
      <c r="BN45" s="2">
        <f t="shared" si="46"/>
        <v>0</v>
      </c>
      <c r="BO45" s="2">
        <f t="shared" si="46"/>
        <v>0</v>
      </c>
      <c r="BP45" s="26">
        <f t="shared" si="42"/>
        <v>4</v>
      </c>
    </row>
    <row r="46" spans="1:68">
      <c r="A46" s="17">
        <f t="shared" si="36"/>
        <v>43</v>
      </c>
      <c r="B46" s="16" t="s">
        <v>228</v>
      </c>
      <c r="C46" s="19" t="s">
        <v>229</v>
      </c>
      <c r="D46" s="15" t="s">
        <v>146</v>
      </c>
      <c r="E46" s="4" t="s">
        <v>13</v>
      </c>
      <c r="F46" s="5" t="s">
        <v>14</v>
      </c>
      <c r="G46" s="2" t="s">
        <v>134</v>
      </c>
      <c r="H46" s="2" t="s">
        <v>134</v>
      </c>
      <c r="I46" s="2" t="s">
        <v>134</v>
      </c>
      <c r="J46" s="2" t="s">
        <v>134</v>
      </c>
      <c r="K46" s="2" t="s">
        <v>134</v>
      </c>
      <c r="L46" s="2" t="s">
        <v>134</v>
      </c>
      <c r="M46" s="2" t="s">
        <v>7</v>
      </c>
      <c r="N46" s="2">
        <f t="shared" si="15"/>
        <v>1</v>
      </c>
      <c r="O46" s="2">
        <f t="shared" si="16"/>
        <v>0</v>
      </c>
      <c r="P46" s="2">
        <f t="shared" si="37"/>
        <v>0</v>
      </c>
      <c r="Q46" s="2">
        <f t="shared" si="17"/>
        <v>0</v>
      </c>
      <c r="R46" s="2">
        <f t="shared" si="18"/>
        <v>0</v>
      </c>
      <c r="S46" s="2" t="s">
        <v>134</v>
      </c>
      <c r="T46" s="2" t="s">
        <v>134</v>
      </c>
      <c r="U46" s="2" t="s">
        <v>134</v>
      </c>
      <c r="V46" s="2" t="s">
        <v>134</v>
      </c>
      <c r="W46" s="2" t="s">
        <v>134</v>
      </c>
      <c r="X46" s="2" t="s">
        <v>134</v>
      </c>
      <c r="Y46" s="2" t="s">
        <v>134</v>
      </c>
      <c r="Z46" s="2">
        <f t="shared" si="19"/>
        <v>0</v>
      </c>
      <c r="AA46" s="2">
        <f t="shared" si="20"/>
        <v>0</v>
      </c>
      <c r="AB46" s="2">
        <f t="shared" si="38"/>
        <v>0</v>
      </c>
      <c r="AC46" s="2">
        <f t="shared" si="21"/>
        <v>0</v>
      </c>
      <c r="AD46" s="2">
        <f t="shared" si="22"/>
        <v>0</v>
      </c>
      <c r="AE46" s="2" t="s">
        <v>134</v>
      </c>
      <c r="AF46" s="2" t="s">
        <v>7</v>
      </c>
      <c r="AG46" s="2" t="s">
        <v>134</v>
      </c>
      <c r="AH46" s="2" t="s">
        <v>134</v>
      </c>
      <c r="AI46" s="2" t="s">
        <v>134</v>
      </c>
      <c r="AJ46" s="2" t="s">
        <v>134</v>
      </c>
      <c r="AK46" s="2" t="s">
        <v>134</v>
      </c>
      <c r="AL46" s="2">
        <f t="shared" si="23"/>
        <v>1</v>
      </c>
      <c r="AM46" s="2">
        <f t="shared" si="24"/>
        <v>0</v>
      </c>
      <c r="AN46" s="2">
        <f t="shared" si="39"/>
        <v>0</v>
      </c>
      <c r="AO46" s="2">
        <f t="shared" si="25"/>
        <v>0</v>
      </c>
      <c r="AP46" s="2">
        <f t="shared" si="26"/>
        <v>0</v>
      </c>
      <c r="AQ46" s="2" t="s">
        <v>134</v>
      </c>
      <c r="AR46" s="2" t="s">
        <v>134</v>
      </c>
      <c r="AS46" s="2" t="s">
        <v>134</v>
      </c>
      <c r="AT46" s="2" t="s">
        <v>134</v>
      </c>
      <c r="AU46" s="2" t="s">
        <v>7</v>
      </c>
      <c r="AV46" s="2" t="s">
        <v>134</v>
      </c>
      <c r="AW46" s="2" t="s">
        <v>134</v>
      </c>
      <c r="AX46" s="2">
        <f t="shared" si="27"/>
        <v>1</v>
      </c>
      <c r="AY46" s="2">
        <f t="shared" si="28"/>
        <v>0</v>
      </c>
      <c r="AZ46" s="2">
        <f t="shared" si="40"/>
        <v>0</v>
      </c>
      <c r="BA46" s="2">
        <f t="shared" si="29"/>
        <v>0</v>
      </c>
      <c r="BB46" s="2">
        <f t="shared" si="30"/>
        <v>0</v>
      </c>
      <c r="BC46" s="2" t="s">
        <v>134</v>
      </c>
      <c r="BD46" s="2" t="s">
        <v>134</v>
      </c>
      <c r="BE46" s="2" t="s">
        <v>134</v>
      </c>
      <c r="BF46" s="2">
        <f t="shared" si="31"/>
        <v>0</v>
      </c>
      <c r="BG46" s="2">
        <f t="shared" si="32"/>
        <v>0</v>
      </c>
      <c r="BH46" s="2">
        <f t="shared" si="41"/>
        <v>0</v>
      </c>
      <c r="BI46" s="2">
        <f t="shared" si="33"/>
        <v>0</v>
      </c>
      <c r="BJ46" s="2">
        <f t="shared" si="34"/>
        <v>0</v>
      </c>
      <c r="BK46" s="2">
        <f t="shared" si="46"/>
        <v>3</v>
      </c>
      <c r="BL46" s="2">
        <f t="shared" si="46"/>
        <v>0</v>
      </c>
      <c r="BM46" s="2">
        <f t="shared" si="46"/>
        <v>0</v>
      </c>
      <c r="BN46" s="2">
        <f t="shared" si="46"/>
        <v>0</v>
      </c>
      <c r="BO46" s="2">
        <f t="shared" si="46"/>
        <v>0</v>
      </c>
      <c r="BP46" s="26">
        <f t="shared" si="42"/>
        <v>3</v>
      </c>
    </row>
    <row r="47" spans="1:68">
      <c r="A47" s="17">
        <f t="shared" si="36"/>
        <v>44</v>
      </c>
      <c r="B47" s="16" t="s">
        <v>230</v>
      </c>
      <c r="C47" s="19" t="s">
        <v>231</v>
      </c>
      <c r="D47" s="15" t="s">
        <v>146</v>
      </c>
      <c r="E47" s="4" t="s">
        <v>13</v>
      </c>
      <c r="F47" s="5" t="s">
        <v>14</v>
      </c>
      <c r="G47" s="2" t="s">
        <v>134</v>
      </c>
      <c r="H47" s="2" t="s">
        <v>134</v>
      </c>
      <c r="I47" s="2" t="s">
        <v>134</v>
      </c>
      <c r="J47" s="2" t="s">
        <v>134</v>
      </c>
      <c r="K47" s="2" t="s">
        <v>134</v>
      </c>
      <c r="L47" s="2" t="s">
        <v>134</v>
      </c>
      <c r="M47" s="2" t="s">
        <v>7</v>
      </c>
      <c r="N47" s="2">
        <f t="shared" si="15"/>
        <v>1</v>
      </c>
      <c r="O47" s="2">
        <f t="shared" si="16"/>
        <v>0</v>
      </c>
      <c r="P47" s="2">
        <f t="shared" si="37"/>
        <v>0</v>
      </c>
      <c r="Q47" s="2">
        <f t="shared" si="17"/>
        <v>0</v>
      </c>
      <c r="R47" s="2">
        <f t="shared" si="18"/>
        <v>0</v>
      </c>
      <c r="S47" s="2" t="s">
        <v>134</v>
      </c>
      <c r="T47" s="2" t="s">
        <v>134</v>
      </c>
      <c r="U47" s="2" t="s">
        <v>134</v>
      </c>
      <c r="V47" s="2" t="s">
        <v>134</v>
      </c>
      <c r="W47" s="2" t="s">
        <v>134</v>
      </c>
      <c r="X47" s="2" t="s">
        <v>134</v>
      </c>
      <c r="Y47" s="2" t="s">
        <v>134</v>
      </c>
      <c r="Z47" s="2">
        <f t="shared" si="19"/>
        <v>0</v>
      </c>
      <c r="AA47" s="2">
        <f t="shared" si="20"/>
        <v>0</v>
      </c>
      <c r="AB47" s="2">
        <f t="shared" si="38"/>
        <v>0</v>
      </c>
      <c r="AC47" s="2">
        <f t="shared" si="21"/>
        <v>0</v>
      </c>
      <c r="AD47" s="2">
        <f t="shared" si="22"/>
        <v>0</v>
      </c>
      <c r="AE47" s="2" t="s">
        <v>134</v>
      </c>
      <c r="AF47" s="2" t="s">
        <v>134</v>
      </c>
      <c r="AG47" s="2" t="s">
        <v>134</v>
      </c>
      <c r="AH47" s="2" t="s">
        <v>134</v>
      </c>
      <c r="AI47" s="2" t="s">
        <v>7</v>
      </c>
      <c r="AJ47" s="2" t="s">
        <v>134</v>
      </c>
      <c r="AK47" s="2" t="s">
        <v>134</v>
      </c>
      <c r="AL47" s="2">
        <f t="shared" si="23"/>
        <v>1</v>
      </c>
      <c r="AM47" s="2">
        <f t="shared" si="24"/>
        <v>0</v>
      </c>
      <c r="AN47" s="2">
        <f t="shared" si="39"/>
        <v>0</v>
      </c>
      <c r="AO47" s="2">
        <f t="shared" si="25"/>
        <v>0</v>
      </c>
      <c r="AP47" s="2">
        <f t="shared" si="26"/>
        <v>0</v>
      </c>
      <c r="AQ47" s="2" t="s">
        <v>134</v>
      </c>
      <c r="AR47" s="2" t="s">
        <v>134</v>
      </c>
      <c r="AS47" s="2" t="s">
        <v>134</v>
      </c>
      <c r="AT47" s="2" t="s">
        <v>134</v>
      </c>
      <c r="AU47" s="2" t="s">
        <v>134</v>
      </c>
      <c r="AV47" s="2" t="s">
        <v>8</v>
      </c>
      <c r="AW47" s="2" t="s">
        <v>134</v>
      </c>
      <c r="AX47" s="2">
        <f t="shared" si="27"/>
        <v>0</v>
      </c>
      <c r="AY47" s="2">
        <f t="shared" si="28"/>
        <v>1</v>
      </c>
      <c r="AZ47" s="2">
        <f t="shared" si="40"/>
        <v>0</v>
      </c>
      <c r="BA47" s="2">
        <f t="shared" si="29"/>
        <v>0</v>
      </c>
      <c r="BB47" s="2">
        <f t="shared" si="30"/>
        <v>0</v>
      </c>
      <c r="BC47" s="2" t="s">
        <v>134</v>
      </c>
      <c r="BD47" s="2" t="s">
        <v>134</v>
      </c>
      <c r="BE47" s="2" t="s">
        <v>134</v>
      </c>
      <c r="BF47" s="2">
        <f t="shared" si="31"/>
        <v>0</v>
      </c>
      <c r="BG47" s="2">
        <f t="shared" si="32"/>
        <v>0</v>
      </c>
      <c r="BH47" s="2">
        <f t="shared" si="41"/>
        <v>0</v>
      </c>
      <c r="BI47" s="2">
        <f t="shared" si="33"/>
        <v>0</v>
      </c>
      <c r="BJ47" s="2">
        <f t="shared" si="34"/>
        <v>0</v>
      </c>
      <c r="BK47" s="2">
        <f t="shared" si="46"/>
        <v>2</v>
      </c>
      <c r="BL47" s="2">
        <f t="shared" si="46"/>
        <v>1</v>
      </c>
      <c r="BM47" s="2">
        <f t="shared" si="46"/>
        <v>0</v>
      </c>
      <c r="BN47" s="2">
        <f t="shared" si="46"/>
        <v>0</v>
      </c>
      <c r="BO47" s="2">
        <f t="shared" si="46"/>
        <v>0</v>
      </c>
      <c r="BP47" s="26">
        <f t="shared" si="42"/>
        <v>3</v>
      </c>
    </row>
    <row r="48" spans="1:68">
      <c r="A48" s="17">
        <f t="shared" si="36"/>
        <v>45</v>
      </c>
      <c r="B48" s="16" t="s">
        <v>232</v>
      </c>
      <c r="C48" s="19" t="s">
        <v>233</v>
      </c>
      <c r="D48" s="15" t="s">
        <v>146</v>
      </c>
      <c r="E48" s="4" t="s">
        <v>13</v>
      </c>
      <c r="F48" s="5" t="s">
        <v>14</v>
      </c>
      <c r="G48" s="2" t="s">
        <v>134</v>
      </c>
      <c r="H48" s="2" t="s">
        <v>134</v>
      </c>
      <c r="I48" s="2" t="s">
        <v>134</v>
      </c>
      <c r="J48" s="2" t="s">
        <v>7</v>
      </c>
      <c r="K48" s="2" t="s">
        <v>134</v>
      </c>
      <c r="L48" s="2" t="s">
        <v>134</v>
      </c>
      <c r="M48" s="2" t="s">
        <v>134</v>
      </c>
      <c r="N48" s="2">
        <f t="shared" si="15"/>
        <v>1</v>
      </c>
      <c r="O48" s="2">
        <f t="shared" si="16"/>
        <v>0</v>
      </c>
      <c r="P48" s="2">
        <f t="shared" si="37"/>
        <v>0</v>
      </c>
      <c r="Q48" s="2">
        <f t="shared" si="17"/>
        <v>0</v>
      </c>
      <c r="R48" s="2">
        <f t="shared" si="18"/>
        <v>0</v>
      </c>
      <c r="S48" s="2" t="s">
        <v>134</v>
      </c>
      <c r="T48" s="2" t="s">
        <v>134</v>
      </c>
      <c r="U48" s="2" t="s">
        <v>134</v>
      </c>
      <c r="V48" s="2" t="s">
        <v>134</v>
      </c>
      <c r="W48" s="2" t="s">
        <v>134</v>
      </c>
      <c r="X48" s="2" t="s">
        <v>134</v>
      </c>
      <c r="Y48" s="2" t="s">
        <v>134</v>
      </c>
      <c r="Z48" s="2">
        <f t="shared" si="19"/>
        <v>0</v>
      </c>
      <c r="AA48" s="2">
        <f t="shared" si="20"/>
        <v>0</v>
      </c>
      <c r="AB48" s="2">
        <f t="shared" si="38"/>
        <v>0</v>
      </c>
      <c r="AC48" s="2">
        <f t="shared" si="21"/>
        <v>0</v>
      </c>
      <c r="AD48" s="2">
        <f t="shared" si="22"/>
        <v>0</v>
      </c>
      <c r="AE48" s="2" t="s">
        <v>134</v>
      </c>
      <c r="AF48" s="2" t="s">
        <v>7</v>
      </c>
      <c r="AG48" s="2" t="s">
        <v>134</v>
      </c>
      <c r="AH48" s="2" t="s">
        <v>134</v>
      </c>
      <c r="AI48" s="2" t="s">
        <v>134</v>
      </c>
      <c r="AJ48" s="2" t="s">
        <v>7</v>
      </c>
      <c r="AK48" s="2" t="s">
        <v>134</v>
      </c>
      <c r="AL48" s="2">
        <f t="shared" si="23"/>
        <v>2</v>
      </c>
      <c r="AM48" s="2">
        <f t="shared" si="24"/>
        <v>0</v>
      </c>
      <c r="AN48" s="2">
        <f t="shared" si="39"/>
        <v>0</v>
      </c>
      <c r="AO48" s="2">
        <f t="shared" si="25"/>
        <v>0</v>
      </c>
      <c r="AP48" s="2">
        <f t="shared" si="26"/>
        <v>0</v>
      </c>
      <c r="AQ48" s="2" t="s">
        <v>134</v>
      </c>
      <c r="AR48" s="2" t="s">
        <v>134</v>
      </c>
      <c r="AS48" s="2" t="s">
        <v>134</v>
      </c>
      <c r="AT48" s="2" t="s">
        <v>134</v>
      </c>
      <c r="AU48" s="2" t="s">
        <v>134</v>
      </c>
      <c r="AV48" s="2" t="s">
        <v>7</v>
      </c>
      <c r="AW48" s="2" t="s">
        <v>134</v>
      </c>
      <c r="AX48" s="2">
        <f t="shared" si="27"/>
        <v>1</v>
      </c>
      <c r="AY48" s="2">
        <f t="shared" si="28"/>
        <v>0</v>
      </c>
      <c r="AZ48" s="2">
        <f t="shared" si="40"/>
        <v>0</v>
      </c>
      <c r="BA48" s="2">
        <f t="shared" si="29"/>
        <v>0</v>
      </c>
      <c r="BB48" s="2">
        <f t="shared" si="30"/>
        <v>0</v>
      </c>
      <c r="BC48" s="2" t="s">
        <v>134</v>
      </c>
      <c r="BD48" s="2" t="s">
        <v>134</v>
      </c>
      <c r="BE48" s="2" t="s">
        <v>134</v>
      </c>
      <c r="BF48" s="2">
        <f t="shared" si="31"/>
        <v>0</v>
      </c>
      <c r="BG48" s="2">
        <f t="shared" si="32"/>
        <v>0</v>
      </c>
      <c r="BH48" s="2">
        <f t="shared" si="41"/>
        <v>0</v>
      </c>
      <c r="BI48" s="2">
        <f t="shared" si="33"/>
        <v>0</v>
      </c>
      <c r="BJ48" s="2">
        <f t="shared" si="34"/>
        <v>0</v>
      </c>
      <c r="BK48" s="2">
        <f t="shared" si="46"/>
        <v>4</v>
      </c>
      <c r="BL48" s="2">
        <f t="shared" si="46"/>
        <v>0</v>
      </c>
      <c r="BM48" s="2">
        <f t="shared" si="46"/>
        <v>0</v>
      </c>
      <c r="BN48" s="2">
        <f t="shared" si="46"/>
        <v>0</v>
      </c>
      <c r="BO48" s="2">
        <f t="shared" si="46"/>
        <v>0</v>
      </c>
      <c r="BP48" s="26">
        <f t="shared" si="42"/>
        <v>4</v>
      </c>
    </row>
    <row r="49" spans="1:68">
      <c r="A49" s="17">
        <f t="shared" si="36"/>
        <v>46</v>
      </c>
      <c r="B49" s="16" t="s">
        <v>234</v>
      </c>
      <c r="C49" s="19" t="s">
        <v>235</v>
      </c>
      <c r="D49" s="15" t="s">
        <v>146</v>
      </c>
      <c r="E49" s="4" t="s">
        <v>13</v>
      </c>
      <c r="F49" s="5" t="s">
        <v>14</v>
      </c>
      <c r="G49" s="2" t="s">
        <v>134</v>
      </c>
      <c r="H49" s="2" t="s">
        <v>134</v>
      </c>
      <c r="I49" s="2" t="s">
        <v>134</v>
      </c>
      <c r="J49" s="2" t="s">
        <v>134</v>
      </c>
      <c r="K49" s="2" t="s">
        <v>134</v>
      </c>
      <c r="L49" s="2" t="s">
        <v>134</v>
      </c>
      <c r="M49" s="2" t="s">
        <v>134</v>
      </c>
      <c r="N49" s="2">
        <f t="shared" si="15"/>
        <v>0</v>
      </c>
      <c r="O49" s="2">
        <f t="shared" si="16"/>
        <v>0</v>
      </c>
      <c r="P49" s="2">
        <f t="shared" si="37"/>
        <v>0</v>
      </c>
      <c r="Q49" s="2">
        <f t="shared" si="17"/>
        <v>0</v>
      </c>
      <c r="R49" s="2">
        <f t="shared" si="18"/>
        <v>0</v>
      </c>
      <c r="S49" s="2" t="s">
        <v>7</v>
      </c>
      <c r="T49" s="2" t="s">
        <v>134</v>
      </c>
      <c r="U49" s="2" t="s">
        <v>134</v>
      </c>
      <c r="V49" s="2" t="s">
        <v>134</v>
      </c>
      <c r="W49" s="2" t="s">
        <v>134</v>
      </c>
      <c r="X49" s="2" t="s">
        <v>134</v>
      </c>
      <c r="Y49" s="2" t="s">
        <v>7</v>
      </c>
      <c r="Z49" s="2">
        <f t="shared" si="19"/>
        <v>2</v>
      </c>
      <c r="AA49" s="2">
        <f t="shared" si="20"/>
        <v>0</v>
      </c>
      <c r="AB49" s="2">
        <f t="shared" si="38"/>
        <v>0</v>
      </c>
      <c r="AC49" s="2">
        <f t="shared" si="21"/>
        <v>0</v>
      </c>
      <c r="AD49" s="2">
        <f t="shared" si="22"/>
        <v>0</v>
      </c>
      <c r="AE49" s="2" t="s">
        <v>7</v>
      </c>
      <c r="AF49" s="2" t="s">
        <v>134</v>
      </c>
      <c r="AG49" s="2" t="s">
        <v>134</v>
      </c>
      <c r="AH49" s="2" t="s">
        <v>134</v>
      </c>
      <c r="AI49" s="2" t="s">
        <v>134</v>
      </c>
      <c r="AJ49" s="2" t="s">
        <v>134</v>
      </c>
      <c r="AK49" s="2" t="s">
        <v>134</v>
      </c>
      <c r="AL49" s="2">
        <f t="shared" si="23"/>
        <v>1</v>
      </c>
      <c r="AM49" s="2">
        <f t="shared" si="24"/>
        <v>0</v>
      </c>
      <c r="AN49" s="2">
        <f t="shared" si="39"/>
        <v>0</v>
      </c>
      <c r="AO49" s="2">
        <f t="shared" si="25"/>
        <v>0</v>
      </c>
      <c r="AP49" s="2">
        <f t="shared" si="26"/>
        <v>0</v>
      </c>
      <c r="AQ49" s="2" t="s">
        <v>134</v>
      </c>
      <c r="AR49" s="2" t="s">
        <v>134</v>
      </c>
      <c r="AS49" s="2" t="s">
        <v>134</v>
      </c>
      <c r="AT49" s="2" t="s">
        <v>134</v>
      </c>
      <c r="AU49" s="2" t="s">
        <v>134</v>
      </c>
      <c r="AV49" s="2" t="s">
        <v>134</v>
      </c>
      <c r="AW49" s="2" t="s">
        <v>7</v>
      </c>
      <c r="AX49" s="2">
        <f t="shared" si="27"/>
        <v>1</v>
      </c>
      <c r="AY49" s="2">
        <f t="shared" si="28"/>
        <v>0</v>
      </c>
      <c r="AZ49" s="2">
        <f t="shared" si="40"/>
        <v>0</v>
      </c>
      <c r="BA49" s="2">
        <f t="shared" si="29"/>
        <v>0</v>
      </c>
      <c r="BB49" s="2">
        <f t="shared" si="30"/>
        <v>0</v>
      </c>
      <c r="BC49" s="2" t="s">
        <v>134</v>
      </c>
      <c r="BD49" s="2" t="s">
        <v>134</v>
      </c>
      <c r="BE49" s="2" t="s">
        <v>134</v>
      </c>
      <c r="BF49" s="2">
        <f t="shared" si="31"/>
        <v>0</v>
      </c>
      <c r="BG49" s="2">
        <f t="shared" si="32"/>
        <v>0</v>
      </c>
      <c r="BH49" s="2">
        <f t="shared" si="41"/>
        <v>0</v>
      </c>
      <c r="BI49" s="2">
        <f t="shared" si="33"/>
        <v>0</v>
      </c>
      <c r="BJ49" s="2">
        <f t="shared" si="34"/>
        <v>0</v>
      </c>
      <c r="BK49" s="2">
        <f t="shared" si="46"/>
        <v>4</v>
      </c>
      <c r="BL49" s="2">
        <f t="shared" si="46"/>
        <v>0</v>
      </c>
      <c r="BM49" s="2">
        <f t="shared" si="46"/>
        <v>0</v>
      </c>
      <c r="BN49" s="2">
        <f t="shared" si="46"/>
        <v>0</v>
      </c>
      <c r="BO49" s="2">
        <f t="shared" si="46"/>
        <v>0</v>
      </c>
      <c r="BP49" s="26">
        <f t="shared" si="42"/>
        <v>4</v>
      </c>
    </row>
    <row r="50" spans="1:68">
      <c r="A50" s="17">
        <f t="shared" si="36"/>
        <v>47</v>
      </c>
      <c r="B50" s="16" t="s">
        <v>236</v>
      </c>
      <c r="C50" s="19" t="s">
        <v>237</v>
      </c>
      <c r="D50" s="15" t="s">
        <v>146</v>
      </c>
      <c r="E50" s="4" t="s">
        <v>13</v>
      </c>
      <c r="F50" s="5" t="s">
        <v>14</v>
      </c>
      <c r="G50" s="2" t="s">
        <v>134</v>
      </c>
      <c r="H50" s="2" t="s">
        <v>134</v>
      </c>
      <c r="I50" s="2" t="s">
        <v>7</v>
      </c>
      <c r="J50" s="2" t="s">
        <v>134</v>
      </c>
      <c r="K50" s="2" t="s">
        <v>134</v>
      </c>
      <c r="L50" s="2" t="s">
        <v>134</v>
      </c>
      <c r="M50" s="2" t="s">
        <v>134</v>
      </c>
      <c r="N50" s="2">
        <f t="shared" si="15"/>
        <v>1</v>
      </c>
      <c r="O50" s="2">
        <f t="shared" si="16"/>
        <v>0</v>
      </c>
      <c r="P50" s="2">
        <f t="shared" si="37"/>
        <v>0</v>
      </c>
      <c r="Q50" s="2">
        <f t="shared" si="17"/>
        <v>0</v>
      </c>
      <c r="R50" s="2">
        <f t="shared" si="18"/>
        <v>0</v>
      </c>
      <c r="S50" s="2" t="s">
        <v>134</v>
      </c>
      <c r="T50" s="2" t="s">
        <v>134</v>
      </c>
      <c r="U50" s="2" t="s">
        <v>134</v>
      </c>
      <c r="V50" s="2" t="s">
        <v>134</v>
      </c>
      <c r="W50" s="2" t="s">
        <v>7</v>
      </c>
      <c r="X50" s="2" t="s">
        <v>134</v>
      </c>
      <c r="Y50" s="2" t="s">
        <v>134</v>
      </c>
      <c r="Z50" s="2">
        <f t="shared" si="19"/>
        <v>1</v>
      </c>
      <c r="AA50" s="2">
        <f t="shared" si="20"/>
        <v>0</v>
      </c>
      <c r="AB50" s="2">
        <f t="shared" si="38"/>
        <v>0</v>
      </c>
      <c r="AC50" s="2">
        <f t="shared" si="21"/>
        <v>0</v>
      </c>
      <c r="AD50" s="2">
        <f t="shared" si="22"/>
        <v>0</v>
      </c>
      <c r="AE50" s="2" t="s">
        <v>134</v>
      </c>
      <c r="AF50" s="2" t="s">
        <v>134</v>
      </c>
      <c r="AG50" s="2" t="s">
        <v>134</v>
      </c>
      <c r="AH50" s="2" t="s">
        <v>134</v>
      </c>
      <c r="AI50" s="2" t="s">
        <v>134</v>
      </c>
      <c r="AJ50" s="2" t="s">
        <v>7</v>
      </c>
      <c r="AK50" s="2" t="s">
        <v>7</v>
      </c>
      <c r="AL50" s="2">
        <f t="shared" si="23"/>
        <v>2</v>
      </c>
      <c r="AM50" s="2">
        <f t="shared" si="24"/>
        <v>0</v>
      </c>
      <c r="AN50" s="2">
        <f t="shared" si="39"/>
        <v>0</v>
      </c>
      <c r="AO50" s="2">
        <f t="shared" si="25"/>
        <v>0</v>
      </c>
      <c r="AP50" s="2">
        <f t="shared" si="26"/>
        <v>0</v>
      </c>
      <c r="AQ50" s="2" t="s">
        <v>6</v>
      </c>
      <c r="AR50" s="2" t="s">
        <v>134</v>
      </c>
      <c r="AS50" s="2" t="s">
        <v>134</v>
      </c>
      <c r="AT50" s="2" t="s">
        <v>134</v>
      </c>
      <c r="AU50" s="2" t="s">
        <v>134</v>
      </c>
      <c r="AV50" s="2" t="s">
        <v>134</v>
      </c>
      <c r="AW50" s="2" t="s">
        <v>134</v>
      </c>
      <c r="AX50" s="2">
        <f t="shared" si="27"/>
        <v>0</v>
      </c>
      <c r="AY50" s="2">
        <f t="shared" si="28"/>
        <v>0</v>
      </c>
      <c r="AZ50" s="2">
        <f t="shared" si="40"/>
        <v>0</v>
      </c>
      <c r="BA50" s="2">
        <f t="shared" si="29"/>
        <v>0</v>
      </c>
      <c r="BB50" s="2">
        <f t="shared" si="30"/>
        <v>1</v>
      </c>
      <c r="BC50" s="2" t="s">
        <v>134</v>
      </c>
      <c r="BD50" s="2" t="s">
        <v>134</v>
      </c>
      <c r="BE50" s="2" t="s">
        <v>134</v>
      </c>
      <c r="BF50" s="2">
        <f t="shared" si="31"/>
        <v>0</v>
      </c>
      <c r="BG50" s="2">
        <f t="shared" si="32"/>
        <v>0</v>
      </c>
      <c r="BH50" s="2">
        <f t="shared" si="41"/>
        <v>0</v>
      </c>
      <c r="BI50" s="2">
        <f t="shared" si="33"/>
        <v>0</v>
      </c>
      <c r="BJ50" s="2">
        <f t="shared" si="34"/>
        <v>0</v>
      </c>
      <c r="BK50" s="2">
        <f t="shared" ref="BK50:BO63" si="47">SUMIFS($A50:$BJ50,$A$3:$BJ$3,BK$3)</f>
        <v>4</v>
      </c>
      <c r="BL50" s="2">
        <f t="shared" si="47"/>
        <v>0</v>
      </c>
      <c r="BM50" s="2">
        <f t="shared" si="47"/>
        <v>0</v>
      </c>
      <c r="BN50" s="2">
        <f t="shared" si="47"/>
        <v>0</v>
      </c>
      <c r="BO50" s="2">
        <f t="shared" si="47"/>
        <v>1</v>
      </c>
      <c r="BP50" s="26">
        <f t="shared" si="42"/>
        <v>5</v>
      </c>
    </row>
    <row r="51" spans="1:68">
      <c r="A51" s="17">
        <f t="shared" si="36"/>
        <v>48</v>
      </c>
      <c r="B51" s="16" t="s">
        <v>238</v>
      </c>
      <c r="C51" s="19" t="s">
        <v>239</v>
      </c>
      <c r="D51" s="15" t="s">
        <v>146</v>
      </c>
      <c r="E51" s="4" t="s">
        <v>13</v>
      </c>
      <c r="F51" s="5" t="s">
        <v>14</v>
      </c>
      <c r="G51" s="2" t="s">
        <v>134</v>
      </c>
      <c r="H51" s="2" t="s">
        <v>134</v>
      </c>
      <c r="I51" s="2" t="s">
        <v>134</v>
      </c>
      <c r="J51" s="2" t="s">
        <v>134</v>
      </c>
      <c r="K51" s="2" t="s">
        <v>134</v>
      </c>
      <c r="L51" s="2" t="s">
        <v>134</v>
      </c>
      <c r="M51" s="2" t="s">
        <v>134</v>
      </c>
      <c r="N51" s="2">
        <f t="shared" si="15"/>
        <v>0</v>
      </c>
      <c r="O51" s="2">
        <f t="shared" si="16"/>
        <v>0</v>
      </c>
      <c r="P51" s="2">
        <f t="shared" si="37"/>
        <v>0</v>
      </c>
      <c r="Q51" s="2">
        <f t="shared" si="17"/>
        <v>0</v>
      </c>
      <c r="R51" s="2">
        <f t="shared" si="18"/>
        <v>0</v>
      </c>
      <c r="S51" s="2" t="s">
        <v>134</v>
      </c>
      <c r="T51" s="2" t="s">
        <v>7</v>
      </c>
      <c r="U51" s="2" t="s">
        <v>7</v>
      </c>
      <c r="V51" s="2" t="s">
        <v>7</v>
      </c>
      <c r="W51" s="2" t="s">
        <v>134</v>
      </c>
      <c r="X51" s="2" t="s">
        <v>134</v>
      </c>
      <c r="Y51" s="2" t="s">
        <v>134</v>
      </c>
      <c r="Z51" s="2">
        <f t="shared" si="19"/>
        <v>3</v>
      </c>
      <c r="AA51" s="2">
        <f t="shared" si="20"/>
        <v>0</v>
      </c>
      <c r="AB51" s="2">
        <f t="shared" si="38"/>
        <v>0</v>
      </c>
      <c r="AC51" s="2">
        <f t="shared" si="21"/>
        <v>0</v>
      </c>
      <c r="AD51" s="2">
        <f t="shared" si="22"/>
        <v>0</v>
      </c>
      <c r="AE51" s="2" t="s">
        <v>134</v>
      </c>
      <c r="AF51" s="2" t="s">
        <v>134</v>
      </c>
      <c r="AG51" s="2" t="s">
        <v>134</v>
      </c>
      <c r="AH51" s="2" t="s">
        <v>134</v>
      </c>
      <c r="AI51" s="2" t="s">
        <v>134</v>
      </c>
      <c r="AJ51" s="2" t="s">
        <v>134</v>
      </c>
      <c r="AK51" s="2" t="s">
        <v>134</v>
      </c>
      <c r="AL51" s="2">
        <f t="shared" si="23"/>
        <v>0</v>
      </c>
      <c r="AM51" s="2">
        <f t="shared" si="24"/>
        <v>0</v>
      </c>
      <c r="AN51" s="2">
        <f t="shared" si="39"/>
        <v>0</v>
      </c>
      <c r="AO51" s="2">
        <f t="shared" si="25"/>
        <v>0</v>
      </c>
      <c r="AP51" s="2">
        <f t="shared" si="26"/>
        <v>0</v>
      </c>
      <c r="AQ51" s="2" t="s">
        <v>134</v>
      </c>
      <c r="AR51" s="2" t="s">
        <v>7</v>
      </c>
      <c r="AS51" s="2" t="s">
        <v>7</v>
      </c>
      <c r="AT51" s="2" t="s">
        <v>134</v>
      </c>
      <c r="AU51" s="2" t="s">
        <v>134</v>
      </c>
      <c r="AV51" s="2" t="s">
        <v>134</v>
      </c>
      <c r="AW51" s="2" t="s">
        <v>134</v>
      </c>
      <c r="AX51" s="2">
        <f t="shared" si="27"/>
        <v>2</v>
      </c>
      <c r="AY51" s="2">
        <f t="shared" si="28"/>
        <v>0</v>
      </c>
      <c r="AZ51" s="2">
        <f t="shared" si="40"/>
        <v>0</v>
      </c>
      <c r="BA51" s="2">
        <f t="shared" si="29"/>
        <v>0</v>
      </c>
      <c r="BB51" s="2">
        <f t="shared" si="30"/>
        <v>0</v>
      </c>
      <c r="BC51" s="2" t="s">
        <v>134</v>
      </c>
      <c r="BD51" s="2" t="s">
        <v>134</v>
      </c>
      <c r="BE51" s="2" t="s">
        <v>134</v>
      </c>
      <c r="BF51" s="2">
        <f t="shared" si="31"/>
        <v>0</v>
      </c>
      <c r="BG51" s="2">
        <f t="shared" si="32"/>
        <v>0</v>
      </c>
      <c r="BH51" s="2">
        <f t="shared" si="41"/>
        <v>0</v>
      </c>
      <c r="BI51" s="2">
        <f t="shared" si="33"/>
        <v>0</v>
      </c>
      <c r="BJ51" s="2">
        <f t="shared" si="34"/>
        <v>0</v>
      </c>
      <c r="BK51" s="2">
        <f t="shared" si="47"/>
        <v>5</v>
      </c>
      <c r="BL51" s="2">
        <f t="shared" si="47"/>
        <v>0</v>
      </c>
      <c r="BM51" s="2">
        <f t="shared" si="47"/>
        <v>0</v>
      </c>
      <c r="BN51" s="2">
        <f t="shared" si="47"/>
        <v>0</v>
      </c>
      <c r="BO51" s="2">
        <f t="shared" si="47"/>
        <v>0</v>
      </c>
      <c r="BP51" s="26">
        <f t="shared" si="42"/>
        <v>5</v>
      </c>
    </row>
    <row r="52" spans="1:68">
      <c r="A52" s="17">
        <f t="shared" si="36"/>
        <v>49</v>
      </c>
      <c r="B52" s="16" t="s">
        <v>241</v>
      </c>
      <c r="C52" s="19" t="s">
        <v>242</v>
      </c>
      <c r="D52" s="15" t="s">
        <v>146</v>
      </c>
      <c r="E52" s="4" t="s">
        <v>13</v>
      </c>
      <c r="F52" s="5" t="s">
        <v>14</v>
      </c>
      <c r="G52" s="2" t="s">
        <v>134</v>
      </c>
      <c r="H52" s="2" t="s">
        <v>134</v>
      </c>
      <c r="I52" s="2" t="s">
        <v>134</v>
      </c>
      <c r="J52" s="2" t="s">
        <v>7</v>
      </c>
      <c r="K52" s="2" t="s">
        <v>134</v>
      </c>
      <c r="L52" s="2" t="s">
        <v>134</v>
      </c>
      <c r="M52" s="2" t="s">
        <v>134</v>
      </c>
      <c r="N52" s="2">
        <f t="shared" si="15"/>
        <v>1</v>
      </c>
      <c r="O52" s="2">
        <f t="shared" si="16"/>
        <v>0</v>
      </c>
      <c r="P52" s="2">
        <f t="shared" si="37"/>
        <v>0</v>
      </c>
      <c r="Q52" s="2">
        <f t="shared" si="17"/>
        <v>0</v>
      </c>
      <c r="R52" s="2">
        <f t="shared" si="18"/>
        <v>0</v>
      </c>
      <c r="S52" s="2" t="s">
        <v>134</v>
      </c>
      <c r="T52" s="2" t="s">
        <v>134</v>
      </c>
      <c r="U52" s="2" t="s">
        <v>134</v>
      </c>
      <c r="V52" s="2" t="s">
        <v>7</v>
      </c>
      <c r="W52" s="2" t="s">
        <v>7</v>
      </c>
      <c r="X52" s="2" t="s">
        <v>134</v>
      </c>
      <c r="Y52" s="2" t="s">
        <v>134</v>
      </c>
      <c r="Z52" s="2">
        <f t="shared" si="19"/>
        <v>2</v>
      </c>
      <c r="AA52" s="2">
        <f t="shared" si="20"/>
        <v>0</v>
      </c>
      <c r="AB52" s="2">
        <f t="shared" si="38"/>
        <v>0</v>
      </c>
      <c r="AC52" s="2">
        <f t="shared" si="21"/>
        <v>0</v>
      </c>
      <c r="AD52" s="2">
        <f t="shared" si="22"/>
        <v>0</v>
      </c>
      <c r="AE52" s="2" t="s">
        <v>134</v>
      </c>
      <c r="AF52" s="2" t="s">
        <v>134</v>
      </c>
      <c r="AG52" s="2" t="s">
        <v>134</v>
      </c>
      <c r="AH52" s="2" t="s">
        <v>134</v>
      </c>
      <c r="AI52" s="2" t="s">
        <v>134</v>
      </c>
      <c r="AJ52" s="2" t="s">
        <v>7</v>
      </c>
      <c r="AK52" s="2" t="s">
        <v>7</v>
      </c>
      <c r="AL52" s="2">
        <f t="shared" si="23"/>
        <v>2</v>
      </c>
      <c r="AM52" s="2">
        <f t="shared" si="24"/>
        <v>0</v>
      </c>
      <c r="AN52" s="2">
        <f t="shared" si="39"/>
        <v>0</v>
      </c>
      <c r="AO52" s="2">
        <f t="shared" si="25"/>
        <v>0</v>
      </c>
      <c r="AP52" s="2">
        <f t="shared" si="26"/>
        <v>0</v>
      </c>
      <c r="AQ52" s="2" t="s">
        <v>134</v>
      </c>
      <c r="AR52" s="2" t="s">
        <v>134</v>
      </c>
      <c r="AS52" s="2" t="s">
        <v>134</v>
      </c>
      <c r="AT52" s="2" t="s">
        <v>134</v>
      </c>
      <c r="AU52" s="2" t="s">
        <v>134</v>
      </c>
      <c r="AV52" s="2" t="s">
        <v>134</v>
      </c>
      <c r="AW52" s="2" t="s">
        <v>134</v>
      </c>
      <c r="AX52" s="2">
        <f t="shared" si="27"/>
        <v>0</v>
      </c>
      <c r="AY52" s="2">
        <f t="shared" si="28"/>
        <v>0</v>
      </c>
      <c r="AZ52" s="2">
        <f t="shared" si="40"/>
        <v>0</v>
      </c>
      <c r="BA52" s="2">
        <f t="shared" si="29"/>
        <v>0</v>
      </c>
      <c r="BB52" s="2">
        <f t="shared" si="30"/>
        <v>0</v>
      </c>
      <c r="BC52" s="2" t="s">
        <v>134</v>
      </c>
      <c r="BD52" s="2" t="s">
        <v>134</v>
      </c>
      <c r="BE52" s="2" t="s">
        <v>134</v>
      </c>
      <c r="BF52" s="2">
        <f t="shared" si="31"/>
        <v>0</v>
      </c>
      <c r="BG52" s="2">
        <f t="shared" si="32"/>
        <v>0</v>
      </c>
      <c r="BH52" s="2">
        <f t="shared" si="41"/>
        <v>0</v>
      </c>
      <c r="BI52" s="2">
        <f t="shared" si="33"/>
        <v>0</v>
      </c>
      <c r="BJ52" s="2">
        <f t="shared" si="34"/>
        <v>0</v>
      </c>
      <c r="BK52" s="2">
        <f t="shared" si="47"/>
        <v>5</v>
      </c>
      <c r="BL52" s="2">
        <f t="shared" si="47"/>
        <v>0</v>
      </c>
      <c r="BM52" s="2">
        <f t="shared" si="47"/>
        <v>0</v>
      </c>
      <c r="BN52" s="2">
        <f t="shared" si="47"/>
        <v>0</v>
      </c>
      <c r="BO52" s="2">
        <f t="shared" si="47"/>
        <v>0</v>
      </c>
      <c r="BP52" s="26">
        <f t="shared" si="42"/>
        <v>5</v>
      </c>
    </row>
    <row r="53" spans="1:68">
      <c r="A53" s="17">
        <f t="shared" si="36"/>
        <v>50</v>
      </c>
      <c r="B53" s="16" t="s">
        <v>244</v>
      </c>
      <c r="C53" s="19" t="s">
        <v>245</v>
      </c>
      <c r="D53" s="15" t="s">
        <v>146</v>
      </c>
      <c r="E53" s="4" t="s">
        <v>13</v>
      </c>
      <c r="F53" s="5" t="s">
        <v>14</v>
      </c>
      <c r="G53" s="2" t="s">
        <v>134</v>
      </c>
      <c r="H53" s="2" t="s">
        <v>134</v>
      </c>
      <c r="I53" s="2" t="s">
        <v>134</v>
      </c>
      <c r="J53" s="2" t="s">
        <v>7</v>
      </c>
      <c r="K53" s="2" t="s">
        <v>134</v>
      </c>
      <c r="L53" s="2" t="s">
        <v>134</v>
      </c>
      <c r="M53" s="2" t="s">
        <v>134</v>
      </c>
      <c r="N53" s="2">
        <f t="shared" si="15"/>
        <v>1</v>
      </c>
      <c r="O53" s="2">
        <f t="shared" si="16"/>
        <v>0</v>
      </c>
      <c r="P53" s="2">
        <f t="shared" si="37"/>
        <v>0</v>
      </c>
      <c r="Q53" s="2">
        <f t="shared" si="17"/>
        <v>0</v>
      </c>
      <c r="R53" s="2">
        <f t="shared" si="18"/>
        <v>0</v>
      </c>
      <c r="S53" s="2" t="s">
        <v>134</v>
      </c>
      <c r="T53" s="2" t="s">
        <v>134</v>
      </c>
      <c r="U53" s="2" t="s">
        <v>134</v>
      </c>
      <c r="V53" s="2" t="s">
        <v>134</v>
      </c>
      <c r="W53" s="2" t="s">
        <v>134</v>
      </c>
      <c r="X53" s="2" t="s">
        <v>134</v>
      </c>
      <c r="Y53" s="2" t="s">
        <v>134</v>
      </c>
      <c r="Z53" s="2">
        <f t="shared" si="19"/>
        <v>0</v>
      </c>
      <c r="AA53" s="2">
        <f t="shared" si="20"/>
        <v>0</v>
      </c>
      <c r="AB53" s="2">
        <f t="shared" si="38"/>
        <v>0</v>
      </c>
      <c r="AC53" s="2">
        <f t="shared" si="21"/>
        <v>0</v>
      </c>
      <c r="AD53" s="2">
        <f t="shared" si="22"/>
        <v>0</v>
      </c>
      <c r="AE53" s="2" t="s">
        <v>134</v>
      </c>
      <c r="AF53" s="2" t="s">
        <v>134</v>
      </c>
      <c r="AG53" s="2" t="s">
        <v>134</v>
      </c>
      <c r="AH53" s="2" t="s">
        <v>134</v>
      </c>
      <c r="AI53" s="2" t="s">
        <v>134</v>
      </c>
      <c r="AJ53" s="2" t="s">
        <v>7</v>
      </c>
      <c r="AK53" s="2" t="s">
        <v>134</v>
      </c>
      <c r="AL53" s="2">
        <f t="shared" si="23"/>
        <v>1</v>
      </c>
      <c r="AM53" s="2">
        <f t="shared" si="24"/>
        <v>0</v>
      </c>
      <c r="AN53" s="2">
        <f t="shared" si="39"/>
        <v>0</v>
      </c>
      <c r="AO53" s="2">
        <f t="shared" si="25"/>
        <v>0</v>
      </c>
      <c r="AP53" s="2">
        <f t="shared" si="26"/>
        <v>0</v>
      </c>
      <c r="AQ53" s="2" t="s">
        <v>134</v>
      </c>
      <c r="AR53" s="2" t="s">
        <v>134</v>
      </c>
      <c r="AS53" s="2" t="s">
        <v>134</v>
      </c>
      <c r="AT53" s="2" t="s">
        <v>134</v>
      </c>
      <c r="AU53" s="2" t="s">
        <v>7</v>
      </c>
      <c r="AV53" s="2" t="s">
        <v>7</v>
      </c>
      <c r="AW53" s="2" t="s">
        <v>134</v>
      </c>
      <c r="AX53" s="2">
        <f t="shared" si="27"/>
        <v>2</v>
      </c>
      <c r="AY53" s="2">
        <f t="shared" si="28"/>
        <v>0</v>
      </c>
      <c r="AZ53" s="2">
        <f t="shared" si="40"/>
        <v>0</v>
      </c>
      <c r="BA53" s="2">
        <f t="shared" si="29"/>
        <v>0</v>
      </c>
      <c r="BB53" s="2">
        <f t="shared" si="30"/>
        <v>0</v>
      </c>
      <c r="BC53" s="2" t="s">
        <v>134</v>
      </c>
      <c r="BD53" s="2" t="s">
        <v>134</v>
      </c>
      <c r="BE53" s="2" t="s">
        <v>134</v>
      </c>
      <c r="BF53" s="2">
        <f t="shared" si="31"/>
        <v>0</v>
      </c>
      <c r="BG53" s="2">
        <f t="shared" si="32"/>
        <v>0</v>
      </c>
      <c r="BH53" s="2">
        <f t="shared" si="41"/>
        <v>0</v>
      </c>
      <c r="BI53" s="2">
        <f t="shared" si="33"/>
        <v>0</v>
      </c>
      <c r="BJ53" s="2">
        <f t="shared" si="34"/>
        <v>0</v>
      </c>
      <c r="BK53" s="2">
        <f t="shared" si="47"/>
        <v>4</v>
      </c>
      <c r="BL53" s="2">
        <f t="shared" si="47"/>
        <v>0</v>
      </c>
      <c r="BM53" s="2">
        <f t="shared" si="47"/>
        <v>0</v>
      </c>
      <c r="BN53" s="2">
        <f t="shared" si="47"/>
        <v>0</v>
      </c>
      <c r="BO53" s="2">
        <f t="shared" si="47"/>
        <v>0</v>
      </c>
      <c r="BP53" s="26">
        <f t="shared" si="42"/>
        <v>4</v>
      </c>
    </row>
    <row r="54" spans="1:68">
      <c r="A54" s="17">
        <f t="shared" si="36"/>
        <v>51</v>
      </c>
      <c r="B54" s="16" t="s">
        <v>246</v>
      </c>
      <c r="C54" s="19" t="s">
        <v>247</v>
      </c>
      <c r="D54" s="15" t="s">
        <v>146</v>
      </c>
      <c r="E54" s="4" t="s">
        <v>13</v>
      </c>
      <c r="F54" s="5" t="s">
        <v>14</v>
      </c>
      <c r="G54" s="2" t="s">
        <v>134</v>
      </c>
      <c r="H54" s="2" t="s">
        <v>134</v>
      </c>
      <c r="I54" s="2" t="s">
        <v>7</v>
      </c>
      <c r="J54" s="2" t="s">
        <v>7</v>
      </c>
      <c r="K54" s="2" t="s">
        <v>7</v>
      </c>
      <c r="L54" s="2" t="s">
        <v>7</v>
      </c>
      <c r="M54" s="2" t="s">
        <v>6</v>
      </c>
      <c r="N54" s="2">
        <f t="shared" si="15"/>
        <v>4</v>
      </c>
      <c r="O54" s="2">
        <f t="shared" si="16"/>
        <v>0</v>
      </c>
      <c r="P54" s="2">
        <f t="shared" si="37"/>
        <v>0</v>
      </c>
      <c r="Q54" s="2">
        <f t="shared" si="17"/>
        <v>0</v>
      </c>
      <c r="R54" s="2">
        <f t="shared" si="18"/>
        <v>1</v>
      </c>
      <c r="S54" s="2" t="s">
        <v>6</v>
      </c>
      <c r="T54" s="2" t="s">
        <v>6</v>
      </c>
      <c r="U54" s="2" t="s">
        <v>6</v>
      </c>
      <c r="V54" s="2" t="s">
        <v>6</v>
      </c>
      <c r="W54" s="2" t="s">
        <v>6</v>
      </c>
      <c r="X54" s="2" t="s">
        <v>6</v>
      </c>
      <c r="Y54" s="2" t="s">
        <v>6</v>
      </c>
      <c r="Z54" s="2">
        <f t="shared" si="19"/>
        <v>0</v>
      </c>
      <c r="AA54" s="2">
        <f t="shared" si="20"/>
        <v>0</v>
      </c>
      <c r="AB54" s="2">
        <f t="shared" si="38"/>
        <v>0</v>
      </c>
      <c r="AC54" s="2">
        <f t="shared" si="21"/>
        <v>0</v>
      </c>
      <c r="AD54" s="2">
        <f t="shared" si="22"/>
        <v>7</v>
      </c>
      <c r="AE54" s="2" t="s">
        <v>6</v>
      </c>
      <c r="AF54" s="2" t="s">
        <v>6</v>
      </c>
      <c r="AG54" s="2" t="s">
        <v>6</v>
      </c>
      <c r="AH54" s="2" t="s">
        <v>134</v>
      </c>
      <c r="AI54" s="2" t="s">
        <v>134</v>
      </c>
      <c r="AJ54" s="2" t="s">
        <v>134</v>
      </c>
      <c r="AK54" s="2" t="s">
        <v>134</v>
      </c>
      <c r="AL54" s="2">
        <f t="shared" si="23"/>
        <v>0</v>
      </c>
      <c r="AM54" s="2">
        <f t="shared" si="24"/>
        <v>0</v>
      </c>
      <c r="AN54" s="2">
        <f t="shared" si="39"/>
        <v>0</v>
      </c>
      <c r="AO54" s="2">
        <f t="shared" si="25"/>
        <v>0</v>
      </c>
      <c r="AP54" s="2">
        <f t="shared" si="26"/>
        <v>3</v>
      </c>
      <c r="AQ54" s="2" t="s">
        <v>134</v>
      </c>
      <c r="AR54" s="2" t="s">
        <v>134</v>
      </c>
      <c r="AS54" s="2" t="s">
        <v>134</v>
      </c>
      <c r="AT54" s="2" t="s">
        <v>134</v>
      </c>
      <c r="AU54" s="2" t="s">
        <v>134</v>
      </c>
      <c r="AV54" s="2" t="s">
        <v>134</v>
      </c>
      <c r="AW54" s="2" t="s">
        <v>134</v>
      </c>
      <c r="AX54" s="2">
        <f t="shared" si="27"/>
        <v>0</v>
      </c>
      <c r="AY54" s="2">
        <f t="shared" si="28"/>
        <v>0</v>
      </c>
      <c r="AZ54" s="2">
        <f t="shared" si="40"/>
        <v>0</v>
      </c>
      <c r="BA54" s="2">
        <f t="shared" si="29"/>
        <v>0</v>
      </c>
      <c r="BB54" s="2">
        <f t="shared" si="30"/>
        <v>0</v>
      </c>
      <c r="BC54" s="2" t="s">
        <v>134</v>
      </c>
      <c r="BD54" s="2" t="s">
        <v>134</v>
      </c>
      <c r="BE54" s="2" t="s">
        <v>134</v>
      </c>
      <c r="BF54" s="2">
        <f t="shared" si="31"/>
        <v>0</v>
      </c>
      <c r="BG54" s="2">
        <f t="shared" si="32"/>
        <v>0</v>
      </c>
      <c r="BH54" s="2">
        <f t="shared" si="41"/>
        <v>0</v>
      </c>
      <c r="BI54" s="2">
        <f t="shared" si="33"/>
        <v>0</v>
      </c>
      <c r="BJ54" s="2">
        <f t="shared" si="34"/>
        <v>0</v>
      </c>
      <c r="BK54" s="2">
        <f t="shared" si="47"/>
        <v>4</v>
      </c>
      <c r="BL54" s="2">
        <f t="shared" si="47"/>
        <v>0</v>
      </c>
      <c r="BM54" s="2">
        <f t="shared" si="47"/>
        <v>0</v>
      </c>
      <c r="BN54" s="2">
        <f t="shared" si="47"/>
        <v>0</v>
      </c>
      <c r="BO54" s="2">
        <f t="shared" si="47"/>
        <v>11</v>
      </c>
      <c r="BP54" s="26">
        <f t="shared" si="42"/>
        <v>15</v>
      </c>
    </row>
    <row r="55" spans="1:68">
      <c r="A55" s="17">
        <f t="shared" si="36"/>
        <v>52</v>
      </c>
      <c r="B55" s="16" t="s">
        <v>251</v>
      </c>
      <c r="C55" s="19" t="s">
        <v>252</v>
      </c>
      <c r="D55" s="15" t="s">
        <v>146</v>
      </c>
      <c r="E55" s="4" t="s">
        <v>13</v>
      </c>
      <c r="F55" s="5" t="s">
        <v>14</v>
      </c>
      <c r="G55" s="2" t="s">
        <v>134</v>
      </c>
      <c r="H55" s="2" t="s">
        <v>134</v>
      </c>
      <c r="I55" s="2" t="s">
        <v>134</v>
      </c>
      <c r="J55" s="2" t="s">
        <v>134</v>
      </c>
      <c r="K55" s="2" t="s">
        <v>134</v>
      </c>
      <c r="L55" s="2" t="s">
        <v>134</v>
      </c>
      <c r="M55" s="2" t="s">
        <v>7</v>
      </c>
      <c r="N55" s="2">
        <f t="shared" si="15"/>
        <v>1</v>
      </c>
      <c r="O55" s="2">
        <f t="shared" si="16"/>
        <v>0</v>
      </c>
      <c r="P55" s="2">
        <f t="shared" si="37"/>
        <v>0</v>
      </c>
      <c r="Q55" s="2">
        <f t="shared" si="17"/>
        <v>0</v>
      </c>
      <c r="R55" s="2">
        <f t="shared" si="18"/>
        <v>0</v>
      </c>
      <c r="S55" s="2" t="s">
        <v>7</v>
      </c>
      <c r="T55" s="2" t="s">
        <v>7</v>
      </c>
      <c r="U55" s="2" t="s">
        <v>7</v>
      </c>
      <c r="V55" s="2" t="s">
        <v>6</v>
      </c>
      <c r="W55" s="2" t="s">
        <v>134</v>
      </c>
      <c r="X55" s="2" t="s">
        <v>134</v>
      </c>
      <c r="Y55" s="2" t="s">
        <v>134</v>
      </c>
      <c r="Z55" s="2">
        <f t="shared" si="19"/>
        <v>3</v>
      </c>
      <c r="AA55" s="2">
        <f t="shared" si="20"/>
        <v>0</v>
      </c>
      <c r="AB55" s="2">
        <f t="shared" si="38"/>
        <v>0</v>
      </c>
      <c r="AC55" s="2">
        <f t="shared" si="21"/>
        <v>0</v>
      </c>
      <c r="AD55" s="2">
        <f t="shared" si="22"/>
        <v>1</v>
      </c>
      <c r="AE55" s="2" t="s">
        <v>134</v>
      </c>
      <c r="AF55" s="2" t="s">
        <v>134</v>
      </c>
      <c r="AG55" s="2" t="s">
        <v>134</v>
      </c>
      <c r="AH55" s="2" t="s">
        <v>134</v>
      </c>
      <c r="AI55" s="2" t="s">
        <v>134</v>
      </c>
      <c r="AJ55" s="2" t="s">
        <v>134</v>
      </c>
      <c r="AK55" s="2" t="s">
        <v>134</v>
      </c>
      <c r="AL55" s="2">
        <f t="shared" si="23"/>
        <v>0</v>
      </c>
      <c r="AM55" s="2">
        <f t="shared" si="24"/>
        <v>0</v>
      </c>
      <c r="AN55" s="2">
        <f t="shared" si="39"/>
        <v>0</v>
      </c>
      <c r="AO55" s="2">
        <f t="shared" si="25"/>
        <v>0</v>
      </c>
      <c r="AP55" s="2">
        <f t="shared" si="26"/>
        <v>0</v>
      </c>
      <c r="AQ55" s="2" t="s">
        <v>134</v>
      </c>
      <c r="AR55" s="2" t="s">
        <v>134</v>
      </c>
      <c r="AS55" s="2" t="s">
        <v>134</v>
      </c>
      <c r="AT55" s="2" t="s">
        <v>134</v>
      </c>
      <c r="AU55" s="2" t="s">
        <v>134</v>
      </c>
      <c r="AV55" s="2" t="s">
        <v>134</v>
      </c>
      <c r="AW55" s="2" t="s">
        <v>134</v>
      </c>
      <c r="AX55" s="2">
        <f t="shared" si="27"/>
        <v>0</v>
      </c>
      <c r="AY55" s="2">
        <f t="shared" si="28"/>
        <v>0</v>
      </c>
      <c r="AZ55" s="2">
        <f t="shared" si="40"/>
        <v>0</v>
      </c>
      <c r="BA55" s="2">
        <f t="shared" si="29"/>
        <v>0</v>
      </c>
      <c r="BB55" s="2">
        <f t="shared" si="30"/>
        <v>0</v>
      </c>
      <c r="BC55" s="2" t="s">
        <v>134</v>
      </c>
      <c r="BD55" s="2" t="s">
        <v>134</v>
      </c>
      <c r="BE55" s="2" t="s">
        <v>134</v>
      </c>
      <c r="BF55" s="2">
        <f t="shared" si="31"/>
        <v>0</v>
      </c>
      <c r="BG55" s="2">
        <f t="shared" si="32"/>
        <v>0</v>
      </c>
      <c r="BH55" s="2">
        <f t="shared" si="41"/>
        <v>0</v>
      </c>
      <c r="BI55" s="2">
        <f t="shared" si="33"/>
        <v>0</v>
      </c>
      <c r="BJ55" s="2">
        <f t="shared" si="34"/>
        <v>0</v>
      </c>
      <c r="BK55" s="2">
        <f t="shared" si="47"/>
        <v>4</v>
      </c>
      <c r="BL55" s="2">
        <f t="shared" si="47"/>
        <v>0</v>
      </c>
      <c r="BM55" s="2">
        <f t="shared" si="47"/>
        <v>0</v>
      </c>
      <c r="BN55" s="2">
        <f t="shared" si="47"/>
        <v>0</v>
      </c>
      <c r="BO55" s="2">
        <f t="shared" si="47"/>
        <v>1</v>
      </c>
      <c r="BP55" s="26">
        <f t="shared" si="42"/>
        <v>5</v>
      </c>
    </row>
    <row r="56" spans="1:68">
      <c r="A56" s="17">
        <f t="shared" si="36"/>
        <v>53</v>
      </c>
      <c r="B56" s="16" t="s">
        <v>250</v>
      </c>
      <c r="C56" s="19" t="s">
        <v>249</v>
      </c>
      <c r="D56" s="15" t="s">
        <v>146</v>
      </c>
      <c r="E56" s="4" t="s">
        <v>13</v>
      </c>
      <c r="F56" s="5" t="s">
        <v>14</v>
      </c>
      <c r="G56" s="2" t="s">
        <v>7</v>
      </c>
      <c r="H56" s="2" t="s">
        <v>7</v>
      </c>
      <c r="I56" s="2" t="s">
        <v>7</v>
      </c>
      <c r="J56" s="2" t="s">
        <v>7</v>
      </c>
      <c r="K56" s="2" t="s">
        <v>134</v>
      </c>
      <c r="L56" s="2" t="s">
        <v>134</v>
      </c>
      <c r="M56" s="2" t="s">
        <v>134</v>
      </c>
      <c r="N56" s="2">
        <f t="shared" si="15"/>
        <v>4</v>
      </c>
      <c r="O56" s="2">
        <f t="shared" si="16"/>
        <v>0</v>
      </c>
      <c r="P56" s="2">
        <f t="shared" si="37"/>
        <v>0</v>
      </c>
      <c r="Q56" s="2">
        <f t="shared" si="17"/>
        <v>0</v>
      </c>
      <c r="R56" s="2">
        <f t="shared" si="18"/>
        <v>0</v>
      </c>
      <c r="S56" s="2" t="s">
        <v>134</v>
      </c>
      <c r="T56" s="2" t="s">
        <v>134</v>
      </c>
      <c r="U56" s="2" t="s">
        <v>134</v>
      </c>
      <c r="V56" s="2" t="s">
        <v>134</v>
      </c>
      <c r="W56" s="2" t="s">
        <v>134</v>
      </c>
      <c r="X56" s="2" t="s">
        <v>134</v>
      </c>
      <c r="Y56" s="2" t="s">
        <v>134</v>
      </c>
      <c r="Z56" s="2">
        <f t="shared" si="19"/>
        <v>0</v>
      </c>
      <c r="AA56" s="2">
        <f t="shared" si="20"/>
        <v>0</v>
      </c>
      <c r="AB56" s="2">
        <f t="shared" si="38"/>
        <v>0</v>
      </c>
      <c r="AC56" s="2">
        <f t="shared" si="21"/>
        <v>0</v>
      </c>
      <c r="AD56" s="2">
        <f t="shared" si="22"/>
        <v>0</v>
      </c>
      <c r="AE56" s="2" t="s">
        <v>134</v>
      </c>
      <c r="AF56" s="2" t="s">
        <v>134</v>
      </c>
      <c r="AG56" s="2" t="s">
        <v>134</v>
      </c>
      <c r="AH56" s="2" t="s">
        <v>134</v>
      </c>
      <c r="AI56" s="2" t="s">
        <v>134</v>
      </c>
      <c r="AJ56" s="2" t="s">
        <v>6</v>
      </c>
      <c r="AK56" s="2" t="s">
        <v>134</v>
      </c>
      <c r="AL56" s="2">
        <f t="shared" si="23"/>
        <v>0</v>
      </c>
      <c r="AM56" s="2">
        <f t="shared" si="24"/>
        <v>0</v>
      </c>
      <c r="AN56" s="2">
        <f t="shared" si="39"/>
        <v>0</v>
      </c>
      <c r="AO56" s="2">
        <f t="shared" si="25"/>
        <v>0</v>
      </c>
      <c r="AP56" s="2">
        <f t="shared" si="26"/>
        <v>1</v>
      </c>
      <c r="AQ56" s="2" t="s">
        <v>134</v>
      </c>
      <c r="AR56" s="2" t="s">
        <v>134</v>
      </c>
      <c r="AS56" s="2" t="s">
        <v>134</v>
      </c>
      <c r="AT56" s="2" t="s">
        <v>134</v>
      </c>
      <c r="AU56" s="2" t="s">
        <v>134</v>
      </c>
      <c r="AV56" s="2" t="s">
        <v>134</v>
      </c>
      <c r="AW56" s="2" t="s">
        <v>134</v>
      </c>
      <c r="AX56" s="2">
        <f t="shared" si="27"/>
        <v>0</v>
      </c>
      <c r="AY56" s="2">
        <f t="shared" si="28"/>
        <v>0</v>
      </c>
      <c r="AZ56" s="2">
        <f t="shared" si="40"/>
        <v>0</v>
      </c>
      <c r="BA56" s="2">
        <f t="shared" si="29"/>
        <v>0</v>
      </c>
      <c r="BB56" s="2">
        <f t="shared" si="30"/>
        <v>0</v>
      </c>
      <c r="BC56" s="2" t="s">
        <v>134</v>
      </c>
      <c r="BD56" s="2" t="s">
        <v>134</v>
      </c>
      <c r="BE56" s="2" t="s">
        <v>134</v>
      </c>
      <c r="BF56" s="2">
        <f t="shared" si="31"/>
        <v>0</v>
      </c>
      <c r="BG56" s="2">
        <f t="shared" si="32"/>
        <v>0</v>
      </c>
      <c r="BH56" s="2">
        <f t="shared" si="41"/>
        <v>0</v>
      </c>
      <c r="BI56" s="2">
        <f t="shared" si="33"/>
        <v>0</v>
      </c>
      <c r="BJ56" s="2">
        <f t="shared" si="34"/>
        <v>0</v>
      </c>
      <c r="BK56" s="2">
        <f t="shared" si="47"/>
        <v>4</v>
      </c>
      <c r="BL56" s="2">
        <f t="shared" si="47"/>
        <v>0</v>
      </c>
      <c r="BM56" s="2">
        <f t="shared" si="47"/>
        <v>0</v>
      </c>
      <c r="BN56" s="2">
        <f t="shared" si="47"/>
        <v>0</v>
      </c>
      <c r="BO56" s="2">
        <f t="shared" si="47"/>
        <v>1</v>
      </c>
      <c r="BP56" s="26">
        <f t="shared" si="42"/>
        <v>5</v>
      </c>
    </row>
    <row r="57" spans="1:68">
      <c r="A57" s="17">
        <f t="shared" si="36"/>
        <v>54</v>
      </c>
      <c r="B57" s="16" t="s">
        <v>257</v>
      </c>
      <c r="C57" s="19" t="s">
        <v>256</v>
      </c>
      <c r="D57" s="15" t="s">
        <v>146</v>
      </c>
      <c r="E57" s="4" t="s">
        <v>29</v>
      </c>
      <c r="F57" s="5" t="s">
        <v>14</v>
      </c>
      <c r="G57" s="2" t="s">
        <v>134</v>
      </c>
      <c r="H57" s="2" t="s">
        <v>134</v>
      </c>
      <c r="I57" s="2" t="s">
        <v>134</v>
      </c>
      <c r="J57" s="2" t="s">
        <v>134</v>
      </c>
      <c r="K57" s="2" t="s">
        <v>134</v>
      </c>
      <c r="L57" s="2" t="s">
        <v>134</v>
      </c>
      <c r="M57" s="2" t="s">
        <v>134</v>
      </c>
      <c r="N57" s="2">
        <f t="shared" si="15"/>
        <v>0</v>
      </c>
      <c r="O57" s="2">
        <f t="shared" si="16"/>
        <v>0</v>
      </c>
      <c r="P57" s="2">
        <f t="shared" si="37"/>
        <v>0</v>
      </c>
      <c r="Q57" s="2">
        <f t="shared" si="17"/>
        <v>0</v>
      </c>
      <c r="R57" s="2">
        <f t="shared" si="18"/>
        <v>0</v>
      </c>
      <c r="S57" s="2" t="s">
        <v>7</v>
      </c>
      <c r="T57" s="2" t="s">
        <v>134</v>
      </c>
      <c r="U57" s="2" t="s">
        <v>134</v>
      </c>
      <c r="V57" s="2" t="s">
        <v>134</v>
      </c>
      <c r="W57" s="2" t="s">
        <v>134</v>
      </c>
      <c r="X57" s="2" t="s">
        <v>134</v>
      </c>
      <c r="Y57" s="2" t="s">
        <v>7</v>
      </c>
      <c r="Z57" s="2">
        <f t="shared" si="19"/>
        <v>2</v>
      </c>
      <c r="AA57" s="2">
        <f t="shared" si="20"/>
        <v>0</v>
      </c>
      <c r="AB57" s="2">
        <f t="shared" si="38"/>
        <v>0</v>
      </c>
      <c r="AC57" s="2">
        <f t="shared" si="21"/>
        <v>0</v>
      </c>
      <c r="AD57" s="2">
        <f t="shared" si="22"/>
        <v>0</v>
      </c>
      <c r="AE57" s="2" t="s">
        <v>7</v>
      </c>
      <c r="AF57" s="2" t="s">
        <v>134</v>
      </c>
      <c r="AG57" s="2" t="s">
        <v>134</v>
      </c>
      <c r="AH57" s="2" t="s">
        <v>134</v>
      </c>
      <c r="AI57" s="2" t="s">
        <v>134</v>
      </c>
      <c r="AJ57" s="2" t="s">
        <v>134</v>
      </c>
      <c r="AK57" s="2" t="s">
        <v>134</v>
      </c>
      <c r="AL57" s="2">
        <f t="shared" si="23"/>
        <v>1</v>
      </c>
      <c r="AM57" s="2">
        <f t="shared" si="24"/>
        <v>0</v>
      </c>
      <c r="AN57" s="2">
        <f t="shared" si="39"/>
        <v>0</v>
      </c>
      <c r="AO57" s="2">
        <f t="shared" si="25"/>
        <v>0</v>
      </c>
      <c r="AP57" s="2">
        <f t="shared" si="26"/>
        <v>0</v>
      </c>
      <c r="AQ57" s="2" t="s">
        <v>134</v>
      </c>
      <c r="AR57" s="2" t="s">
        <v>134</v>
      </c>
      <c r="AS57" s="2" t="s">
        <v>134</v>
      </c>
      <c r="AT57" s="2" t="s">
        <v>7</v>
      </c>
      <c r="AU57" s="2" t="s">
        <v>134</v>
      </c>
      <c r="AV57" s="2" t="s">
        <v>134</v>
      </c>
      <c r="AW57" s="2" t="s">
        <v>134</v>
      </c>
      <c r="AX57" s="2">
        <f t="shared" si="27"/>
        <v>1</v>
      </c>
      <c r="AY57" s="2">
        <f t="shared" si="28"/>
        <v>0</v>
      </c>
      <c r="AZ57" s="2">
        <f t="shared" si="40"/>
        <v>0</v>
      </c>
      <c r="BA57" s="2">
        <f t="shared" si="29"/>
        <v>0</v>
      </c>
      <c r="BB57" s="2">
        <f t="shared" si="30"/>
        <v>0</v>
      </c>
      <c r="BC57" s="2" t="s">
        <v>134</v>
      </c>
      <c r="BD57" s="2" t="s">
        <v>134</v>
      </c>
      <c r="BE57" s="2" t="s">
        <v>134</v>
      </c>
      <c r="BF57" s="2">
        <f t="shared" si="31"/>
        <v>0</v>
      </c>
      <c r="BG57" s="2">
        <f t="shared" si="32"/>
        <v>0</v>
      </c>
      <c r="BH57" s="2">
        <f t="shared" si="41"/>
        <v>0</v>
      </c>
      <c r="BI57" s="2">
        <f t="shared" si="33"/>
        <v>0</v>
      </c>
      <c r="BJ57" s="2">
        <f t="shared" si="34"/>
        <v>0</v>
      </c>
      <c r="BK57" s="2">
        <f t="shared" si="47"/>
        <v>4</v>
      </c>
      <c r="BL57" s="2">
        <f t="shared" si="47"/>
        <v>0</v>
      </c>
      <c r="BM57" s="2">
        <f t="shared" si="47"/>
        <v>0</v>
      </c>
      <c r="BN57" s="2">
        <f t="shared" si="47"/>
        <v>0</v>
      </c>
      <c r="BO57" s="2">
        <f t="shared" si="47"/>
        <v>0</v>
      </c>
      <c r="BP57" s="26">
        <f t="shared" si="42"/>
        <v>4</v>
      </c>
    </row>
    <row r="58" spans="1:68">
      <c r="A58" s="17">
        <f t="shared" si="36"/>
        <v>55</v>
      </c>
      <c r="B58" s="16" t="s">
        <v>258</v>
      </c>
      <c r="C58" s="19" t="s">
        <v>91</v>
      </c>
      <c r="D58" s="15" t="s">
        <v>146</v>
      </c>
      <c r="E58" s="4" t="s">
        <v>13</v>
      </c>
      <c r="F58" s="5" t="s">
        <v>14</v>
      </c>
      <c r="G58" s="2" t="s">
        <v>134</v>
      </c>
      <c r="H58" s="2" t="s">
        <v>134</v>
      </c>
      <c r="I58" s="2" t="s">
        <v>134</v>
      </c>
      <c r="J58" s="2" t="s">
        <v>134</v>
      </c>
      <c r="K58" s="2" t="s">
        <v>134</v>
      </c>
      <c r="L58" s="2" t="s">
        <v>134</v>
      </c>
      <c r="M58" s="2" t="s">
        <v>134</v>
      </c>
      <c r="N58" s="2">
        <f t="shared" si="15"/>
        <v>0</v>
      </c>
      <c r="O58" s="2">
        <f t="shared" si="16"/>
        <v>0</v>
      </c>
      <c r="P58" s="2">
        <f t="shared" si="37"/>
        <v>0</v>
      </c>
      <c r="Q58" s="2">
        <f t="shared" si="17"/>
        <v>0</v>
      </c>
      <c r="R58" s="2">
        <f t="shared" si="18"/>
        <v>0</v>
      </c>
      <c r="S58" s="2" t="s">
        <v>134</v>
      </c>
      <c r="T58" s="2" t="s">
        <v>134</v>
      </c>
      <c r="U58" s="2" t="s">
        <v>134</v>
      </c>
      <c r="V58" s="2" t="s">
        <v>134</v>
      </c>
      <c r="W58" s="2" t="s">
        <v>134</v>
      </c>
      <c r="X58" s="2" t="s">
        <v>134</v>
      </c>
      <c r="Y58" s="2" t="s">
        <v>7</v>
      </c>
      <c r="Z58" s="2">
        <f t="shared" si="19"/>
        <v>1</v>
      </c>
      <c r="AA58" s="2">
        <f t="shared" si="20"/>
        <v>0</v>
      </c>
      <c r="AB58" s="2">
        <f t="shared" si="38"/>
        <v>0</v>
      </c>
      <c r="AC58" s="2">
        <f t="shared" si="21"/>
        <v>0</v>
      </c>
      <c r="AD58" s="2">
        <f t="shared" si="22"/>
        <v>0</v>
      </c>
      <c r="AE58" s="2" t="s">
        <v>134</v>
      </c>
      <c r="AF58" s="2" t="s">
        <v>134</v>
      </c>
      <c r="AG58" s="2" t="s">
        <v>134</v>
      </c>
      <c r="AH58" s="2" t="s">
        <v>134</v>
      </c>
      <c r="AI58" s="2" t="s">
        <v>134</v>
      </c>
      <c r="AJ58" s="2" t="s">
        <v>7</v>
      </c>
      <c r="AK58" s="2" t="s">
        <v>134</v>
      </c>
      <c r="AL58" s="2">
        <f t="shared" si="23"/>
        <v>1</v>
      </c>
      <c r="AM58" s="2">
        <f t="shared" si="24"/>
        <v>0</v>
      </c>
      <c r="AN58" s="2">
        <f t="shared" si="39"/>
        <v>0</v>
      </c>
      <c r="AO58" s="2">
        <f t="shared" si="25"/>
        <v>0</v>
      </c>
      <c r="AP58" s="2">
        <f t="shared" si="26"/>
        <v>0</v>
      </c>
      <c r="AQ58" s="2" t="s">
        <v>134</v>
      </c>
      <c r="AR58" s="2" t="s">
        <v>134</v>
      </c>
      <c r="AS58" s="2" t="s">
        <v>134</v>
      </c>
      <c r="AT58" s="2" t="s">
        <v>134</v>
      </c>
      <c r="AU58" s="2" t="s">
        <v>7</v>
      </c>
      <c r="AV58" s="2" t="s">
        <v>7</v>
      </c>
      <c r="AW58" s="2" t="s">
        <v>134</v>
      </c>
      <c r="AX58" s="2">
        <f t="shared" si="27"/>
        <v>2</v>
      </c>
      <c r="AY58" s="2">
        <f t="shared" si="28"/>
        <v>0</v>
      </c>
      <c r="AZ58" s="2">
        <f t="shared" si="40"/>
        <v>0</v>
      </c>
      <c r="BA58" s="2">
        <f t="shared" si="29"/>
        <v>0</v>
      </c>
      <c r="BB58" s="2">
        <f t="shared" si="30"/>
        <v>0</v>
      </c>
      <c r="BC58" s="2" t="s">
        <v>134</v>
      </c>
      <c r="BD58" s="2" t="s">
        <v>134</v>
      </c>
      <c r="BE58" s="2" t="s">
        <v>134</v>
      </c>
      <c r="BF58" s="2">
        <f t="shared" si="31"/>
        <v>0</v>
      </c>
      <c r="BG58" s="2">
        <f t="shared" si="32"/>
        <v>0</v>
      </c>
      <c r="BH58" s="2">
        <f t="shared" si="41"/>
        <v>0</v>
      </c>
      <c r="BI58" s="2">
        <f t="shared" si="33"/>
        <v>0</v>
      </c>
      <c r="BJ58" s="2">
        <f t="shared" si="34"/>
        <v>0</v>
      </c>
      <c r="BK58" s="2">
        <f t="shared" si="47"/>
        <v>4</v>
      </c>
      <c r="BL58" s="2">
        <f t="shared" si="47"/>
        <v>0</v>
      </c>
      <c r="BM58" s="2">
        <f t="shared" si="47"/>
        <v>0</v>
      </c>
      <c r="BN58" s="2">
        <f t="shared" si="47"/>
        <v>0</v>
      </c>
      <c r="BO58" s="2">
        <f t="shared" si="47"/>
        <v>0</v>
      </c>
      <c r="BP58" s="26">
        <f t="shared" ref="BP58" si="48">SUM(BK58:BO58)</f>
        <v>4</v>
      </c>
    </row>
    <row r="59" spans="1:68">
      <c r="A59" s="17">
        <f t="shared" si="36"/>
        <v>56</v>
      </c>
      <c r="B59" s="16" t="s">
        <v>264</v>
      </c>
      <c r="C59" s="19" t="s">
        <v>265</v>
      </c>
      <c r="D59" s="15" t="s">
        <v>146</v>
      </c>
      <c r="E59" s="4" t="s">
        <v>13</v>
      </c>
      <c r="F59" s="5" t="s">
        <v>14</v>
      </c>
      <c r="G59" s="2"/>
      <c r="H59" s="2"/>
      <c r="I59" s="2"/>
      <c r="J59" s="2"/>
      <c r="K59" s="2"/>
      <c r="L59" s="2" t="s">
        <v>134</v>
      </c>
      <c r="M59" s="2" t="s">
        <v>134</v>
      </c>
      <c r="N59" s="2">
        <f t="shared" si="15"/>
        <v>0</v>
      </c>
      <c r="O59" s="2">
        <f t="shared" si="16"/>
        <v>0</v>
      </c>
      <c r="P59" s="2">
        <f t="shared" si="37"/>
        <v>0</v>
      </c>
      <c r="Q59" s="2">
        <f t="shared" si="17"/>
        <v>0</v>
      </c>
      <c r="R59" s="2">
        <f t="shared" si="18"/>
        <v>0</v>
      </c>
      <c r="S59" s="2" t="s">
        <v>134</v>
      </c>
      <c r="T59" s="2" t="s">
        <v>134</v>
      </c>
      <c r="U59" s="2" t="s">
        <v>134</v>
      </c>
      <c r="V59" s="2" t="s">
        <v>134</v>
      </c>
      <c r="W59" s="2" t="s">
        <v>134</v>
      </c>
      <c r="X59" s="2" t="s">
        <v>134</v>
      </c>
      <c r="Y59" s="2" t="s">
        <v>134</v>
      </c>
      <c r="Z59" s="2">
        <f t="shared" si="19"/>
        <v>0</v>
      </c>
      <c r="AA59" s="2">
        <f t="shared" si="20"/>
        <v>0</v>
      </c>
      <c r="AB59" s="2">
        <f t="shared" si="38"/>
        <v>0</v>
      </c>
      <c r="AC59" s="2">
        <f t="shared" si="21"/>
        <v>0</v>
      </c>
      <c r="AD59" s="2">
        <f t="shared" si="22"/>
        <v>0</v>
      </c>
      <c r="AE59" s="2" t="s">
        <v>7</v>
      </c>
      <c r="AF59" s="2" t="s">
        <v>134</v>
      </c>
      <c r="AG59" s="2" t="s">
        <v>134</v>
      </c>
      <c r="AH59" s="2" t="s">
        <v>134</v>
      </c>
      <c r="AI59" s="2" t="s">
        <v>134</v>
      </c>
      <c r="AJ59" s="2" t="s">
        <v>134</v>
      </c>
      <c r="AK59" s="2" t="s">
        <v>134</v>
      </c>
      <c r="AL59" s="2">
        <f t="shared" si="23"/>
        <v>1</v>
      </c>
      <c r="AM59" s="2">
        <f t="shared" si="24"/>
        <v>0</v>
      </c>
      <c r="AN59" s="2">
        <f t="shared" si="39"/>
        <v>0</v>
      </c>
      <c r="AO59" s="2">
        <f t="shared" si="25"/>
        <v>0</v>
      </c>
      <c r="AP59" s="2">
        <f t="shared" si="26"/>
        <v>0</v>
      </c>
      <c r="AQ59" s="2" t="s">
        <v>134</v>
      </c>
      <c r="AR59" s="2" t="s">
        <v>134</v>
      </c>
      <c r="AS59" s="2" t="s">
        <v>134</v>
      </c>
      <c r="AT59" s="2" t="s">
        <v>134</v>
      </c>
      <c r="AU59" s="2" t="s">
        <v>134</v>
      </c>
      <c r="AV59" s="2" t="s">
        <v>134</v>
      </c>
      <c r="AW59" s="2" t="s">
        <v>134</v>
      </c>
      <c r="AX59" s="2">
        <f t="shared" si="27"/>
        <v>0</v>
      </c>
      <c r="AY59" s="2">
        <f t="shared" si="28"/>
        <v>0</v>
      </c>
      <c r="AZ59" s="2">
        <f t="shared" si="40"/>
        <v>0</v>
      </c>
      <c r="BA59" s="2">
        <f t="shared" si="29"/>
        <v>0</v>
      </c>
      <c r="BB59" s="2">
        <f t="shared" si="30"/>
        <v>0</v>
      </c>
      <c r="BC59" s="2" t="s">
        <v>7</v>
      </c>
      <c r="BD59" s="2" t="s">
        <v>7</v>
      </c>
      <c r="BE59" s="2" t="s">
        <v>134</v>
      </c>
      <c r="BF59" s="2">
        <f t="shared" si="31"/>
        <v>2</v>
      </c>
      <c r="BG59" s="2">
        <f t="shared" si="32"/>
        <v>0</v>
      </c>
      <c r="BH59" s="2">
        <f t="shared" si="41"/>
        <v>0</v>
      </c>
      <c r="BI59" s="2">
        <f t="shared" si="33"/>
        <v>0</v>
      </c>
      <c r="BJ59" s="2">
        <f t="shared" si="34"/>
        <v>0</v>
      </c>
      <c r="BK59" s="2">
        <f t="shared" si="47"/>
        <v>3</v>
      </c>
      <c r="BL59" s="2">
        <f t="shared" si="47"/>
        <v>0</v>
      </c>
      <c r="BM59" s="2">
        <f t="shared" si="47"/>
        <v>0</v>
      </c>
      <c r="BN59" s="2">
        <f t="shared" si="47"/>
        <v>0</v>
      </c>
      <c r="BO59" s="2">
        <f t="shared" si="47"/>
        <v>0</v>
      </c>
      <c r="BP59" s="26">
        <f t="shared" si="42"/>
        <v>3</v>
      </c>
    </row>
    <row r="60" spans="1:68">
      <c r="A60" s="17">
        <f t="shared" si="36"/>
        <v>57</v>
      </c>
      <c r="B60" s="16" t="s">
        <v>268</v>
      </c>
      <c r="C60" s="19" t="s">
        <v>269</v>
      </c>
      <c r="D60" s="15" t="s">
        <v>146</v>
      </c>
      <c r="E60" s="4" t="s">
        <v>13</v>
      </c>
      <c r="F60" s="5" t="s">
        <v>14</v>
      </c>
      <c r="G60" s="2"/>
      <c r="H60" s="2"/>
      <c r="I60" s="2"/>
      <c r="J60" s="2"/>
      <c r="K60" s="2"/>
      <c r="L60" s="2"/>
      <c r="M60" s="2"/>
      <c r="N60" s="2">
        <f t="shared" si="15"/>
        <v>0</v>
      </c>
      <c r="O60" s="2">
        <f t="shared" si="16"/>
        <v>0</v>
      </c>
      <c r="P60" s="2">
        <f t="shared" si="37"/>
        <v>0</v>
      </c>
      <c r="Q60" s="2">
        <f t="shared" si="17"/>
        <v>0</v>
      </c>
      <c r="R60" s="2">
        <f t="shared" si="18"/>
        <v>0</v>
      </c>
      <c r="S60" s="2"/>
      <c r="T60" s="2"/>
      <c r="U60" s="2"/>
      <c r="V60" s="2"/>
      <c r="W60" s="2" t="s">
        <v>134</v>
      </c>
      <c r="X60" s="2" t="s">
        <v>134</v>
      </c>
      <c r="Y60" s="2" t="s">
        <v>134</v>
      </c>
      <c r="Z60" s="2">
        <f t="shared" si="19"/>
        <v>0</v>
      </c>
      <c r="AA60" s="2">
        <f t="shared" si="20"/>
        <v>0</v>
      </c>
      <c r="AB60" s="2">
        <f t="shared" si="38"/>
        <v>0</v>
      </c>
      <c r="AC60" s="2">
        <f t="shared" si="21"/>
        <v>0</v>
      </c>
      <c r="AD60" s="2">
        <f t="shared" si="22"/>
        <v>0</v>
      </c>
      <c r="AE60" s="2" t="s">
        <v>134</v>
      </c>
      <c r="AF60" s="2" t="s">
        <v>134</v>
      </c>
      <c r="AG60" s="2" t="s">
        <v>134</v>
      </c>
      <c r="AH60" s="2" t="s">
        <v>134</v>
      </c>
      <c r="AI60" s="2" t="s">
        <v>134</v>
      </c>
      <c r="AJ60" s="2" t="s">
        <v>134</v>
      </c>
      <c r="AK60" s="2" t="s">
        <v>134</v>
      </c>
      <c r="AL60" s="2">
        <f t="shared" si="23"/>
        <v>0</v>
      </c>
      <c r="AM60" s="2">
        <f t="shared" si="24"/>
        <v>0</v>
      </c>
      <c r="AN60" s="2">
        <f t="shared" si="39"/>
        <v>0</v>
      </c>
      <c r="AO60" s="2">
        <f t="shared" si="25"/>
        <v>0</v>
      </c>
      <c r="AP60" s="2">
        <f t="shared" si="26"/>
        <v>0</v>
      </c>
      <c r="AQ60" s="2" t="s">
        <v>134</v>
      </c>
      <c r="AR60" s="2" t="s">
        <v>134</v>
      </c>
      <c r="AS60" s="2" t="s">
        <v>134</v>
      </c>
      <c r="AT60" s="2" t="s">
        <v>134</v>
      </c>
      <c r="AU60" s="2" t="s">
        <v>8</v>
      </c>
      <c r="AV60" s="2" t="s">
        <v>8</v>
      </c>
      <c r="AW60" s="2" t="s">
        <v>134</v>
      </c>
      <c r="AX60" s="2">
        <f t="shared" si="27"/>
        <v>0</v>
      </c>
      <c r="AY60" s="2">
        <f t="shared" si="28"/>
        <v>2</v>
      </c>
      <c r="AZ60" s="2">
        <f t="shared" si="40"/>
        <v>0</v>
      </c>
      <c r="BA60" s="2">
        <f t="shared" si="29"/>
        <v>0</v>
      </c>
      <c r="BB60" s="2">
        <f t="shared" si="30"/>
        <v>0</v>
      </c>
      <c r="BC60" s="2" t="s">
        <v>134</v>
      </c>
      <c r="BD60" s="2" t="s">
        <v>134</v>
      </c>
      <c r="BE60" s="31"/>
      <c r="BF60" s="2">
        <f t="shared" si="31"/>
        <v>0</v>
      </c>
      <c r="BG60" s="2">
        <f t="shared" si="32"/>
        <v>0</v>
      </c>
      <c r="BH60" s="2">
        <f t="shared" si="41"/>
        <v>0</v>
      </c>
      <c r="BI60" s="2">
        <f t="shared" si="33"/>
        <v>0</v>
      </c>
      <c r="BJ60" s="2">
        <f t="shared" si="34"/>
        <v>0</v>
      </c>
      <c r="BK60" s="2">
        <f t="shared" si="47"/>
        <v>0</v>
      </c>
      <c r="BL60" s="2">
        <f t="shared" si="47"/>
        <v>2</v>
      </c>
      <c r="BM60" s="2">
        <f t="shared" si="47"/>
        <v>0</v>
      </c>
      <c r="BN60" s="2">
        <f t="shared" si="47"/>
        <v>0</v>
      </c>
      <c r="BO60" s="2">
        <f t="shared" si="47"/>
        <v>0</v>
      </c>
      <c r="BP60" s="26">
        <f t="shared" si="42"/>
        <v>2</v>
      </c>
    </row>
    <row r="61" spans="1:68">
      <c r="A61" s="17">
        <f t="shared" si="36"/>
        <v>58</v>
      </c>
      <c r="B61" s="16" t="s">
        <v>270</v>
      </c>
      <c r="C61" s="19" t="s">
        <v>272</v>
      </c>
      <c r="D61" s="15" t="s">
        <v>146</v>
      </c>
      <c r="E61" s="4" t="s">
        <v>13</v>
      </c>
      <c r="F61" s="5" t="s">
        <v>14</v>
      </c>
      <c r="G61" s="2"/>
      <c r="H61" s="2"/>
      <c r="I61" s="2"/>
      <c r="J61" s="2"/>
      <c r="K61" s="2"/>
      <c r="L61" s="2"/>
      <c r="M61" s="2"/>
      <c r="N61" s="2">
        <f t="shared" si="15"/>
        <v>0</v>
      </c>
      <c r="O61" s="2">
        <f t="shared" si="16"/>
        <v>0</v>
      </c>
      <c r="P61" s="2">
        <f t="shared" si="37"/>
        <v>0</v>
      </c>
      <c r="Q61" s="2">
        <f t="shared" si="17"/>
        <v>0</v>
      </c>
      <c r="R61" s="2">
        <f t="shared" si="18"/>
        <v>0</v>
      </c>
      <c r="S61" s="2"/>
      <c r="T61" s="2"/>
      <c r="U61" s="2"/>
      <c r="V61" s="2"/>
      <c r="W61" s="2"/>
      <c r="X61" s="2"/>
      <c r="Y61" s="2"/>
      <c r="Z61" s="2">
        <f t="shared" si="19"/>
        <v>0</v>
      </c>
      <c r="AA61" s="2">
        <f t="shared" si="20"/>
        <v>0</v>
      </c>
      <c r="AB61" s="2">
        <f t="shared" si="38"/>
        <v>0</v>
      </c>
      <c r="AC61" s="2">
        <f t="shared" si="21"/>
        <v>0</v>
      </c>
      <c r="AD61" s="2">
        <f t="shared" si="22"/>
        <v>0</v>
      </c>
      <c r="AE61" s="2"/>
      <c r="AF61" s="2"/>
      <c r="AG61" s="2"/>
      <c r="AH61" s="2"/>
      <c r="AI61" s="2"/>
      <c r="AJ61" s="2"/>
      <c r="AK61" s="2" t="s">
        <v>134</v>
      </c>
      <c r="AL61" s="2">
        <f t="shared" si="23"/>
        <v>0</v>
      </c>
      <c r="AM61" s="2">
        <f t="shared" si="24"/>
        <v>0</v>
      </c>
      <c r="AN61" s="2">
        <f t="shared" si="39"/>
        <v>0</v>
      </c>
      <c r="AO61" s="2">
        <f t="shared" si="25"/>
        <v>0</v>
      </c>
      <c r="AP61" s="2">
        <f t="shared" si="26"/>
        <v>0</v>
      </c>
      <c r="AQ61" s="2" t="s">
        <v>134</v>
      </c>
      <c r="AR61" s="2" t="s">
        <v>134</v>
      </c>
      <c r="AS61" s="2" t="s">
        <v>134</v>
      </c>
      <c r="AT61" s="2" t="s">
        <v>134</v>
      </c>
      <c r="AU61" s="2" t="s">
        <v>134</v>
      </c>
      <c r="AV61" s="2" t="s">
        <v>8</v>
      </c>
      <c r="AW61" s="2" t="s">
        <v>134</v>
      </c>
      <c r="AX61" s="2">
        <f t="shared" si="27"/>
        <v>0</v>
      </c>
      <c r="AY61" s="2">
        <f t="shared" si="28"/>
        <v>1</v>
      </c>
      <c r="AZ61" s="2">
        <f t="shared" si="40"/>
        <v>0</v>
      </c>
      <c r="BA61" s="2">
        <f t="shared" si="29"/>
        <v>0</v>
      </c>
      <c r="BB61" s="2">
        <f t="shared" si="30"/>
        <v>0</v>
      </c>
      <c r="BC61" s="2" t="s">
        <v>134</v>
      </c>
      <c r="BD61" s="2" t="s">
        <v>134</v>
      </c>
      <c r="BE61" s="31"/>
      <c r="BF61" s="2">
        <f t="shared" si="31"/>
        <v>0</v>
      </c>
      <c r="BG61" s="2">
        <f t="shared" si="32"/>
        <v>0</v>
      </c>
      <c r="BH61" s="2">
        <f t="shared" si="41"/>
        <v>0</v>
      </c>
      <c r="BI61" s="2">
        <f t="shared" si="33"/>
        <v>0</v>
      </c>
      <c r="BJ61" s="2">
        <f t="shared" si="34"/>
        <v>0</v>
      </c>
      <c r="BK61" s="2">
        <f t="shared" si="47"/>
        <v>0</v>
      </c>
      <c r="BL61" s="2">
        <f t="shared" si="47"/>
        <v>1</v>
      </c>
      <c r="BM61" s="2">
        <f t="shared" si="47"/>
        <v>0</v>
      </c>
      <c r="BN61" s="2">
        <f t="shared" si="47"/>
        <v>0</v>
      </c>
      <c r="BO61" s="2">
        <f t="shared" si="47"/>
        <v>0</v>
      </c>
      <c r="BP61" s="26">
        <f t="shared" si="42"/>
        <v>1</v>
      </c>
    </row>
    <row r="62" spans="1:68">
      <c r="A62" s="17">
        <f t="shared" si="36"/>
        <v>59</v>
      </c>
      <c r="B62" s="16" t="s">
        <v>271</v>
      </c>
      <c r="C62" s="19" t="s">
        <v>273</v>
      </c>
      <c r="D62" s="15" t="s">
        <v>146</v>
      </c>
      <c r="E62" s="4" t="s">
        <v>13</v>
      </c>
      <c r="F62" s="5" t="s">
        <v>14</v>
      </c>
      <c r="G62" s="2"/>
      <c r="H62" s="2"/>
      <c r="I62" s="2"/>
      <c r="J62" s="2"/>
      <c r="K62" s="2"/>
      <c r="L62" s="2"/>
      <c r="M62" s="2"/>
      <c r="N62" s="2">
        <f t="shared" si="15"/>
        <v>0</v>
      </c>
      <c r="O62" s="2">
        <f t="shared" si="16"/>
        <v>0</v>
      </c>
      <c r="P62" s="2">
        <f t="shared" si="37"/>
        <v>0</v>
      </c>
      <c r="Q62" s="2">
        <f t="shared" si="17"/>
        <v>0</v>
      </c>
      <c r="R62" s="2">
        <f t="shared" si="18"/>
        <v>0</v>
      </c>
      <c r="S62" s="2"/>
      <c r="T62" s="2"/>
      <c r="U62" s="2"/>
      <c r="V62" s="2"/>
      <c r="W62" s="2"/>
      <c r="X62" s="2"/>
      <c r="Y62" s="2"/>
      <c r="Z62" s="2">
        <f t="shared" si="19"/>
        <v>0</v>
      </c>
      <c r="AA62" s="2">
        <f t="shared" si="20"/>
        <v>0</v>
      </c>
      <c r="AB62" s="2">
        <f t="shared" si="38"/>
        <v>0</v>
      </c>
      <c r="AC62" s="2">
        <f t="shared" si="21"/>
        <v>0</v>
      </c>
      <c r="AD62" s="2">
        <f t="shared" si="22"/>
        <v>0</v>
      </c>
      <c r="AE62" s="2"/>
      <c r="AF62" s="2"/>
      <c r="AG62" s="2"/>
      <c r="AH62" s="2"/>
      <c r="AI62" s="2"/>
      <c r="AJ62" s="2"/>
      <c r="AK62" s="2" t="s">
        <v>134</v>
      </c>
      <c r="AL62" s="2">
        <f t="shared" si="23"/>
        <v>0</v>
      </c>
      <c r="AM62" s="2">
        <f t="shared" si="24"/>
        <v>0</v>
      </c>
      <c r="AN62" s="2">
        <f t="shared" si="39"/>
        <v>0</v>
      </c>
      <c r="AO62" s="2">
        <f t="shared" si="25"/>
        <v>0</v>
      </c>
      <c r="AP62" s="2">
        <f t="shared" si="26"/>
        <v>0</v>
      </c>
      <c r="AQ62" s="2" t="s">
        <v>134</v>
      </c>
      <c r="AR62" s="2" t="s">
        <v>134</v>
      </c>
      <c r="AS62" s="2" t="s">
        <v>134</v>
      </c>
      <c r="AT62" s="2" t="s">
        <v>134</v>
      </c>
      <c r="AU62" s="2" t="s">
        <v>8</v>
      </c>
      <c r="AV62" s="2" t="s">
        <v>134</v>
      </c>
      <c r="AW62" s="2" t="s">
        <v>134</v>
      </c>
      <c r="AX62" s="2">
        <f t="shared" si="27"/>
        <v>0</v>
      </c>
      <c r="AY62" s="2">
        <f t="shared" si="28"/>
        <v>1</v>
      </c>
      <c r="AZ62" s="2">
        <f t="shared" si="40"/>
        <v>0</v>
      </c>
      <c r="BA62" s="2">
        <f t="shared" si="29"/>
        <v>0</v>
      </c>
      <c r="BB62" s="2">
        <f t="shared" si="30"/>
        <v>0</v>
      </c>
      <c r="BC62" s="2" t="s">
        <v>134</v>
      </c>
      <c r="BD62" s="2" t="s">
        <v>134</v>
      </c>
      <c r="BE62" s="31"/>
      <c r="BF62" s="2">
        <f t="shared" si="31"/>
        <v>0</v>
      </c>
      <c r="BG62" s="2">
        <f t="shared" si="32"/>
        <v>0</v>
      </c>
      <c r="BH62" s="2">
        <f t="shared" si="41"/>
        <v>0</v>
      </c>
      <c r="BI62" s="2">
        <f t="shared" si="33"/>
        <v>0</v>
      </c>
      <c r="BJ62" s="2">
        <f t="shared" si="34"/>
        <v>0</v>
      </c>
      <c r="BK62" s="2">
        <f t="shared" si="47"/>
        <v>0</v>
      </c>
      <c r="BL62" s="2">
        <f t="shared" si="47"/>
        <v>1</v>
      </c>
      <c r="BM62" s="2">
        <f t="shared" si="47"/>
        <v>0</v>
      </c>
      <c r="BN62" s="2">
        <f t="shared" si="47"/>
        <v>0</v>
      </c>
      <c r="BO62" s="2">
        <f t="shared" si="47"/>
        <v>0</v>
      </c>
      <c r="BP62" s="26">
        <f t="shared" si="42"/>
        <v>1</v>
      </c>
    </row>
    <row r="63" spans="1:6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">
        <f>SUM(N4:N62)</f>
        <v>54</v>
      </c>
      <c r="O63" s="2">
        <f>SUM(O4:O62)</f>
        <v>0</v>
      </c>
      <c r="P63" s="2">
        <f>SUM(P4:P62)</f>
        <v>0</v>
      </c>
      <c r="Q63" s="2">
        <f>SUM(Q4:Q62)</f>
        <v>0</v>
      </c>
      <c r="R63" s="2">
        <f>SUM(R4:R62)</f>
        <v>4</v>
      </c>
      <c r="S63" s="1"/>
      <c r="T63" s="1"/>
      <c r="U63" s="1"/>
      <c r="V63" s="1"/>
      <c r="W63" s="1"/>
      <c r="X63" s="1"/>
      <c r="Y63" s="1"/>
      <c r="Z63" s="2">
        <f>SUM(Z4:Z62)</f>
        <v>46</v>
      </c>
      <c r="AA63" s="2">
        <f>SUM(AA4:AA62)</f>
        <v>2</v>
      </c>
      <c r="AB63" s="2">
        <f>SUM(AB4:AB62)</f>
        <v>0</v>
      </c>
      <c r="AC63" s="2">
        <f>SUM(AC4:AC62)</f>
        <v>0</v>
      </c>
      <c r="AD63" s="2">
        <f>SUM(AD4:AD62)</f>
        <v>11</v>
      </c>
      <c r="AE63" s="1"/>
      <c r="AF63" s="1"/>
      <c r="AG63" s="1"/>
      <c r="AH63" s="1"/>
      <c r="AI63" s="1"/>
      <c r="AJ63" s="1"/>
      <c r="AK63" s="1"/>
      <c r="AL63" s="2">
        <f>SUM(AL4:AL62)</f>
        <v>55</v>
      </c>
      <c r="AM63" s="2">
        <f>SUM(AM4:AM62)</f>
        <v>1</v>
      </c>
      <c r="AN63" s="2">
        <f>SUM(AN4:AN62)</f>
        <v>3</v>
      </c>
      <c r="AO63" s="2">
        <f>SUM(AO4:AO62)</f>
        <v>0</v>
      </c>
      <c r="AP63" s="2">
        <f>SUM(AP4:AP62)</f>
        <v>4</v>
      </c>
      <c r="AQ63" s="1"/>
      <c r="AR63" s="1"/>
      <c r="AS63" s="1"/>
      <c r="AT63" s="1"/>
      <c r="AU63" s="1"/>
      <c r="AV63" s="1"/>
      <c r="AW63" s="1"/>
      <c r="AX63" s="2">
        <f>SUM(AX4:AX62)</f>
        <v>46</v>
      </c>
      <c r="AY63" s="2">
        <f>SUM(AY4:AY62)</f>
        <v>7</v>
      </c>
      <c r="AZ63" s="2">
        <f>SUM(AZ4:AZ62)</f>
        <v>8</v>
      </c>
      <c r="BA63" s="2">
        <f>SUM(BA4:BA62)</f>
        <v>0</v>
      </c>
      <c r="BB63" s="2">
        <f>SUM(BB4:BB62)</f>
        <v>2</v>
      </c>
      <c r="BC63" s="1"/>
      <c r="BD63" s="1"/>
      <c r="BE63" s="1"/>
      <c r="BF63" s="2">
        <f>SUM(BF4:BF62)</f>
        <v>18</v>
      </c>
      <c r="BG63" s="2">
        <f>SUM(BG4:BG62)</f>
        <v>0</v>
      </c>
      <c r="BH63" s="2">
        <f>SUM(BH4:BH62)</f>
        <v>4</v>
      </c>
      <c r="BI63" s="2">
        <f>SUM(BI4:BI62)</f>
        <v>0</v>
      </c>
      <c r="BJ63" s="2">
        <f>SUM(BJ4:BJ62)</f>
        <v>0</v>
      </c>
      <c r="BK63" s="2">
        <f t="shared" si="47"/>
        <v>219</v>
      </c>
      <c r="BL63" s="2">
        <f t="shared" si="47"/>
        <v>10</v>
      </c>
      <c r="BM63" s="2">
        <f t="shared" si="47"/>
        <v>15</v>
      </c>
      <c r="BN63" s="2">
        <f t="shared" si="47"/>
        <v>0</v>
      </c>
      <c r="BO63" s="2">
        <f t="shared" si="47"/>
        <v>21</v>
      </c>
      <c r="BP63" s="26">
        <f t="shared" si="42"/>
        <v>265</v>
      </c>
    </row>
    <row r="64" spans="1:68">
      <c r="A64" s="1"/>
      <c r="B64" s="1"/>
      <c r="C64" s="1"/>
      <c r="D64" s="1"/>
      <c r="E64" s="1"/>
      <c r="F64" s="6" t="s">
        <v>135</v>
      </c>
      <c r="G64" s="2">
        <f>+COUNTA(G4:G62)-COUNTIF(G4:G62,"Left")</f>
        <v>55</v>
      </c>
      <c r="H64" s="2">
        <f t="shared" ref="H64:M64" si="49">+COUNTA(H4:H62)-COUNTIF(H4:H62,"Left")</f>
        <v>55</v>
      </c>
      <c r="I64" s="2">
        <f t="shared" si="49"/>
        <v>55</v>
      </c>
      <c r="J64" s="2">
        <f t="shared" si="49"/>
        <v>55</v>
      </c>
      <c r="K64" s="2">
        <f t="shared" si="49"/>
        <v>55</v>
      </c>
      <c r="L64" s="2">
        <f t="shared" si="49"/>
        <v>56</v>
      </c>
      <c r="M64" s="2">
        <f t="shared" si="49"/>
        <v>56</v>
      </c>
      <c r="S64" s="2">
        <f t="shared" ref="S64:Y64" si="50">+COUNTA(S4:S62)-COUNTIF(S4:S62,"Left")</f>
        <v>56</v>
      </c>
      <c r="T64" s="2">
        <f t="shared" si="50"/>
        <v>56</v>
      </c>
      <c r="U64" s="2">
        <f t="shared" si="50"/>
        <v>56</v>
      </c>
      <c r="V64" s="2">
        <f t="shared" si="50"/>
        <v>56</v>
      </c>
      <c r="W64" s="2">
        <f t="shared" si="50"/>
        <v>57</v>
      </c>
      <c r="X64" s="2">
        <f t="shared" si="50"/>
        <v>57</v>
      </c>
      <c r="Y64" s="2">
        <f t="shared" si="50"/>
        <v>57</v>
      </c>
      <c r="AE64" s="2">
        <f t="shared" ref="AE64:AK64" si="51">+COUNTA(AE4:AE62)-COUNTIF(AE4:AE62,"Left")</f>
        <v>57</v>
      </c>
      <c r="AF64" s="2">
        <f t="shared" si="51"/>
        <v>57</v>
      </c>
      <c r="AG64" s="2">
        <f t="shared" si="51"/>
        <v>57</v>
      </c>
      <c r="AH64" s="2">
        <f t="shared" si="51"/>
        <v>57</v>
      </c>
      <c r="AI64" s="2">
        <f t="shared" si="51"/>
        <v>56</v>
      </c>
      <c r="AJ64" s="2">
        <f t="shared" si="51"/>
        <v>56</v>
      </c>
      <c r="AK64" s="2">
        <f t="shared" si="51"/>
        <v>58</v>
      </c>
      <c r="AQ64" s="2">
        <f t="shared" ref="AQ64:AW64" si="52">+COUNTA(AQ4:AQ62)-COUNTIF(AQ4:AQ62,"Left")</f>
        <v>58</v>
      </c>
      <c r="AR64" s="2">
        <f t="shared" si="52"/>
        <v>58</v>
      </c>
      <c r="AS64" s="2">
        <f t="shared" si="52"/>
        <v>58</v>
      </c>
      <c r="AT64" s="2">
        <f t="shared" si="52"/>
        <v>57</v>
      </c>
      <c r="AU64" s="2">
        <f t="shared" si="52"/>
        <v>57</v>
      </c>
      <c r="AV64" s="2">
        <f t="shared" si="52"/>
        <v>57</v>
      </c>
      <c r="AW64" s="2">
        <f t="shared" si="52"/>
        <v>57</v>
      </c>
      <c r="BC64" s="2">
        <f t="shared" ref="BC64:BD64" si="53">+COUNTA(BC4:BC62)-COUNTIF(BC4:BC62,"Left")</f>
        <v>57</v>
      </c>
      <c r="BD64" s="2">
        <f t="shared" si="53"/>
        <v>57</v>
      </c>
      <c r="BE64" s="2">
        <f>+COUNTA(BE4:BE59)-COUNTIF(BE4:BE59,"Left")</f>
        <v>56</v>
      </c>
      <c r="BP64" s="26"/>
    </row>
    <row r="65" spans="1:68">
      <c r="A65" s="1"/>
      <c r="B65" s="1"/>
      <c r="C65" s="1"/>
      <c r="D65" s="1"/>
      <c r="E65" s="1"/>
      <c r="F65" s="6" t="s">
        <v>9</v>
      </c>
      <c r="G65" s="2">
        <f>COUNTIF(G4:G62,"Agent Choice WO")+COUNTIF(G4:G62,"TL Choice WO")</f>
        <v>10</v>
      </c>
      <c r="H65" s="2">
        <f t="shared" ref="H65:M65" si="54">COUNTIF(H4:H62,"Agent Choice WO")+COUNTIF(H4:H62,"TL Choice WO")</f>
        <v>6</v>
      </c>
      <c r="I65" s="2">
        <f t="shared" si="54"/>
        <v>6</v>
      </c>
      <c r="J65" s="2">
        <f t="shared" si="54"/>
        <v>8</v>
      </c>
      <c r="K65" s="2">
        <f t="shared" si="54"/>
        <v>5</v>
      </c>
      <c r="L65" s="2">
        <f t="shared" si="54"/>
        <v>10</v>
      </c>
      <c r="M65" s="2">
        <f t="shared" si="54"/>
        <v>9</v>
      </c>
      <c r="S65" s="2">
        <f t="shared" ref="S65:Y65" si="55">COUNTIF(S4:S62,"Agent Choice WO")+COUNTIF(S4:S62,"TL Choice WO")</f>
        <v>7</v>
      </c>
      <c r="T65" s="2">
        <f t="shared" si="55"/>
        <v>5</v>
      </c>
      <c r="U65" s="2">
        <f t="shared" si="55"/>
        <v>4</v>
      </c>
      <c r="V65" s="2">
        <f t="shared" si="55"/>
        <v>4</v>
      </c>
      <c r="W65" s="2">
        <f t="shared" si="55"/>
        <v>8</v>
      </c>
      <c r="X65" s="2">
        <f t="shared" si="55"/>
        <v>11</v>
      </c>
      <c r="Y65" s="2">
        <f t="shared" si="55"/>
        <v>9</v>
      </c>
      <c r="AE65" s="2">
        <f t="shared" ref="AE65:AK65" si="56">COUNTIF(AE4:AE62,"Agent Choice WO")+COUNTIF(AE4:AE62,"TL Choice WO")</f>
        <v>9</v>
      </c>
      <c r="AF65" s="2">
        <f t="shared" si="56"/>
        <v>8</v>
      </c>
      <c r="AG65" s="2">
        <f t="shared" si="56"/>
        <v>9</v>
      </c>
      <c r="AH65" s="2">
        <f t="shared" si="56"/>
        <v>7</v>
      </c>
      <c r="AI65" s="2">
        <f t="shared" si="56"/>
        <v>7</v>
      </c>
      <c r="AJ65" s="2">
        <f t="shared" si="56"/>
        <v>11</v>
      </c>
      <c r="AK65" s="2">
        <f t="shared" si="56"/>
        <v>5</v>
      </c>
      <c r="AQ65" s="2">
        <f t="shared" ref="AQ65:AW65" si="57">COUNTIF(AQ4:AQ62,"Agent Choice WO")+COUNTIF(AQ4:AQ62,"TL Choice WO")</f>
        <v>6</v>
      </c>
      <c r="AR65" s="2">
        <f t="shared" si="57"/>
        <v>6</v>
      </c>
      <c r="AS65" s="2">
        <f t="shared" si="57"/>
        <v>9</v>
      </c>
      <c r="AT65" s="2">
        <f t="shared" si="57"/>
        <v>2</v>
      </c>
      <c r="AU65" s="2">
        <f t="shared" si="57"/>
        <v>11</v>
      </c>
      <c r="AV65" s="2">
        <f t="shared" si="57"/>
        <v>11</v>
      </c>
      <c r="AW65" s="2">
        <f t="shared" si="57"/>
        <v>8</v>
      </c>
      <c r="BC65" s="2">
        <f t="shared" ref="BC65:BD65" si="58">COUNTIF(BC4:BC62,"Agent Choice WO")+COUNTIF(BC4:BC62,"TL Choice WO")</f>
        <v>9</v>
      </c>
      <c r="BD65" s="2">
        <f t="shared" si="58"/>
        <v>8</v>
      </c>
      <c r="BE65" s="2">
        <f>COUNTIF(BE4:BE59,"Agent Choice WO")+COUNTIF(BE4:BE59,"TL Choice WO")</f>
        <v>1</v>
      </c>
      <c r="BP65" s="26"/>
    </row>
    <row r="66" spans="1:68">
      <c r="A66" s="1"/>
      <c r="B66" s="1"/>
      <c r="C66" s="1"/>
      <c r="D66" s="1"/>
      <c r="E66" s="1"/>
      <c r="F66" s="6" t="s">
        <v>5</v>
      </c>
      <c r="G66" s="2">
        <f>COUNTIF(G4:G62,"HD")</f>
        <v>0</v>
      </c>
      <c r="H66" s="2">
        <f t="shared" ref="H66:M66" si="59">COUNTIF(H4:H62,"HD")</f>
        <v>0</v>
      </c>
      <c r="I66" s="2">
        <f t="shared" si="59"/>
        <v>0</v>
      </c>
      <c r="J66" s="2">
        <f t="shared" si="59"/>
        <v>0</v>
      </c>
      <c r="K66" s="2">
        <f t="shared" si="59"/>
        <v>0</v>
      </c>
      <c r="L66" s="2">
        <f t="shared" si="59"/>
        <v>0</v>
      </c>
      <c r="M66" s="2">
        <f t="shared" si="59"/>
        <v>0</v>
      </c>
      <c r="S66" s="2">
        <f t="shared" ref="S66:Y66" si="60">COUNTIF(S4:S62,"HD")</f>
        <v>0</v>
      </c>
      <c r="T66" s="2">
        <f t="shared" si="60"/>
        <v>0</v>
      </c>
      <c r="U66" s="2">
        <f t="shared" si="60"/>
        <v>0</v>
      </c>
      <c r="V66" s="2">
        <f t="shared" si="60"/>
        <v>0</v>
      </c>
      <c r="W66" s="2">
        <f t="shared" si="60"/>
        <v>0</v>
      </c>
      <c r="X66" s="2">
        <f t="shared" si="60"/>
        <v>0</v>
      </c>
      <c r="Y66" s="2">
        <f t="shared" si="60"/>
        <v>0</v>
      </c>
      <c r="AE66" s="2">
        <f t="shared" ref="AE66:AK66" si="61">COUNTIF(AE4:AE62,"HD")</f>
        <v>0</v>
      </c>
      <c r="AF66" s="2">
        <f t="shared" si="61"/>
        <v>0</v>
      </c>
      <c r="AG66" s="2">
        <f t="shared" si="61"/>
        <v>0</v>
      </c>
      <c r="AH66" s="2">
        <f t="shared" si="61"/>
        <v>0</v>
      </c>
      <c r="AI66" s="2">
        <f t="shared" si="61"/>
        <v>0</v>
      </c>
      <c r="AJ66" s="2">
        <f t="shared" si="61"/>
        <v>0</v>
      </c>
      <c r="AK66" s="2">
        <f t="shared" si="61"/>
        <v>0</v>
      </c>
      <c r="AQ66" s="2">
        <f t="shared" ref="AQ66:AW66" si="62">COUNTIF(AQ4:AQ62,"HD")</f>
        <v>0</v>
      </c>
      <c r="AR66" s="2">
        <f t="shared" si="62"/>
        <v>0</v>
      </c>
      <c r="AS66" s="2">
        <f t="shared" si="62"/>
        <v>0</v>
      </c>
      <c r="AT66" s="2">
        <f t="shared" si="62"/>
        <v>0</v>
      </c>
      <c r="AU66" s="2">
        <f t="shared" si="62"/>
        <v>0</v>
      </c>
      <c r="AV66" s="2">
        <f t="shared" si="62"/>
        <v>0</v>
      </c>
      <c r="AW66" s="2">
        <f t="shared" si="62"/>
        <v>0</v>
      </c>
      <c r="BC66" s="2">
        <f t="shared" ref="BC66:BD66" si="63">COUNTIF(BC4:BC62,"HD")</f>
        <v>0</v>
      </c>
      <c r="BD66" s="2">
        <f t="shared" si="63"/>
        <v>0</v>
      </c>
      <c r="BE66" s="2">
        <f>COUNTIF(BE4:BE59,"HD")</f>
        <v>0</v>
      </c>
      <c r="BP66" s="26"/>
    </row>
    <row r="67" spans="1:68">
      <c r="A67" s="1"/>
      <c r="B67" s="1"/>
      <c r="C67" s="1"/>
      <c r="D67" s="1"/>
      <c r="E67" s="1"/>
      <c r="F67" s="6" t="s">
        <v>6</v>
      </c>
      <c r="G67" s="2">
        <f>COUNTIF(G4:G62,"LP")</f>
        <v>0</v>
      </c>
      <c r="H67" s="2">
        <f t="shared" ref="H67:M67" si="64">COUNTIF(H4:H62,"LP")</f>
        <v>0</v>
      </c>
      <c r="I67" s="2">
        <f t="shared" si="64"/>
        <v>0</v>
      </c>
      <c r="J67" s="2">
        <f t="shared" si="64"/>
        <v>0</v>
      </c>
      <c r="K67" s="2">
        <f t="shared" si="64"/>
        <v>1</v>
      </c>
      <c r="L67" s="2">
        <f t="shared" si="64"/>
        <v>1</v>
      </c>
      <c r="M67" s="2">
        <f t="shared" si="64"/>
        <v>2</v>
      </c>
      <c r="S67" s="2">
        <f t="shared" ref="S67:Y67" si="65">COUNTIF(S4:S62,"LP")</f>
        <v>1</v>
      </c>
      <c r="T67" s="2">
        <f t="shared" si="65"/>
        <v>2</v>
      </c>
      <c r="U67" s="2">
        <f t="shared" si="65"/>
        <v>2</v>
      </c>
      <c r="V67" s="2">
        <f t="shared" si="65"/>
        <v>3</v>
      </c>
      <c r="W67" s="2">
        <f t="shared" si="65"/>
        <v>1</v>
      </c>
      <c r="X67" s="2">
        <f t="shared" si="65"/>
        <v>1</v>
      </c>
      <c r="Y67" s="2">
        <f t="shared" si="65"/>
        <v>1</v>
      </c>
      <c r="AE67" s="2">
        <f t="shared" ref="AE67:AK67" si="66">COUNTIF(AE4:AE62,"LP")</f>
        <v>1</v>
      </c>
      <c r="AF67" s="2">
        <f t="shared" si="66"/>
        <v>1</v>
      </c>
      <c r="AG67" s="2">
        <f t="shared" si="66"/>
        <v>1</v>
      </c>
      <c r="AH67" s="2">
        <f t="shared" si="66"/>
        <v>0</v>
      </c>
      <c r="AI67" s="2">
        <f t="shared" si="66"/>
        <v>0</v>
      </c>
      <c r="AJ67" s="2">
        <f t="shared" si="66"/>
        <v>1</v>
      </c>
      <c r="AK67" s="2">
        <f t="shared" si="66"/>
        <v>0</v>
      </c>
      <c r="AQ67" s="2">
        <f t="shared" ref="AQ67:AW67" si="67">COUNTIF(AQ4:AQ62,"LP")</f>
        <v>1</v>
      </c>
      <c r="AR67" s="2">
        <f t="shared" si="67"/>
        <v>0</v>
      </c>
      <c r="AS67" s="2">
        <f t="shared" si="67"/>
        <v>1</v>
      </c>
      <c r="AT67" s="2">
        <f t="shared" si="67"/>
        <v>0</v>
      </c>
      <c r="AU67" s="2">
        <f t="shared" si="67"/>
        <v>0</v>
      </c>
      <c r="AV67" s="2">
        <f t="shared" si="67"/>
        <v>0</v>
      </c>
      <c r="AW67" s="2">
        <f t="shared" si="67"/>
        <v>0</v>
      </c>
      <c r="BC67" s="2">
        <f t="shared" ref="BC67:BD67" si="68">COUNTIF(BC4:BC62,"LP")</f>
        <v>0</v>
      </c>
      <c r="BD67" s="2">
        <f t="shared" si="68"/>
        <v>0</v>
      </c>
      <c r="BE67" s="2">
        <f>COUNTIF(BE4:BE59,"LP")</f>
        <v>0</v>
      </c>
      <c r="BP67" s="26"/>
    </row>
    <row r="68" spans="1:68">
      <c r="A68" s="1"/>
      <c r="B68" s="1"/>
      <c r="C68" s="1"/>
      <c r="D68" s="1"/>
      <c r="E68" s="1"/>
      <c r="F68" s="6" t="s">
        <v>248</v>
      </c>
      <c r="G68" s="2">
        <f>COUNTIF(G5:G62,"CL")</f>
        <v>0</v>
      </c>
      <c r="H68" s="2">
        <f t="shared" ref="H68:M68" si="69">COUNTIF(H5:H62,"CL")</f>
        <v>0</v>
      </c>
      <c r="I68" s="2">
        <f t="shared" si="69"/>
        <v>0</v>
      </c>
      <c r="J68" s="2">
        <f t="shared" si="69"/>
        <v>0</v>
      </c>
      <c r="K68" s="2">
        <f t="shared" si="69"/>
        <v>0</v>
      </c>
      <c r="L68" s="2">
        <f t="shared" si="69"/>
        <v>0</v>
      </c>
      <c r="M68" s="2">
        <f t="shared" si="69"/>
        <v>0</v>
      </c>
      <c r="S68" s="2">
        <f t="shared" ref="S68:Y68" si="70">COUNTIF(S5:S62,"CL")</f>
        <v>0</v>
      </c>
      <c r="T68" s="2">
        <f t="shared" si="70"/>
        <v>0</v>
      </c>
      <c r="U68" s="2">
        <f t="shared" si="70"/>
        <v>0</v>
      </c>
      <c r="V68" s="2">
        <f t="shared" si="70"/>
        <v>0</v>
      </c>
      <c r="W68" s="2">
        <f t="shared" si="70"/>
        <v>0</v>
      </c>
      <c r="X68" s="2">
        <f t="shared" si="70"/>
        <v>0</v>
      </c>
      <c r="Y68" s="2">
        <f t="shared" si="70"/>
        <v>0</v>
      </c>
      <c r="AE68" s="2">
        <f t="shared" ref="AE68:AK68" si="71">COUNTIF(AE5:AE62,"CL")</f>
        <v>0</v>
      </c>
      <c r="AF68" s="2">
        <f t="shared" si="71"/>
        <v>0</v>
      </c>
      <c r="AG68" s="2">
        <f t="shared" si="71"/>
        <v>0</v>
      </c>
      <c r="AH68" s="2">
        <f t="shared" si="71"/>
        <v>1</v>
      </c>
      <c r="AI68" s="2">
        <f t="shared" si="71"/>
        <v>0</v>
      </c>
      <c r="AJ68" s="2">
        <f t="shared" si="71"/>
        <v>2</v>
      </c>
      <c r="AK68" s="2">
        <f t="shared" si="71"/>
        <v>0</v>
      </c>
      <c r="AQ68" s="2">
        <f t="shared" ref="AQ68:AW68" si="72">COUNTIF(AQ5:AQ62,"CL")</f>
        <v>1</v>
      </c>
      <c r="AR68" s="2">
        <f t="shared" si="72"/>
        <v>1</v>
      </c>
      <c r="AS68" s="2">
        <f t="shared" si="72"/>
        <v>0</v>
      </c>
      <c r="AT68" s="2">
        <f t="shared" si="72"/>
        <v>2</v>
      </c>
      <c r="AU68" s="2">
        <f t="shared" si="72"/>
        <v>0</v>
      </c>
      <c r="AV68" s="2">
        <f t="shared" si="72"/>
        <v>1</v>
      </c>
      <c r="AW68" s="2">
        <f t="shared" si="72"/>
        <v>3</v>
      </c>
      <c r="BC68" s="2">
        <f t="shared" ref="BC68:BD68" si="73">COUNTIF(BC5:BC62,"CL")</f>
        <v>2</v>
      </c>
      <c r="BD68" s="2">
        <f t="shared" si="73"/>
        <v>2</v>
      </c>
      <c r="BE68" s="2">
        <f>COUNTIF(BE5:BE59,"CL")</f>
        <v>0</v>
      </c>
      <c r="BP68" s="26"/>
    </row>
    <row r="69" spans="1:68">
      <c r="A69" s="1"/>
      <c r="B69" s="1"/>
      <c r="C69" s="1"/>
      <c r="D69" s="1"/>
      <c r="E69" s="1"/>
      <c r="F69" s="6" t="s">
        <v>136</v>
      </c>
      <c r="G69" s="2">
        <f>COUNTIF(G4:G62,"Left")</f>
        <v>0</v>
      </c>
      <c r="H69" s="2">
        <f t="shared" ref="H69:M69" si="74">COUNTIF(H4:H62,"Left")</f>
        <v>0</v>
      </c>
      <c r="I69" s="2">
        <f t="shared" si="74"/>
        <v>0</v>
      </c>
      <c r="J69" s="2">
        <f t="shared" si="74"/>
        <v>0</v>
      </c>
      <c r="K69" s="2">
        <f t="shared" si="74"/>
        <v>0</v>
      </c>
      <c r="L69" s="2">
        <f t="shared" si="74"/>
        <v>0</v>
      </c>
      <c r="M69" s="2">
        <f t="shared" si="74"/>
        <v>0</v>
      </c>
      <c r="S69" s="2">
        <f t="shared" ref="S69:Y69" si="75">COUNTIF(S4:S62,"Left")</f>
        <v>0</v>
      </c>
      <c r="T69" s="2">
        <f t="shared" si="75"/>
        <v>0</v>
      </c>
      <c r="U69" s="2">
        <f t="shared" si="75"/>
        <v>0</v>
      </c>
      <c r="V69" s="2">
        <f t="shared" si="75"/>
        <v>0</v>
      </c>
      <c r="W69" s="2">
        <f t="shared" si="75"/>
        <v>0</v>
      </c>
      <c r="X69" s="2">
        <f t="shared" si="75"/>
        <v>0</v>
      </c>
      <c r="Y69" s="2">
        <f t="shared" si="75"/>
        <v>0</v>
      </c>
      <c r="AE69" s="2">
        <f t="shared" ref="AE69:AK69" si="76">COUNTIF(AE4:AE62,"Left")</f>
        <v>0</v>
      </c>
      <c r="AF69" s="2">
        <f t="shared" si="76"/>
        <v>0</v>
      </c>
      <c r="AG69" s="2">
        <f t="shared" si="76"/>
        <v>0</v>
      </c>
      <c r="AH69" s="2">
        <f t="shared" si="76"/>
        <v>0</v>
      </c>
      <c r="AI69" s="2">
        <f t="shared" si="76"/>
        <v>1</v>
      </c>
      <c r="AJ69" s="2">
        <f t="shared" si="76"/>
        <v>1</v>
      </c>
      <c r="AK69" s="2">
        <f t="shared" si="76"/>
        <v>1</v>
      </c>
      <c r="AQ69" s="2">
        <f t="shared" ref="AQ69:AW69" si="77">COUNTIF(AQ4:AQ62,"Left")</f>
        <v>1</v>
      </c>
      <c r="AR69" s="2">
        <f t="shared" si="77"/>
        <v>1</v>
      </c>
      <c r="AS69" s="2">
        <f t="shared" si="77"/>
        <v>1</v>
      </c>
      <c r="AT69" s="2">
        <f t="shared" si="77"/>
        <v>2</v>
      </c>
      <c r="AU69" s="2">
        <f t="shared" si="77"/>
        <v>2</v>
      </c>
      <c r="AV69" s="2">
        <f t="shared" si="77"/>
        <v>2</v>
      </c>
      <c r="AW69" s="2">
        <f t="shared" si="77"/>
        <v>2</v>
      </c>
      <c r="BC69" s="2">
        <f t="shared" ref="BC69:BD69" si="78">COUNTIF(BC4:BC62,"Left")</f>
        <v>2</v>
      </c>
      <c r="BD69" s="2">
        <f t="shared" si="78"/>
        <v>2</v>
      </c>
      <c r="BE69" s="2">
        <f>COUNTIF(BE4:BE59,"Left")</f>
        <v>0</v>
      </c>
      <c r="BP69" s="26"/>
    </row>
    <row r="70" spans="1:68">
      <c r="A70" s="1"/>
      <c r="B70" s="1"/>
      <c r="C70" s="1"/>
      <c r="D70" s="1"/>
      <c r="E70" s="1"/>
      <c r="F70" s="6" t="s">
        <v>137</v>
      </c>
      <c r="G70" s="2">
        <f>G64-G65-G66-G67-G68</f>
        <v>45</v>
      </c>
      <c r="H70" s="2">
        <f t="shared" ref="H70:M70" si="79">H64-H65-H66-H67-H68</f>
        <v>49</v>
      </c>
      <c r="I70" s="2">
        <f t="shared" si="79"/>
        <v>49</v>
      </c>
      <c r="J70" s="2">
        <f t="shared" si="79"/>
        <v>47</v>
      </c>
      <c r="K70" s="2">
        <f t="shared" si="79"/>
        <v>49</v>
      </c>
      <c r="L70" s="2">
        <f t="shared" si="79"/>
        <v>45</v>
      </c>
      <c r="M70" s="2">
        <f t="shared" si="79"/>
        <v>45</v>
      </c>
      <c r="S70" s="2">
        <f t="shared" ref="S70:Y70" si="80">S64-S65-S66-S67-S68</f>
        <v>48</v>
      </c>
      <c r="T70" s="2">
        <f t="shared" si="80"/>
        <v>49</v>
      </c>
      <c r="U70" s="2">
        <f t="shared" si="80"/>
        <v>50</v>
      </c>
      <c r="V70" s="2">
        <f t="shared" si="80"/>
        <v>49</v>
      </c>
      <c r="W70" s="2">
        <f t="shared" si="80"/>
        <v>48</v>
      </c>
      <c r="X70" s="2">
        <f t="shared" si="80"/>
        <v>45</v>
      </c>
      <c r="Y70" s="2">
        <f t="shared" si="80"/>
        <v>47</v>
      </c>
      <c r="AE70" s="2">
        <f t="shared" ref="AE70:AK70" si="81">AE64-AE65-AE66-AE67-AE68</f>
        <v>47</v>
      </c>
      <c r="AF70" s="2">
        <f t="shared" si="81"/>
        <v>48</v>
      </c>
      <c r="AG70" s="2">
        <f t="shared" si="81"/>
        <v>47</v>
      </c>
      <c r="AH70" s="2">
        <f t="shared" si="81"/>
        <v>49</v>
      </c>
      <c r="AI70" s="2">
        <f t="shared" si="81"/>
        <v>49</v>
      </c>
      <c r="AJ70" s="2">
        <f t="shared" si="81"/>
        <v>42</v>
      </c>
      <c r="AK70" s="2">
        <f t="shared" si="81"/>
        <v>53</v>
      </c>
      <c r="AQ70" s="2">
        <f t="shared" ref="AQ70:AW70" si="82">AQ64-AQ65-AQ66-AQ67-AQ68</f>
        <v>50</v>
      </c>
      <c r="AR70" s="2">
        <f t="shared" si="82"/>
        <v>51</v>
      </c>
      <c r="AS70" s="2">
        <f t="shared" si="82"/>
        <v>48</v>
      </c>
      <c r="AT70" s="2">
        <f t="shared" si="82"/>
        <v>53</v>
      </c>
      <c r="AU70" s="2">
        <f t="shared" si="82"/>
        <v>46</v>
      </c>
      <c r="AV70" s="2">
        <f t="shared" si="82"/>
        <v>45</v>
      </c>
      <c r="AW70" s="2">
        <f t="shared" si="82"/>
        <v>46</v>
      </c>
      <c r="BC70" s="2">
        <f t="shared" ref="BC70:BD70" si="83">BC64-BC65-BC66-BC67-BC68</f>
        <v>46</v>
      </c>
      <c r="BD70" s="2">
        <f t="shared" si="83"/>
        <v>47</v>
      </c>
      <c r="BE70" s="2">
        <f t="shared" ref="BE70" si="84">BE64-BE65-BE66-BE67-BE68</f>
        <v>55</v>
      </c>
      <c r="BP70" s="26"/>
    </row>
    <row r="71" spans="1:68">
      <c r="A71" s="1"/>
      <c r="B71" s="1"/>
      <c r="C71" s="1"/>
      <c r="D71" s="1"/>
      <c r="E71" s="1"/>
      <c r="F71" s="6" t="s">
        <v>138</v>
      </c>
      <c r="G71" s="2">
        <f>+G67+G65+G68</f>
        <v>10</v>
      </c>
      <c r="H71" s="2">
        <f t="shared" ref="H71:M71" si="85">+H67+H65+H68</f>
        <v>6</v>
      </c>
      <c r="I71" s="2">
        <f t="shared" si="85"/>
        <v>6</v>
      </c>
      <c r="J71" s="2">
        <f t="shared" si="85"/>
        <v>8</v>
      </c>
      <c r="K71" s="2">
        <f t="shared" si="85"/>
        <v>6</v>
      </c>
      <c r="L71" s="2">
        <f t="shared" si="85"/>
        <v>11</v>
      </c>
      <c r="M71" s="2">
        <f t="shared" si="85"/>
        <v>11</v>
      </c>
      <c r="S71" s="2">
        <f t="shared" ref="S71:Y71" si="86">+S67+S65+S68</f>
        <v>8</v>
      </c>
      <c r="T71" s="2">
        <f t="shared" si="86"/>
        <v>7</v>
      </c>
      <c r="U71" s="2">
        <f t="shared" si="86"/>
        <v>6</v>
      </c>
      <c r="V71" s="2">
        <f t="shared" si="86"/>
        <v>7</v>
      </c>
      <c r="W71" s="2">
        <f t="shared" si="86"/>
        <v>9</v>
      </c>
      <c r="X71" s="2">
        <f t="shared" si="86"/>
        <v>12</v>
      </c>
      <c r="Y71" s="2">
        <f t="shared" si="86"/>
        <v>10</v>
      </c>
      <c r="AE71" s="2">
        <f t="shared" ref="AE71:AK71" si="87">+AE67+AE65+AE68</f>
        <v>10</v>
      </c>
      <c r="AF71" s="2">
        <f t="shared" si="87"/>
        <v>9</v>
      </c>
      <c r="AG71" s="2">
        <f t="shared" si="87"/>
        <v>10</v>
      </c>
      <c r="AH71" s="2">
        <f t="shared" si="87"/>
        <v>8</v>
      </c>
      <c r="AI71" s="2">
        <f t="shared" si="87"/>
        <v>7</v>
      </c>
      <c r="AJ71" s="2">
        <f t="shared" si="87"/>
        <v>14</v>
      </c>
      <c r="AK71" s="2">
        <f t="shared" si="87"/>
        <v>5</v>
      </c>
      <c r="AQ71" s="2">
        <f t="shared" ref="AQ71:AW71" si="88">+AQ67+AQ65+AQ68</f>
        <v>8</v>
      </c>
      <c r="AR71" s="2">
        <f t="shared" si="88"/>
        <v>7</v>
      </c>
      <c r="AS71" s="2">
        <f t="shared" si="88"/>
        <v>10</v>
      </c>
      <c r="AT71" s="2">
        <f t="shared" si="88"/>
        <v>4</v>
      </c>
      <c r="AU71" s="2">
        <f t="shared" si="88"/>
        <v>11</v>
      </c>
      <c r="AV71" s="2">
        <f t="shared" si="88"/>
        <v>12</v>
      </c>
      <c r="AW71" s="2">
        <f t="shared" si="88"/>
        <v>11</v>
      </c>
      <c r="BC71" s="2">
        <f t="shared" ref="BC71:BD71" si="89">+BC67+BC65+BC68</f>
        <v>11</v>
      </c>
      <c r="BD71" s="2">
        <f t="shared" si="89"/>
        <v>10</v>
      </c>
      <c r="BE71" s="2">
        <f t="shared" ref="BE71" si="90">+BE67+BE65+BE68</f>
        <v>1</v>
      </c>
      <c r="BP71" s="26"/>
    </row>
    <row r="72" spans="1:68">
      <c r="A72" s="1"/>
      <c r="B72" s="1"/>
      <c r="C72" s="1"/>
      <c r="D72" s="1"/>
      <c r="E72" s="1"/>
      <c r="F72" s="6" t="s">
        <v>139</v>
      </c>
      <c r="G72" s="7">
        <f>G71/G64</f>
        <v>0.18181818181818182</v>
      </c>
      <c r="H72" s="7">
        <f t="shared" ref="H72:M72" si="91">H71/H64</f>
        <v>0.10909090909090909</v>
      </c>
      <c r="I72" s="7">
        <f t="shared" si="91"/>
        <v>0.10909090909090909</v>
      </c>
      <c r="J72" s="7">
        <f t="shared" si="91"/>
        <v>0.14545454545454545</v>
      </c>
      <c r="K72" s="7">
        <f t="shared" si="91"/>
        <v>0.10909090909090909</v>
      </c>
      <c r="L72" s="7">
        <f t="shared" si="91"/>
        <v>0.19642857142857142</v>
      </c>
      <c r="M72" s="7">
        <f t="shared" si="91"/>
        <v>0.19642857142857142</v>
      </c>
      <c r="S72" s="7">
        <f t="shared" ref="S72:Y72" si="92">S71/S64</f>
        <v>0.14285714285714285</v>
      </c>
      <c r="T72" s="7">
        <f t="shared" si="92"/>
        <v>0.125</v>
      </c>
      <c r="U72" s="7">
        <f t="shared" si="92"/>
        <v>0.10714285714285714</v>
      </c>
      <c r="V72" s="7">
        <f t="shared" si="92"/>
        <v>0.125</v>
      </c>
      <c r="W72" s="7">
        <f t="shared" si="92"/>
        <v>0.15789473684210525</v>
      </c>
      <c r="X72" s="7">
        <f t="shared" si="92"/>
        <v>0.21052631578947367</v>
      </c>
      <c r="Y72" s="7">
        <f t="shared" si="92"/>
        <v>0.17543859649122806</v>
      </c>
      <c r="AE72" s="7">
        <f t="shared" ref="AE72:AK72" si="93">AE71/AE64</f>
        <v>0.17543859649122806</v>
      </c>
      <c r="AF72" s="7">
        <f t="shared" si="93"/>
        <v>0.15789473684210525</v>
      </c>
      <c r="AG72" s="7">
        <f t="shared" si="93"/>
        <v>0.17543859649122806</v>
      </c>
      <c r="AH72" s="7">
        <f t="shared" si="93"/>
        <v>0.14035087719298245</v>
      </c>
      <c r="AI72" s="7">
        <f t="shared" si="93"/>
        <v>0.125</v>
      </c>
      <c r="AJ72" s="7">
        <f t="shared" si="93"/>
        <v>0.25</v>
      </c>
      <c r="AK72" s="7">
        <f t="shared" si="93"/>
        <v>8.6206896551724144E-2</v>
      </c>
      <c r="AQ72" s="7">
        <f t="shared" ref="AQ72:AW72" si="94">AQ71/AQ64</f>
        <v>0.13793103448275862</v>
      </c>
      <c r="AR72" s="7">
        <f t="shared" si="94"/>
        <v>0.1206896551724138</v>
      </c>
      <c r="AS72" s="7">
        <f t="shared" si="94"/>
        <v>0.17241379310344829</v>
      </c>
      <c r="AT72" s="7">
        <f t="shared" si="94"/>
        <v>7.0175438596491224E-2</v>
      </c>
      <c r="AU72" s="7">
        <f t="shared" si="94"/>
        <v>0.19298245614035087</v>
      </c>
      <c r="AV72" s="7">
        <f t="shared" si="94"/>
        <v>0.21052631578947367</v>
      </c>
      <c r="AW72" s="7">
        <f t="shared" si="94"/>
        <v>0.19298245614035087</v>
      </c>
      <c r="BC72" s="7">
        <f t="shared" ref="BC72:BD72" si="95">BC71/BC64</f>
        <v>0.19298245614035087</v>
      </c>
      <c r="BD72" s="7">
        <f t="shared" si="95"/>
        <v>0.17543859649122806</v>
      </c>
      <c r="BE72" s="7">
        <f t="shared" ref="BE72" si="96">BE71/BE64</f>
        <v>1.7857142857142856E-2</v>
      </c>
      <c r="BP72" s="26"/>
    </row>
    <row r="73" spans="1:68">
      <c r="F73" s="6" t="s">
        <v>140</v>
      </c>
      <c r="G73" s="7">
        <f>G70/(G64-G65-G66-G67-G69)</f>
        <v>1</v>
      </c>
      <c r="H73" s="7">
        <f t="shared" ref="H73:M73" si="97">H70/(H64-H65-H66-H67-H69)</f>
        <v>1</v>
      </c>
      <c r="I73" s="7">
        <f t="shared" si="97"/>
        <v>1</v>
      </c>
      <c r="J73" s="7">
        <f t="shared" si="97"/>
        <v>1</v>
      </c>
      <c r="K73" s="7">
        <f t="shared" si="97"/>
        <v>1</v>
      </c>
      <c r="L73" s="7">
        <f t="shared" si="97"/>
        <v>1</v>
      </c>
      <c r="M73" s="7">
        <f t="shared" si="97"/>
        <v>1</v>
      </c>
      <c r="S73" s="7">
        <f t="shared" ref="S73:Y73" si="98">S70/(S64-S65-S66-S67-S69)</f>
        <v>1</v>
      </c>
      <c r="T73" s="7">
        <f t="shared" si="98"/>
        <v>1</v>
      </c>
      <c r="U73" s="7">
        <f t="shared" si="98"/>
        <v>1</v>
      </c>
      <c r="V73" s="7">
        <f t="shared" si="98"/>
        <v>1</v>
      </c>
      <c r="W73" s="7">
        <f t="shared" si="98"/>
        <v>1</v>
      </c>
      <c r="X73" s="7">
        <f t="shared" si="98"/>
        <v>1</v>
      </c>
      <c r="Y73" s="7">
        <f t="shared" si="98"/>
        <v>1</v>
      </c>
      <c r="AE73" s="7">
        <f t="shared" ref="AE73:AK73" si="99">AE70/(AE64-AE65-AE66-AE67-AE69)</f>
        <v>1</v>
      </c>
      <c r="AF73" s="7">
        <f t="shared" si="99"/>
        <v>1</v>
      </c>
      <c r="AG73" s="7">
        <f t="shared" si="99"/>
        <v>1</v>
      </c>
      <c r="AH73" s="7">
        <f t="shared" si="99"/>
        <v>0.98</v>
      </c>
      <c r="AI73" s="7">
        <f t="shared" si="99"/>
        <v>1.0208333333333333</v>
      </c>
      <c r="AJ73" s="7">
        <f t="shared" si="99"/>
        <v>0.97674418604651159</v>
      </c>
      <c r="AK73" s="7">
        <f t="shared" si="99"/>
        <v>1.0192307692307692</v>
      </c>
      <c r="AQ73" s="7">
        <f t="shared" ref="AQ73:AW73" si="100">AQ70/(AQ64-AQ65-AQ66-AQ67-AQ69)</f>
        <v>1</v>
      </c>
      <c r="AR73" s="7">
        <f t="shared" si="100"/>
        <v>1</v>
      </c>
      <c r="AS73" s="7">
        <f t="shared" si="100"/>
        <v>1.0212765957446808</v>
      </c>
      <c r="AT73" s="7">
        <f t="shared" si="100"/>
        <v>1</v>
      </c>
      <c r="AU73" s="7">
        <f t="shared" si="100"/>
        <v>1.0454545454545454</v>
      </c>
      <c r="AV73" s="7">
        <f t="shared" si="100"/>
        <v>1.0227272727272727</v>
      </c>
      <c r="AW73" s="7">
        <f t="shared" si="100"/>
        <v>0.97872340425531912</v>
      </c>
      <c r="BC73" s="7">
        <f t="shared" ref="BC73:BD73" si="101">BC70/(BC64-BC65-BC66-BC67-BC69)</f>
        <v>1</v>
      </c>
      <c r="BD73" s="7">
        <f t="shared" si="101"/>
        <v>1</v>
      </c>
      <c r="BE73" s="7">
        <f t="shared" ref="BE73" si="102">BE70/(BE64-BE65-BE66-BE67-BE69)</f>
        <v>1</v>
      </c>
      <c r="BP73" s="26"/>
    </row>
  </sheetData>
  <mergeCells count="6">
    <mergeCell ref="BK2:BO2"/>
    <mergeCell ref="N2:R2"/>
    <mergeCell ref="Z2:AD2"/>
    <mergeCell ref="AL2:AP2"/>
    <mergeCell ref="AX2:BB2"/>
    <mergeCell ref="BF2:BJ2"/>
  </mergeCells>
  <conditionalFormatting sqref="B4:B62">
    <cfRule type="duplicateValues" dxfId="136" priority="31233"/>
  </conditionalFormatting>
  <conditionalFormatting sqref="D4:D62">
    <cfRule type="cellIs" dxfId="135" priority="4189" operator="equal">
      <formula>"Naina"</formula>
    </cfRule>
    <cfRule type="cellIs" dxfId="134" priority="4188" operator="equal">
      <formula>"Sanjesh "</formula>
    </cfRule>
  </conditionalFormatting>
  <conditionalFormatting sqref="E4:E62">
    <cfRule type="cellIs" dxfId="133" priority="4190" operator="equal">
      <formula>"M"</formula>
    </cfRule>
    <cfRule type="cellIs" dxfId="132" priority="4191" operator="equal">
      <formula>"F"</formula>
    </cfRule>
  </conditionalFormatting>
  <conditionalFormatting sqref="F4:F62">
    <cfRule type="cellIs" dxfId="131" priority="3959" operator="equal">
      <formula>"Himseva manual preview"</formula>
    </cfRule>
    <cfRule type="cellIs" dxfId="130" priority="3958" operator="equal">
      <formula>"Officer Helpdesk"</formula>
    </cfRule>
    <cfRule type="cellIs" dxfId="129" priority="3957" operator="equal">
      <formula>"Disaster"</formula>
    </cfRule>
    <cfRule type="cellIs" dxfId="128" priority="3956" operator="equal">
      <formula>"DDTG"</formula>
    </cfRule>
    <cfRule type="cellIs" dxfId="127" priority="3955" operator="equal">
      <formula>"Excise &amp; Taxation "</formula>
    </cfRule>
    <cfRule type="cellIs" dxfId="126" priority="3954" operator="equal">
      <formula>"Manual Inbound"</formula>
    </cfRule>
    <cfRule type="cellIs" dxfId="125" priority="3953" operator="equal">
      <formula>"HRTC"</formula>
    </cfRule>
    <cfRule type="cellIs" dxfId="124" priority="3952" operator="equal">
      <formula>"FCS"</formula>
    </cfRule>
    <cfRule type="cellIs" dxfId="123" priority="3951" operator="equal">
      <formula>"Himseva manual Inbound"</formula>
    </cfRule>
    <cfRule type="cellIs" dxfId="122" priority="3960" operator="equal">
      <formula>"Inbound"</formula>
    </cfRule>
  </conditionalFormatting>
  <conditionalFormatting sqref="G5:G57 H42:M57">
    <cfRule type="cellIs" dxfId="121" priority="2454" operator="equal">
      <formula>"Left"</formula>
    </cfRule>
    <cfRule type="cellIs" dxfId="120" priority="2453" operator="equal">
      <formula>"CL"</formula>
    </cfRule>
  </conditionalFormatting>
  <conditionalFormatting sqref="G4:M55">
    <cfRule type="cellIs" dxfId="119" priority="784" operator="equal">
      <formula>"Left"</formula>
    </cfRule>
    <cfRule type="cellIs" dxfId="118" priority="783" operator="equal">
      <formula>"CL"</formula>
    </cfRule>
  </conditionalFormatting>
  <conditionalFormatting sqref="G4:M62">
    <cfRule type="cellIs" dxfId="117" priority="35" operator="equal">
      <formula>"14:30-22:00"</formula>
    </cfRule>
    <cfRule type="cellIs" dxfId="116" priority="29" operator="equal">
      <formula>"CO"</formula>
    </cfRule>
    <cfRule type="cellIs" dxfId="115" priority="30" operator="equal">
      <formula>"Holiday"</formula>
    </cfRule>
    <cfRule type="cellIs" dxfId="114" priority="31" operator="equal">
      <formula>"7:00-14:30"</formula>
    </cfRule>
    <cfRule type="cellIs" dxfId="113" priority="32" operator="equal">
      <formula>"HD"</formula>
    </cfRule>
    <cfRule type="cellIs" dxfId="112" priority="33" operator="equal">
      <formula>"LP"</formula>
    </cfRule>
    <cfRule type="cellIs" dxfId="111" priority="34" operator="equal">
      <formula>"TL Choice WO"</formula>
    </cfRule>
    <cfRule type="cellIs" dxfId="110" priority="36" operator="equal">
      <formula>"10:00-17:00"</formula>
    </cfRule>
    <cfRule type="cellIs" dxfId="109" priority="37" operator="equal">
      <formula>"22:00-7:00"</formula>
    </cfRule>
    <cfRule type="cellIs" dxfId="108" priority="38" operator="equal">
      <formula>"Agent Choice WO"</formula>
    </cfRule>
    <cfRule type="cellIs" dxfId="107" priority="39" operator="equal">
      <formula>"10:00-17:30"</formula>
    </cfRule>
    <cfRule type="cellIs" dxfId="106" priority="40" operator="equal">
      <formula>"7:00-14:30"</formula>
    </cfRule>
  </conditionalFormatting>
  <conditionalFormatting sqref="G58:M62">
    <cfRule type="cellIs" dxfId="105" priority="42" operator="equal">
      <formula>"Left"</formula>
    </cfRule>
    <cfRule type="cellIs" dxfId="104" priority="41" operator="equal">
      <formula>"CL"</formula>
    </cfRule>
  </conditionalFormatting>
  <conditionalFormatting sqref="N4:R63 Z4:AD63 AL4:AP63 AX4:BB63 BF59:BO63 BF4:BP58 BP59:BP73">
    <cfRule type="containsText" dxfId="103" priority="20525" operator="containsText" text="7:00-14.30">
      <formula>NOT(ISERROR(SEARCH("7:00-14.30",N4)))</formula>
    </cfRule>
  </conditionalFormatting>
  <conditionalFormatting sqref="N63:R63">
    <cfRule type="containsText" dxfId="102" priority="20521" operator="containsText" text="HD">
      <formula>NOT(ISERROR(SEARCH("HD",N63)))</formula>
    </cfRule>
    <cfRule type="containsText" dxfId="101" priority="20520" operator="containsText" text="Left">
      <formula>NOT(ISERROR(SEARCH("Left",N63)))</formula>
    </cfRule>
    <cfRule type="containsText" dxfId="100" priority="20519" operator="containsText" text="Left">
      <formula>NOT(ISERROR(SEARCH("Left",N63)))</formula>
    </cfRule>
    <cfRule type="containsText" dxfId="99" priority="20518" operator="containsText" text="7:00-14.30">
      <formula>NOT(ISERROR(SEARCH("7:00-14.30",N63)))</formula>
    </cfRule>
    <cfRule type="containsText" dxfId="98" priority="20523" operator="containsText" text="WO">
      <formula>NOT(ISERROR(SEARCH("WO",N63)))</formula>
    </cfRule>
    <cfRule type="cellIs" dxfId="97" priority="20524" operator="equal">
      <formula>"7:00-14:30"</formula>
    </cfRule>
    <cfRule type="containsText" dxfId="96" priority="20522" operator="containsText" text="LP">
      <formula>NOT(ISERROR(SEARCH("LP",N63)))</formula>
    </cfRule>
  </conditionalFormatting>
  <conditionalFormatting sqref="S4:Y62">
    <cfRule type="cellIs" dxfId="95" priority="518" operator="equal">
      <formula>"Left"</formula>
    </cfRule>
    <cfRule type="cellIs" dxfId="94" priority="505" operator="equal">
      <formula>"CO"</formula>
    </cfRule>
    <cfRule type="cellIs" dxfId="93" priority="506" operator="equal">
      <formula>"Holiday"</formula>
    </cfRule>
    <cfRule type="cellIs" dxfId="92" priority="507" operator="equal">
      <formula>"7:00-14:30"</formula>
    </cfRule>
    <cfRule type="cellIs" dxfId="91" priority="508" operator="equal">
      <formula>"HD"</formula>
    </cfRule>
    <cfRule type="cellIs" dxfId="90" priority="509" operator="equal">
      <formula>"LP"</formula>
    </cfRule>
    <cfRule type="cellIs" dxfId="89" priority="510" operator="equal">
      <formula>"TL Choice WO"</formula>
    </cfRule>
    <cfRule type="cellIs" dxfId="88" priority="511" operator="equal">
      <formula>"14:30-22:00"</formula>
    </cfRule>
    <cfRule type="cellIs" dxfId="87" priority="512" operator="equal">
      <formula>"10:00-17:00"</formula>
    </cfRule>
    <cfRule type="cellIs" dxfId="86" priority="513" operator="equal">
      <formula>"22:00-7:00"</formula>
    </cfRule>
    <cfRule type="cellIs" dxfId="85" priority="514" operator="equal">
      <formula>"Agent Choice WO"</formula>
    </cfRule>
    <cfRule type="cellIs" dxfId="84" priority="515" operator="equal">
      <formula>"10:00-17:30"</formula>
    </cfRule>
    <cfRule type="cellIs" dxfId="83" priority="516" operator="equal">
      <formula>"7:00-14:30"</formula>
    </cfRule>
    <cfRule type="cellIs" dxfId="82" priority="517" operator="equal">
      <formula>"CL"</formula>
    </cfRule>
  </conditionalFormatting>
  <conditionalFormatting sqref="Z63:AD63">
    <cfRule type="cellIs" dxfId="81" priority="16844" operator="equal">
      <formula>"7:00-14:30"</formula>
    </cfRule>
    <cfRule type="containsText" dxfId="80" priority="16843" operator="containsText" text="WO">
      <formula>NOT(ISERROR(SEARCH("WO",Z63)))</formula>
    </cfRule>
    <cfRule type="containsText" dxfId="79" priority="16842" operator="containsText" text="LP">
      <formula>NOT(ISERROR(SEARCH("LP",Z63)))</formula>
    </cfRule>
    <cfRule type="containsText" dxfId="78" priority="16841" operator="containsText" text="HD">
      <formula>NOT(ISERROR(SEARCH("HD",Z63)))</formula>
    </cfRule>
    <cfRule type="containsText" dxfId="77" priority="16840" operator="containsText" text="Left">
      <formula>NOT(ISERROR(SEARCH("Left",Z63)))</formula>
    </cfRule>
    <cfRule type="containsText" dxfId="76" priority="16839" operator="containsText" text="Left">
      <formula>NOT(ISERROR(SEARCH("Left",Z63)))</formula>
    </cfRule>
    <cfRule type="containsText" dxfId="75" priority="16838" operator="containsText" text="7:00-14.30">
      <formula>NOT(ISERROR(SEARCH("7:00-14.30",Z63)))</formula>
    </cfRule>
  </conditionalFormatting>
  <conditionalFormatting sqref="AE4:AK62">
    <cfRule type="cellIs" dxfId="74" priority="25" operator="equal">
      <formula>"10:00-17:30"</formula>
    </cfRule>
    <cfRule type="cellIs" dxfId="73" priority="17" operator="equal">
      <formula>"7:00-14:30"</formula>
    </cfRule>
    <cfRule type="cellIs" dxfId="72" priority="19" operator="equal">
      <formula>"LP"</formula>
    </cfRule>
    <cfRule type="cellIs" dxfId="71" priority="20" operator="equal">
      <formula>"TL Choice WO"</formula>
    </cfRule>
    <cfRule type="cellIs" dxfId="70" priority="21" operator="equal">
      <formula>"14:30-22:00"</formula>
    </cfRule>
    <cfRule type="cellIs" dxfId="69" priority="18" operator="equal">
      <formula>"HD"</formula>
    </cfRule>
    <cfRule type="cellIs" dxfId="68" priority="22" operator="equal">
      <formula>"10:00-17:00"</formula>
    </cfRule>
    <cfRule type="cellIs" dxfId="67" priority="23" operator="equal">
      <formula>"22:00-7:00"</formula>
    </cfRule>
    <cfRule type="cellIs" dxfId="66" priority="28" operator="equal">
      <formula>"Left"</formula>
    </cfRule>
    <cfRule type="cellIs" dxfId="65" priority="24" operator="equal">
      <formula>"Agent Choice WO"</formula>
    </cfRule>
    <cfRule type="cellIs" dxfId="64" priority="27" operator="equal">
      <formula>"CL"</formula>
    </cfRule>
    <cfRule type="cellIs" dxfId="63" priority="26" operator="equal">
      <formula>"7:00-14:30"</formula>
    </cfRule>
    <cfRule type="cellIs" dxfId="62" priority="15" operator="equal">
      <formula>"CO"</formula>
    </cfRule>
    <cfRule type="cellIs" dxfId="61" priority="16" operator="equal">
      <formula>"Holiday"</formula>
    </cfRule>
  </conditionalFormatting>
  <conditionalFormatting sqref="AL63:AP63">
    <cfRule type="containsText" dxfId="60" priority="13158" operator="containsText" text="7:00-14.30">
      <formula>NOT(ISERROR(SEARCH("7:00-14.30",AL63)))</formula>
    </cfRule>
    <cfRule type="containsText" dxfId="59" priority="13159" operator="containsText" text="Left">
      <formula>NOT(ISERROR(SEARCH("Left",AL63)))</formula>
    </cfRule>
    <cfRule type="containsText" dxfId="58" priority="13160" operator="containsText" text="Left">
      <formula>NOT(ISERROR(SEARCH("Left",AL63)))</formula>
    </cfRule>
    <cfRule type="containsText" dxfId="57" priority="13162" operator="containsText" text="LP">
      <formula>NOT(ISERROR(SEARCH("LP",AL63)))</formula>
    </cfRule>
    <cfRule type="containsText" dxfId="56" priority="13161" operator="containsText" text="HD">
      <formula>NOT(ISERROR(SEARCH("HD",AL63)))</formula>
    </cfRule>
    <cfRule type="containsText" dxfId="55" priority="13163" operator="containsText" text="WO">
      <formula>NOT(ISERROR(SEARCH("WO",AL63)))</formula>
    </cfRule>
    <cfRule type="cellIs" dxfId="54" priority="13164" operator="equal">
      <formula>"7:00-14:30"</formula>
    </cfRule>
  </conditionalFormatting>
  <conditionalFormatting sqref="AQ4:AW62">
    <cfRule type="cellIs" dxfId="53" priority="50" operator="equal">
      <formula>"10:00-17:00"</formula>
    </cfRule>
    <cfRule type="cellIs" dxfId="52" priority="54" operator="equal">
      <formula>"7:00-14:30"</formula>
    </cfRule>
    <cfRule type="cellIs" dxfId="51" priority="53" operator="equal">
      <formula>"10:00-17:30"</formula>
    </cfRule>
    <cfRule type="cellIs" dxfId="50" priority="51" operator="equal">
      <formula>"22:00-7:00"</formula>
    </cfRule>
    <cfRule type="cellIs" dxfId="49" priority="44" operator="equal">
      <formula>"Holiday"</formula>
    </cfRule>
    <cfRule type="cellIs" dxfId="48" priority="49" operator="equal">
      <formula>"14:30-22:00"</formula>
    </cfRule>
    <cfRule type="cellIs" dxfId="47" priority="56" operator="equal">
      <formula>"Left"</formula>
    </cfRule>
    <cfRule type="cellIs" dxfId="46" priority="52" operator="equal">
      <formula>"Agent Choice WO"</formula>
    </cfRule>
    <cfRule type="cellIs" dxfId="45" priority="43" operator="equal">
      <formula>"CO"</formula>
    </cfRule>
    <cfRule type="cellIs" dxfId="44" priority="48" operator="equal">
      <formula>"TL Choice WO"</formula>
    </cfRule>
    <cfRule type="cellIs" dxfId="43" priority="47" operator="equal">
      <formula>"LP"</formula>
    </cfRule>
    <cfRule type="cellIs" dxfId="42" priority="46" operator="equal">
      <formula>"HD"</formula>
    </cfRule>
    <cfRule type="cellIs" dxfId="41" priority="45" operator="equal">
      <formula>"7:00-14:30"</formula>
    </cfRule>
    <cfRule type="cellIs" dxfId="40" priority="55" operator="equal">
      <formula>"CL"</formula>
    </cfRule>
  </conditionalFormatting>
  <conditionalFormatting sqref="AX63:BB63">
    <cfRule type="containsText" dxfId="39" priority="9478" operator="containsText" text="7:00-14.30">
      <formula>NOT(ISERROR(SEARCH("7:00-14.30",AX63)))</formula>
    </cfRule>
    <cfRule type="containsText" dxfId="38" priority="9480" operator="containsText" text="Left">
      <formula>NOT(ISERROR(SEARCH("Left",AX63)))</formula>
    </cfRule>
    <cfRule type="containsText" dxfId="37" priority="9482" operator="containsText" text="LP">
      <formula>NOT(ISERROR(SEARCH("LP",AX63)))</formula>
    </cfRule>
    <cfRule type="containsText" dxfId="36" priority="9479" operator="containsText" text="Left">
      <formula>NOT(ISERROR(SEARCH("Left",AX63)))</formula>
    </cfRule>
    <cfRule type="containsText" dxfId="35" priority="9483" operator="containsText" text="WO">
      <formula>NOT(ISERROR(SEARCH("WO",AX63)))</formula>
    </cfRule>
    <cfRule type="cellIs" dxfId="34" priority="9484" operator="equal">
      <formula>"7:00-14:30"</formula>
    </cfRule>
    <cfRule type="containsText" dxfId="33" priority="9481" operator="containsText" text="HD">
      <formula>NOT(ISERROR(SEARCH("HD",AX63)))</formula>
    </cfRule>
  </conditionalFormatting>
  <conditionalFormatting sqref="BC4:BE62">
    <cfRule type="cellIs" dxfId="32" priority="3" operator="equal">
      <formula>"7:00-14:30"</formula>
    </cfRule>
    <cfRule type="cellIs" dxfId="31" priority="4" operator="equal">
      <formula>"HD"</formula>
    </cfRule>
    <cfRule type="cellIs" dxfId="30" priority="5" operator="equal">
      <formula>"LP"</formula>
    </cfRule>
    <cfRule type="cellIs" dxfId="29" priority="6" operator="equal">
      <formula>"TL Choice WO"</formula>
    </cfRule>
    <cfRule type="cellIs" dxfId="28" priority="7" operator="equal">
      <formula>"14:30-22:00"</formula>
    </cfRule>
    <cfRule type="cellIs" dxfId="27" priority="9" operator="equal">
      <formula>"22:00-7:00"</formula>
    </cfRule>
    <cfRule type="cellIs" dxfId="26" priority="10" operator="equal">
      <formula>"Agent Choice WO"</formula>
    </cfRule>
    <cfRule type="cellIs" dxfId="25" priority="2" operator="equal">
      <formula>"Holiday"</formula>
    </cfRule>
    <cfRule type="cellIs" dxfId="24" priority="12" operator="equal">
      <formula>"7:00-14:30"</formula>
    </cfRule>
    <cfRule type="cellIs" dxfId="23" priority="8" operator="equal">
      <formula>"10:00-17:00"</formula>
    </cfRule>
    <cfRule type="cellIs" dxfId="22" priority="14" operator="equal">
      <formula>"Left"</formula>
    </cfRule>
    <cfRule type="cellIs" dxfId="21" priority="13" operator="equal">
      <formula>"CL"</formula>
    </cfRule>
    <cfRule type="cellIs" dxfId="20" priority="11" operator="equal">
      <formula>"10:00-17:30"</formula>
    </cfRule>
    <cfRule type="cellIs" dxfId="19" priority="1" operator="equal">
      <formula>"CO"</formula>
    </cfRule>
  </conditionalFormatting>
  <conditionalFormatting sqref="BF63:BO63">
    <cfRule type="containsText" dxfId="18" priority="5802" operator="containsText" text="LP">
      <formula>NOT(ISERROR(SEARCH("LP",BF63)))</formula>
    </cfRule>
    <cfRule type="containsText" dxfId="17" priority="5801" operator="containsText" text="HD">
      <formula>NOT(ISERROR(SEARCH("HD",BF63)))</formula>
    </cfRule>
    <cfRule type="containsText" dxfId="16" priority="5800" operator="containsText" text="Left">
      <formula>NOT(ISERROR(SEARCH("Left",BF63)))</formula>
    </cfRule>
    <cfRule type="containsText" dxfId="15" priority="5799" operator="containsText" text="Left">
      <formula>NOT(ISERROR(SEARCH("Left",BF63)))</formula>
    </cfRule>
    <cfRule type="containsText" dxfId="14" priority="5798" operator="containsText" text="7:00-14.30">
      <formula>NOT(ISERROR(SEARCH("7:00-14.30",BF63)))</formula>
    </cfRule>
    <cfRule type="containsText" dxfId="13" priority="5803" operator="containsText" text="WO">
      <formula>NOT(ISERROR(SEARCH("WO",BF63)))</formula>
    </cfRule>
    <cfRule type="cellIs" dxfId="12" priority="5804" operator="equal">
      <formula>"7:00-14:30"</formula>
    </cfRule>
  </conditionalFormatting>
  <conditionalFormatting sqref="BF4:BP58 N4:R62 Z4:AD62 AL4:AP62 AX4:BB62 BF59:BO62 BM59:BM63 BP59:BP73">
    <cfRule type="containsText" dxfId="11" priority="20541" operator="containsText" text="7:00-14.30">
      <formula>NOT(ISERROR(SEARCH("7:00-14.30",N4)))</formula>
    </cfRule>
    <cfRule type="cellIs" dxfId="10" priority="20537" operator="equal">
      <formula>"7:00-14:30"</formula>
    </cfRule>
    <cfRule type="containsText" dxfId="9" priority="20542" operator="containsText" text="Left">
      <formula>NOT(ISERROR(SEARCH("Left",N4)))</formula>
    </cfRule>
    <cfRule type="containsText" dxfId="8" priority="20543" operator="containsText" text="Left">
      <formula>NOT(ISERROR(SEARCH("Left",N4)))</formula>
    </cfRule>
    <cfRule type="containsText" dxfId="7" priority="20544" operator="containsText" text="HD">
      <formula>NOT(ISERROR(SEARCH("HD",N4)))</formula>
    </cfRule>
    <cfRule type="containsText" dxfId="6" priority="20545" operator="containsText" text="LP">
      <formula>NOT(ISERROR(SEARCH("LP",N4)))</formula>
    </cfRule>
    <cfRule type="containsText" dxfId="5" priority="20546" operator="containsText" text="WO">
      <formula>NOT(ISERROR(SEARCH("WO",N4)))</formula>
    </cfRule>
  </conditionalFormatting>
  <conditionalFormatting sqref="BF4:BP58 N4:R63 Z4:AD63 AL4:AP63 AX4:BB63 BF59:BO63 BP59:BP73">
    <cfRule type="containsText" dxfId="4" priority="20527" operator="containsText" text="Left">
      <formula>NOT(ISERROR(SEARCH("Left",N4)))</formula>
    </cfRule>
    <cfRule type="containsText" dxfId="3" priority="20529" operator="containsText" text="LP">
      <formula>NOT(ISERROR(SEARCH("LP",N4)))</formula>
    </cfRule>
    <cfRule type="containsText" dxfId="2" priority="20530" operator="containsText" text="WO">
      <formula>NOT(ISERROR(SEARCH("WO",N4)))</formula>
    </cfRule>
    <cfRule type="containsText" dxfId="1" priority="20526" operator="containsText" text="Left">
      <formula>NOT(ISERROR(SEARCH("Left",N4)))</formula>
    </cfRule>
    <cfRule type="containsText" dxfId="0" priority="20528" operator="containsText" text="HD">
      <formula>NOT(ISERROR(SEARCH("HD",N4)))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CD6830-50D3-415B-9B26-FB88DC164D95}">
          <x14:formula1>
            <xm:f>Grid!$A$1:$A$13</xm:f>
          </x14:formula1>
          <xm:sqref>AQ4:AW62 AE4:AK62 L59:L62 M4:M62 G4:L58 S4:Y62 BC4:BE62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/>
  </sheetViews>
  <sheetFormatPr defaultRowHeight="15"/>
  <cols>
    <col min="1" max="1" width="15.7109375" bestFit="1" customWidth="1"/>
  </cols>
  <sheetData>
    <row r="1" spans="1:1">
      <c r="A1" t="s">
        <v>15</v>
      </c>
    </row>
    <row r="2" spans="1:1">
      <c r="A2" t="s">
        <v>22</v>
      </c>
    </row>
    <row r="3" spans="1:1">
      <c r="A3" t="s">
        <v>7</v>
      </c>
    </row>
    <row r="4" spans="1:1">
      <c r="A4" t="s">
        <v>30</v>
      </c>
    </row>
    <row r="5" spans="1:1">
      <c r="A5" t="s">
        <v>47</v>
      </c>
    </row>
    <row r="6" spans="1:1">
      <c r="A6" t="s">
        <v>134</v>
      </c>
    </row>
    <row r="7" spans="1:1">
      <c r="A7" t="s">
        <v>8</v>
      </c>
    </row>
    <row r="8" spans="1:1">
      <c r="A8" t="s">
        <v>6</v>
      </c>
    </row>
    <row r="9" spans="1:1">
      <c r="A9" t="s">
        <v>5</v>
      </c>
    </row>
    <row r="10" spans="1:1">
      <c r="A10" t="s">
        <v>136</v>
      </c>
    </row>
    <row r="11" spans="1:1">
      <c r="A11" t="s">
        <v>248</v>
      </c>
    </row>
    <row r="12" spans="1:1">
      <c r="A12" t="s">
        <v>260</v>
      </c>
    </row>
    <row r="13" spans="1:1">
      <c r="A13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Both_Shift_Roster</vt:lpstr>
      <vt:lpstr>Morning_Shift</vt:lpstr>
      <vt:lpstr>Evening_Shift</vt:lpstr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DRITM</dc:creator>
  <cp:lastModifiedBy>DRITM</cp:lastModifiedBy>
  <dcterms:created xsi:type="dcterms:W3CDTF">2026-06-03T05:14:53Z</dcterms:created>
  <dcterms:modified xsi:type="dcterms:W3CDTF">2026-09-25T15:00:39Z</dcterms:modified>
</cp:coreProperties>
</file>